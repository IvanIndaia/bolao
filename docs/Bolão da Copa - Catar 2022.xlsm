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F2A88D65-2327-4D1D-BCC8-F9204C9485EF}" xr6:coauthVersionLast="47" xr6:coauthVersionMax="47" xr10:uidLastSave="{00000000-0000-0000-0000-000000000000}"/>
  <bookViews>
    <workbookView xWindow="0" yWindow="0" windowWidth="20730" windowHeight="10920" tabRatio="791" firstSheet="16" activeTab="28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Classificação" sheetId="31" r:id="rId4"/>
    <sheet name="Tabela" sheetId="1" r:id="rId5"/>
    <sheet name="Ivan" sheetId="3" r:id="rId6"/>
    <sheet name="Ivan_2" sheetId="10" r:id="rId7"/>
    <sheet name="Macélio" sheetId="11" r:id="rId8"/>
    <sheet name="BrunoTK" sheetId="6" r:id="rId9"/>
    <sheet name="Luis" sheetId="29" r:id="rId10"/>
    <sheet name="Gabriel" sheetId="28" r:id="rId11"/>
    <sheet name="Juninho1" sheetId="17" r:id="rId12"/>
    <sheet name="Juninho2" sheetId="18" r:id="rId13"/>
    <sheet name="Luana (2)" sheetId="37" state="hidden" r:id="rId14"/>
    <sheet name="Luana" sheetId="12" r:id="rId15"/>
    <sheet name="Mácio (2)" sheetId="38" state="hidden" r:id="rId16"/>
    <sheet name="Mácio" sheetId="16" r:id="rId17"/>
    <sheet name="Alex" sheetId="13" r:id="rId18"/>
    <sheet name="Jean" sheetId="19" r:id="rId19"/>
    <sheet name="Robert" sheetId="20" r:id="rId20"/>
    <sheet name="Roberto" sheetId="21" r:id="rId21"/>
    <sheet name="Andréia" sheetId="22" r:id="rId22"/>
    <sheet name="Joseir1" sheetId="23" r:id="rId23"/>
    <sheet name="Joseir2" sheetId="24" r:id="rId24"/>
    <sheet name="Ivani" sheetId="25" r:id="rId25"/>
    <sheet name="Josimar" sheetId="26" r:id="rId26"/>
    <sheet name="Julio" sheetId="27" r:id="rId27"/>
    <sheet name="Talita" sheetId="30" r:id="rId28"/>
    <sheet name="Anderson" sheetId="32" r:id="rId29"/>
    <sheet name="Cleófaz" sheetId="34" r:id="rId30"/>
    <sheet name="NEW" sheetId="35" state="hidden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6" i="34" l="1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Q11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0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N9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N10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N7" i="31" s="1"/>
  <c r="Q11" i="11"/>
  <c r="N5" i="31" s="1"/>
  <c r="Q11" i="10"/>
  <c r="N8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Q11" i="3" l="1"/>
  <c r="N6" i="31" s="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K3" i="3" l="1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BC25" i="36" s="1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BC10" i="36" s="1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0" i="36" l="1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<sst xmlns="http://schemas.openxmlformats.org/spreadsheetml/2006/main" count="4881" uniqueCount="286">
  <si>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</si>
  <si>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</si>
  <si>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</si>
  <si>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</si>
  <si>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</si>
  <si>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</si>
  <si>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</si>
  <si>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</si>
  <si>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</si>
  <si>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</si>
  <si>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</si>
  <si>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</si>
  <si>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</si>
  <si>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</si>
  <si>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</si>
  <si>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</si>
  <si>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</si>
  <si>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</si>
  <si>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</si>
  <si>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</si>
  <si>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</si>
  <si>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</si>
  <si>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</si>
  <si>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</si>
  <si>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</si>
  <si>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</si>
  <si>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</si>
  <si>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</si>
  <si>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</si>
  <si>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</si>
  <si>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</si>
  <si>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</si>
  <si>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</si>
  <si>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</si>
  <si>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</si>
  <si>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</si>
  <si>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</si>
  <si>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</si>
  <si>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</si>
  <si>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</si>
  <si>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</si>
  <si>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</si>
  <si>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</si>
  <si>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</si>
  <si>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</si>
  <si>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</si>
  <si>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</si>
  <si>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</si>
  <si>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</si>
  <si>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</si>
  <si>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</si>
  <si>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</si>
  <si>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</si>
  <si>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</si>
  <si>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</si>
  <si>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</si>
  <si>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</si>
  <si>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</si>
  <si>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</si>
  <si>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</si>
  <si>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</si>
  <si>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</si>
  <si>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</si>
  <si>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</si>
  <si>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</si>
  <si>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</si>
  <si>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</si>
  <si>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</si>
  <si>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</si>
  <si>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</si>
  <si>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</si>
  <si>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</si>
  <si>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</si>
  <si>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</si>
  <si>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</si>
  <si>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</si>
  <si>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</si>
  <si>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</si>
  <si>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</si>
  <si>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</si>
  <si>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</si>
  <si>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</si>
  <si>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</si>
  <si>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</si>
  <si>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</si>
  <si>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</si>
  <si>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</si>
  <si>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</si>
  <si>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</si>
  <si>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</si>
  <si>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</si>
  <si>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</si>
  <si>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</si>
  <si>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</si>
  <si>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</si>
  <si>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</si>
  <si>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</si>
  <si>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</si>
  <si>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</si>
  <si>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</si>
  <si>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</si>
  <si>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</si>
  <si>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</si>
  <si>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</si>
  <si>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</si>
  <si>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</si>
  <si>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</si>
  <si>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</si>
  <si>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</si>
  <si>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</si>
  <si>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</si>
  <si>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</si>
  <si>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</si>
  <si>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</si>
  <si>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</si>
  <si>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</si>
  <si>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</si>
  <si>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</si>
  <si>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</si>
  <si>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</si>
  <si>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</si>
  <si>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</si>
  <si>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</si>
  <si>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</si>
  <si>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</si>
  <si>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</si>
  <si>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</si>
  <si>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</si>
  <si>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</si>
  <si>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</si>
  <si>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</si>
  <si>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</si>
  <si>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</si>
  <si>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</si>
  <si>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</si>
  <si>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</si>
  <si>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</si>
  <si>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</si>
  <si>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</si>
  <si>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</si>
  <si>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</si>
  <si>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</si>
  <si>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</si>
  <si>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</si>
  <si>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</si>
  <si>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</si>
  <si>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</si>
  <si>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</si>
  <si>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</si>
  <si>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</si>
  <si>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</si>
  <si>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</si>
  <si>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</si>
  <si>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</si>
  <si>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</si>
  <si>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</si>
  <si>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</si>
  <si>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</si>
  <si>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</si>
  <si>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</si>
  <si>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</si>
  <si>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</si>
  <si>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</si>
  <si>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</si>
  <si>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</si>
  <si>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</si>
  <si>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</si>
  <si>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</si>
  <si>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</si>
  <si>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</si>
  <si>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</si>
  <si>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</si>
  <si>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</si>
  <si>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</si>
  <si>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</si>
  <si>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</si>
  <si>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</si>
  <si>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</si>
  <si>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</si>
  <si>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</si>
  <si>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</si>
  <si>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</si>
  <si>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</si>
  <si>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</si>
  <si>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</si>
  <si>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</si>
  <si>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</si>
  <si>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</si>
  <si>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</si>
  <si>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</si>
  <si>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</si>
  <si>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</si>
  <si>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</si>
  <si>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</si>
  <si>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</si>
  <si>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</si>
  <si>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</si>
  <si>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</si>
  <si>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</si>
  <si>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</si>
  <si>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</si>
  <si>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</si>
  <si>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</si>
  <si>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</si>
  <si>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</si>
  <si>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</si>
  <si>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</si>
  <si>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</si>
  <si>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</si>
  <si>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</si>
  <si>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</si>
  <si>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</si>
  <si>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</si>
  <si>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</si>
  <si>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</si>
  <si>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</si>
  <si>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</si>
  <si>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</si>
  <si>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quem for entrando.</t>
  </si>
  <si>
    <t>classificação</t>
  </si>
  <si>
    <t>regras</t>
  </si>
  <si>
    <t>Validem suas apostas</t>
  </si>
  <si>
    <t>Valores &gt;&gt;&gt;&gt;&gt;&gt;</t>
  </si>
  <si>
    <t>Desempate</t>
  </si>
  <si>
    <t>Aposta no vampeão</t>
  </si>
  <si>
    <t>artilheiro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</si>
  <si>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</si>
  <si>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</si>
  <si>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</si>
  <si>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</si>
  <si>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</si>
  <si>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</si>
  <si>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</si>
  <si>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</si>
  <si>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</si>
  <si>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</si>
  <si>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</si>
  <si>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</si>
  <si>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</si>
  <si>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</si>
  <si>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</si>
  <si>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</si>
  <si>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</si>
  <si>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</si>
  <si>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</si>
  <si>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</si>
  <si>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</si>
  <si>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</si>
  <si>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</si>
  <si>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</si>
  <si>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</si>
  <si>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</si>
  <si>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</si>
  <si>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j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</si>
  <si>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</si>
  <si>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</si>
  <si>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</si>
  <si>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</si>
  <si>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</si>
  <si>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</si>
  <si>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</si>
  <si>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</si>
  <si>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</si>
  <si>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</si>
  <si>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</si>
  <si>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</si>
  <si>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</si>
  <si>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</si>
  <si>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</si>
  <si>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</si>
  <si>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</si>
  <si>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</si>
  <si>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</si>
  <si>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</si>
  <si>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</si>
  <si>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</si>
  <si>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</si>
  <si>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</si>
  <si>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</si>
  <si>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</t>
  </si>
  <si>
    <t>Ivan Alex_2</t>
  </si>
  <si>
    <t>Macélio</t>
  </si>
  <si>
    <t>Luis</t>
  </si>
  <si>
    <t>Bruno</t>
  </si>
  <si>
    <t>Gabriel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</si>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</sst>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4" fillId="8" borderId="10" xfId="0" applyFont="1" applyFill="1" applyBorder="1"/>
    <xf numFmtId="0" fontId="5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8" fillId="14" borderId="3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9" fillId="7" borderId="31" xfId="0" applyFont="1" applyFill="1" applyBorder="1" applyAlignment="1">
      <alignment horizontal="center" vertical="center"/>
    </xf>
    <xf numFmtId="0" fontId="9" fillId="7" borderId="32" xfId="0" applyFont="1" applyFill="1" applyBorder="1" applyAlignment="1">
      <alignment horizontal="center" vertical="center"/>
    </xf>
    <xf numFmtId="0" fontId="9" fillId="7" borderId="33" xfId="0" applyFont="1" applyFill="1" applyBorder="1" applyAlignment="1">
      <alignment horizontal="center" vertical="center"/>
    </xf>
    <xf numFmtId="0" fontId="9" fillId="7" borderId="3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35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0" fillId="12" borderId="5" xfId="0" applyFont="1" applyFill="1" applyBorder="1" applyAlignment="1">
      <alignment horizontal="center" vertical="center"/>
    </xf>
    <xf numFmtId="0" fontId="10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7" fillId="10" borderId="5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7" borderId="39" xfId="0" applyFont="1" applyFill="1" applyBorder="1" applyAlignment="1">
      <alignment horizontal="center" vertical="center"/>
    </xf>
    <xf numFmtId="0" fontId="9" fillId="7" borderId="30" xfId="0" applyFont="1" applyFill="1" applyBorder="1" applyAlignment="1">
      <alignment horizontal="center" vertical="center"/>
    </xf>
    <xf numFmtId="0" fontId="11" fillId="15" borderId="29" xfId="0" applyFont="1" applyFill="1" applyBorder="1" applyAlignment="1">
      <alignment horizontal="center" vertical="center"/>
    </xf>
    <xf numFmtId="0" fontId="11" fillId="15" borderId="39" xfId="0" applyFont="1" applyFill="1" applyBorder="1" applyAlignment="1">
      <alignment horizontal="center" vertical="center"/>
    </xf>
    <xf numFmtId="0" fontId="11" fillId="15" borderId="30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64" fontId="6" fillId="0" borderId="2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25" xfId="0" applyNumberFormat="1" applyFont="1" applyBorder="1" applyAlignment="1">
      <alignment horizontal="center" vertical="center"/>
    </xf>
    <xf numFmtId="164" fontId="6" fillId="0" borderId="26" xfId="0" applyNumberFormat="1" applyFont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29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24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2" customWidth="1"/>
    <col min="11" max="13" width="3" style="2" customWidth="1"/>
    <col min="14" max="17" width="4.28515625" style="31" customWidth="1"/>
    <col min="18" max="18" width="1.5703125" customWidth="1"/>
    <col min="19" max="22" width="4.28515625" style="32" customWidth="1"/>
    <col min="23" max="25" width="3" style="2" customWidth="1"/>
    <col min="26" max="29" width="4.28515625" style="31" customWidth="1"/>
    <col min="30" max="30" width="3" customWidth="1"/>
    <col min="31" max="34" width="4" style="32" customWidth="1"/>
    <col min="35" max="37" width="3" customWidth="1"/>
    <col min="38" max="41" width="4" style="31" customWidth="1"/>
    <col min="42" max="42" width="1.5703125" customWidth="1"/>
    <col min="43" max="46" width="4" style="32" customWidth="1"/>
    <col min="47" max="49" width="3" style="2" customWidth="1"/>
    <col min="50" max="53" width="4" style="31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78" t="s">
        <v>229</v>
      </c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E1" s="78" t="s">
        <v>230</v>
      </c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</row>
    <row r="2" spans="1:133" ht="16.5" thickTop="1" x14ac:dyDescent="0.25">
      <c r="A2" s="27" t="s">
        <v>105</v>
      </c>
      <c r="B2" s="79" t="s">
        <v>104</v>
      </c>
      <c r="C2" s="79"/>
      <c r="D2" s="79"/>
      <c r="E2" s="80"/>
      <c r="G2" s="66" t="s">
        <v>1</v>
      </c>
      <c r="H2" s="66"/>
      <c r="I2" s="66"/>
      <c r="J2" s="66"/>
      <c r="K2" s="66"/>
      <c r="L2" s="66"/>
      <c r="M2" s="66"/>
      <c r="N2" s="66"/>
      <c r="O2" s="66"/>
      <c r="P2" s="66"/>
      <c r="Q2" s="66"/>
      <c r="S2" s="66" t="s">
        <v>73</v>
      </c>
      <c r="T2" s="66"/>
      <c r="U2" s="66"/>
      <c r="V2" s="66"/>
      <c r="W2" s="66"/>
      <c r="X2" s="66"/>
      <c r="Y2" s="66"/>
      <c r="Z2" s="66"/>
      <c r="AA2" s="66"/>
      <c r="AB2" s="66"/>
      <c r="AC2" s="66"/>
      <c r="AE2" s="67" t="str">
        <f>Tabela!A2</f>
        <v>Grupo A</v>
      </c>
      <c r="AF2" s="67"/>
      <c r="AG2" s="67"/>
      <c r="AH2" s="67"/>
      <c r="AI2" s="67"/>
      <c r="AJ2" s="67"/>
      <c r="AK2" s="67"/>
      <c r="AL2" s="67"/>
      <c r="AM2" s="67"/>
      <c r="AN2" s="67"/>
      <c r="AO2" s="67"/>
      <c r="AQ2" s="67" t="str">
        <f>Tabela!G2</f>
        <v>Grupo E</v>
      </c>
      <c r="AR2" s="67"/>
      <c r="AS2" s="67"/>
      <c r="AT2" s="67"/>
      <c r="AU2" s="67"/>
      <c r="AV2" s="67"/>
      <c r="AW2" s="67"/>
      <c r="AX2" s="67"/>
      <c r="AY2" s="67"/>
      <c r="AZ2" s="67"/>
      <c r="BA2" s="67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</row>
    <row r="3" spans="1:133" x14ac:dyDescent="0.25">
      <c r="A3" s="21" t="s">
        <v>0</v>
      </c>
      <c r="B3" s="22"/>
      <c r="C3" s="22" t="s">
        <v>0</v>
      </c>
      <c r="D3" s="22"/>
      <c r="E3" s="25" t="s">
        <v>0</v>
      </c>
      <c r="G3" s="49" t="s">
        <v>46</v>
      </c>
      <c r="H3" s="49"/>
      <c r="I3" s="49"/>
      <c r="J3" s="49"/>
      <c r="K3" s="2">
        <v>1</v>
      </c>
      <c r="L3" s="2" t="s">
        <v>70</v>
      </c>
      <c r="M3" s="2">
        <v>2</v>
      </c>
      <c r="N3" s="48" t="s">
        <v>51</v>
      </c>
      <c r="O3" s="48"/>
      <c r="P3" s="48"/>
      <c r="Q3" s="48"/>
      <c r="S3" s="49" t="s">
        <v>38</v>
      </c>
      <c r="T3" s="49"/>
      <c r="U3" s="49"/>
      <c r="V3" s="49"/>
      <c r="W3" s="2">
        <v>2</v>
      </c>
      <c r="X3" s="2" t="s">
        <v>70</v>
      </c>
      <c r="Y3" s="2">
        <v>0</v>
      </c>
      <c r="Z3" s="48" t="s">
        <v>59</v>
      </c>
      <c r="AA3" s="48"/>
      <c r="AB3" s="48"/>
      <c r="AC3" s="48"/>
      <c r="AE3" s="49" t="str">
        <f>Tabela!A3</f>
        <v>Catar</v>
      </c>
      <c r="AF3" s="49"/>
      <c r="AG3" s="49"/>
      <c r="AH3" s="49"/>
      <c r="AI3" s="2">
        <v>0</v>
      </c>
      <c r="AJ3" s="2" t="s">
        <v>70</v>
      </c>
      <c r="AK3" s="2">
        <v>2</v>
      </c>
      <c r="AL3" s="48" t="str">
        <f>Tabela!E3</f>
        <v>Equador</v>
      </c>
      <c r="AM3" s="48"/>
      <c r="AN3" s="48"/>
      <c r="AO3" s="48"/>
      <c r="AQ3" s="49" t="str">
        <f>Tabela!G3</f>
        <v>Alemanha</v>
      </c>
      <c r="AR3" s="49"/>
      <c r="AS3" s="49"/>
      <c r="AT3" s="49"/>
      <c r="AU3" s="2">
        <f>Tabela!H3</f>
        <v>1</v>
      </c>
      <c r="AV3" s="2" t="s">
        <v>70</v>
      </c>
      <c r="AW3" s="2">
        <f>Tabela!J3</f>
        <v>2</v>
      </c>
      <c r="AX3" s="48" t="str">
        <f>Tabela!K3</f>
        <v>Japão</v>
      </c>
      <c r="AY3" s="48"/>
      <c r="AZ3" s="48"/>
      <c r="BA3" s="48"/>
      <c r="BC3" s="2">
        <f>IF(AND(AI3=K3,AK3=M3),25,IF(,15,IF(,5,0)))</f>
        <v>0</v>
      </c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</row>
    <row r="4" spans="1:133" x14ac:dyDescent="0.25">
      <c r="A4" s="17" t="s">
        <v>1</v>
      </c>
      <c r="B4" s="22"/>
      <c r="C4" s="18" t="s">
        <v>13</v>
      </c>
      <c r="D4" s="22"/>
      <c r="E4" s="19" t="s">
        <v>22</v>
      </c>
      <c r="G4" s="49" t="s">
        <v>65</v>
      </c>
      <c r="H4" s="49"/>
      <c r="I4" s="49"/>
      <c r="J4" s="49"/>
      <c r="K4" s="2">
        <v>1</v>
      </c>
      <c r="L4" s="2" t="s">
        <v>70</v>
      </c>
      <c r="M4" s="2">
        <v>2</v>
      </c>
      <c r="N4" s="48" t="s">
        <v>56</v>
      </c>
      <c r="O4" s="48"/>
      <c r="P4" s="48"/>
      <c r="Q4" s="48"/>
      <c r="S4" s="49" t="s">
        <v>52</v>
      </c>
      <c r="T4" s="49"/>
      <c r="U4" s="49"/>
      <c r="V4" s="49"/>
      <c r="W4" s="2">
        <v>2</v>
      </c>
      <c r="X4" s="2" t="s">
        <v>70</v>
      </c>
      <c r="Y4" s="2">
        <v>1</v>
      </c>
      <c r="Z4" s="48" t="s">
        <v>48</v>
      </c>
      <c r="AA4" s="48"/>
      <c r="AB4" s="48"/>
      <c r="AC4" s="48"/>
      <c r="AE4" s="49" t="str">
        <f>Tabela!A4</f>
        <v>Senegal</v>
      </c>
      <c r="AF4" s="49"/>
      <c r="AG4" s="49"/>
      <c r="AH4" s="49"/>
      <c r="AI4" s="2">
        <f>Tabela!B4</f>
        <v>0</v>
      </c>
      <c r="AJ4" s="2" t="s">
        <v>70</v>
      </c>
      <c r="AK4" s="2">
        <f>Tabela!D4</f>
        <v>2</v>
      </c>
      <c r="AL4" s="48" t="str">
        <f>Tabela!E4</f>
        <v>Holanda</v>
      </c>
      <c r="AM4" s="48"/>
      <c r="AN4" s="48"/>
      <c r="AO4" s="48"/>
      <c r="AQ4" s="49" t="str">
        <f>Tabela!G4</f>
        <v>Espanha</v>
      </c>
      <c r="AR4" s="49"/>
      <c r="AS4" s="49"/>
      <c r="AT4" s="49"/>
      <c r="AU4" s="2">
        <f>Tabela!H4</f>
        <v>0</v>
      </c>
      <c r="AV4" s="2" t="s">
        <v>70</v>
      </c>
      <c r="AW4" s="2">
        <f>Tabela!J4</f>
        <v>0</v>
      </c>
      <c r="AX4" s="48" t="str">
        <f>Tabela!K4</f>
        <v>CostaRica</v>
      </c>
      <c r="AY4" s="48"/>
      <c r="AZ4" s="48"/>
      <c r="BA4" s="48"/>
      <c r="BC4" s="2">
        <f t="shared" ref="BC4:BC8" si="0">IF(AND(AI4=K4,AK4=M4),25,0)</f>
        <v>0</v>
      </c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</row>
    <row r="5" spans="1:133" x14ac:dyDescent="0.25">
      <c r="A5" s="21" t="s">
        <v>0</v>
      </c>
      <c r="B5" s="22"/>
      <c r="C5" s="22" t="s">
        <v>0</v>
      </c>
      <c r="D5" s="22"/>
      <c r="E5" s="25" t="s">
        <v>0</v>
      </c>
      <c r="G5" s="49" t="s">
        <v>46</v>
      </c>
      <c r="H5" s="49"/>
      <c r="I5" s="49"/>
      <c r="J5" s="49"/>
      <c r="K5" s="2">
        <v>1</v>
      </c>
      <c r="L5" s="2" t="s">
        <v>70</v>
      </c>
      <c r="M5" s="2">
        <v>2</v>
      </c>
      <c r="N5" s="48" t="s">
        <v>65</v>
      </c>
      <c r="O5" s="48"/>
      <c r="P5" s="48"/>
      <c r="Q5" s="48"/>
      <c r="S5" s="49" t="s">
        <v>59</v>
      </c>
      <c r="T5" s="49"/>
      <c r="U5" s="49"/>
      <c r="V5" s="49"/>
      <c r="W5" s="2">
        <v>1</v>
      </c>
      <c r="X5" s="2" t="s">
        <v>70</v>
      </c>
      <c r="Y5" s="2">
        <v>0</v>
      </c>
      <c r="Z5" s="48" t="s">
        <v>48</v>
      </c>
      <c r="AA5" s="48"/>
      <c r="AB5" s="48"/>
      <c r="AC5" s="48"/>
      <c r="AE5" s="49" t="str">
        <f>Tabela!A5</f>
        <v>Catar</v>
      </c>
      <c r="AF5" s="49"/>
      <c r="AG5" s="49"/>
      <c r="AH5" s="49"/>
      <c r="AI5" s="2">
        <f>Tabela!B5</f>
        <v>0</v>
      </c>
      <c r="AJ5" s="2" t="s">
        <v>70</v>
      </c>
      <c r="AK5" s="2">
        <f>Tabela!D5</f>
        <v>0</v>
      </c>
      <c r="AL5" s="48" t="str">
        <f>Tabela!E5</f>
        <v>Senegal</v>
      </c>
      <c r="AM5" s="48"/>
      <c r="AN5" s="48"/>
      <c r="AO5" s="48"/>
      <c r="AQ5" s="49" t="str">
        <f>Tabela!G5</f>
        <v>Japão</v>
      </c>
      <c r="AR5" s="49"/>
      <c r="AS5" s="49"/>
      <c r="AT5" s="49"/>
      <c r="AU5" s="2">
        <f>Tabela!H5</f>
        <v>0</v>
      </c>
      <c r="AV5" s="2" t="s">
        <v>70</v>
      </c>
      <c r="AW5" s="2">
        <f>Tabela!J5</f>
        <v>0</v>
      </c>
      <c r="AX5" s="48" t="str">
        <f>Tabela!K5</f>
        <v>CostaRica</v>
      </c>
      <c r="AY5" s="48"/>
      <c r="AZ5" s="48"/>
      <c r="BA5" s="48"/>
      <c r="BC5" s="2">
        <f t="shared" si="0"/>
        <v>0</v>
      </c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5"/>
      <c r="BO5" s="35"/>
      <c r="BP5" s="35"/>
      <c r="BQ5" s="35"/>
      <c r="BR5" s="76" t="s">
        <v>234</v>
      </c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76"/>
      <c r="CL5" s="76"/>
      <c r="CM5" s="76"/>
      <c r="CN5" s="76"/>
      <c r="CO5" s="76"/>
      <c r="CP5" s="76"/>
      <c r="CQ5" s="76"/>
      <c r="CR5" s="76"/>
      <c r="CS5" s="76"/>
      <c r="CT5" s="76"/>
      <c r="CU5" s="76"/>
      <c r="CV5" s="76"/>
      <c r="CW5" s="76"/>
      <c r="CX5" s="76"/>
      <c r="CY5" s="76"/>
      <c r="CZ5" s="76"/>
      <c r="DA5" s="76"/>
      <c r="DB5" s="76"/>
      <c r="DC5" s="76"/>
      <c r="DD5" s="76"/>
      <c r="DE5" s="76"/>
      <c r="DF5" s="76"/>
      <c r="DG5" s="76"/>
      <c r="DH5" s="76"/>
      <c r="DI5" s="76"/>
      <c r="DJ5" s="76"/>
      <c r="DK5" s="76"/>
      <c r="DL5" s="76"/>
      <c r="DM5" s="76"/>
      <c r="DN5" s="76"/>
      <c r="DO5" s="76"/>
      <c r="DP5" s="76"/>
      <c r="DQ5" s="76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</row>
    <row r="6" spans="1:133" x14ac:dyDescent="0.25">
      <c r="A6" s="21" t="s">
        <v>28</v>
      </c>
      <c r="B6" s="22"/>
      <c r="C6" s="22" t="s">
        <v>14</v>
      </c>
      <c r="D6" s="22"/>
      <c r="E6" s="25" t="s">
        <v>23</v>
      </c>
      <c r="G6" s="49" t="s">
        <v>56</v>
      </c>
      <c r="H6" s="49"/>
      <c r="I6" s="49"/>
      <c r="J6" s="49"/>
      <c r="K6" s="2">
        <v>1</v>
      </c>
      <c r="L6" s="2" t="s">
        <v>70</v>
      </c>
      <c r="M6" s="2">
        <v>1</v>
      </c>
      <c r="N6" s="48" t="s">
        <v>51</v>
      </c>
      <c r="O6" s="48"/>
      <c r="P6" s="48"/>
      <c r="Q6" s="48"/>
      <c r="S6" s="49" t="s">
        <v>52</v>
      </c>
      <c r="T6" s="49"/>
      <c r="U6" s="49"/>
      <c r="V6" s="49"/>
      <c r="W6" s="2">
        <v>2</v>
      </c>
      <c r="X6" s="2" t="s">
        <v>70</v>
      </c>
      <c r="Y6" s="2">
        <v>3</v>
      </c>
      <c r="Z6" s="48" t="s">
        <v>38</v>
      </c>
      <c r="AA6" s="48"/>
      <c r="AB6" s="48"/>
      <c r="AC6" s="48"/>
      <c r="AE6" s="49" t="str">
        <f>Tabela!A6</f>
        <v>Holanda</v>
      </c>
      <c r="AF6" s="49"/>
      <c r="AG6" s="49"/>
      <c r="AH6" s="49"/>
      <c r="AI6" s="2">
        <f>Tabela!B6</f>
        <v>0</v>
      </c>
      <c r="AJ6" s="2" t="s">
        <v>70</v>
      </c>
      <c r="AK6" s="2">
        <f>Tabela!D6</f>
        <v>0</v>
      </c>
      <c r="AL6" s="48" t="str">
        <f>Tabela!E6</f>
        <v>Equador</v>
      </c>
      <c r="AM6" s="48"/>
      <c r="AN6" s="48"/>
      <c r="AO6" s="48"/>
      <c r="AQ6" s="49" t="str">
        <f>Tabela!G6</f>
        <v>Espanha</v>
      </c>
      <c r="AR6" s="49"/>
      <c r="AS6" s="49"/>
      <c r="AT6" s="49"/>
      <c r="AU6" s="2">
        <f>Tabela!H6</f>
        <v>0</v>
      </c>
      <c r="AV6" s="2" t="s">
        <v>70</v>
      </c>
      <c r="AW6" s="2">
        <f>Tabela!J6</f>
        <v>0</v>
      </c>
      <c r="AX6" s="48" t="str">
        <f>Tabela!K6</f>
        <v>Alemanha</v>
      </c>
      <c r="AY6" s="48"/>
      <c r="AZ6" s="48"/>
      <c r="BA6" s="48"/>
      <c r="BC6" s="2">
        <f t="shared" si="0"/>
        <v>0</v>
      </c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5"/>
      <c r="BO6" s="35"/>
      <c r="BP6" s="35"/>
      <c r="BQ6" s="35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/>
      <c r="CG6" s="76"/>
      <c r="CH6" s="76"/>
      <c r="CI6" s="76"/>
      <c r="CJ6" s="76"/>
      <c r="CK6" s="76"/>
      <c r="CL6" s="76"/>
      <c r="CM6" s="76"/>
      <c r="CN6" s="76"/>
      <c r="CO6" s="76"/>
      <c r="CP6" s="76"/>
      <c r="CQ6" s="76"/>
      <c r="CR6" s="76"/>
      <c r="CS6" s="76"/>
      <c r="CT6" s="76"/>
      <c r="CU6" s="76"/>
      <c r="CV6" s="76"/>
      <c r="CW6" s="76"/>
      <c r="CX6" s="76"/>
      <c r="CY6" s="76"/>
      <c r="CZ6" s="76"/>
      <c r="DA6" s="76"/>
      <c r="DB6" s="76"/>
      <c r="DC6" s="76"/>
      <c r="DD6" s="76"/>
      <c r="DE6" s="76"/>
      <c r="DF6" s="76"/>
      <c r="DG6" s="76"/>
      <c r="DH6" s="76"/>
      <c r="DI6" s="76"/>
      <c r="DJ6" s="76"/>
      <c r="DK6" s="76"/>
      <c r="DL6" s="76"/>
      <c r="DM6" s="76"/>
      <c r="DN6" s="76"/>
      <c r="DO6" s="76"/>
      <c r="DP6" s="76"/>
      <c r="DQ6" s="76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</row>
    <row r="7" spans="1:133" x14ac:dyDescent="0.25">
      <c r="A7" s="21" t="s">
        <v>2</v>
      </c>
      <c r="B7" s="22"/>
      <c r="C7" s="22" t="s">
        <v>15</v>
      </c>
      <c r="D7" s="22"/>
      <c r="E7" s="25" t="s">
        <v>34</v>
      </c>
      <c r="G7" s="49" t="s">
        <v>56</v>
      </c>
      <c r="H7" s="49"/>
      <c r="I7" s="49"/>
      <c r="J7" s="49"/>
      <c r="K7" s="2">
        <v>2</v>
      </c>
      <c r="L7" s="2" t="s">
        <v>70</v>
      </c>
      <c r="M7" s="2">
        <v>0</v>
      </c>
      <c r="N7" s="48" t="s">
        <v>46</v>
      </c>
      <c r="O7" s="48"/>
      <c r="P7" s="48"/>
      <c r="Q7" s="48"/>
      <c r="S7" s="49" t="s">
        <v>59</v>
      </c>
      <c r="T7" s="49"/>
      <c r="U7" s="49"/>
      <c r="V7" s="49"/>
      <c r="W7" s="2">
        <v>2</v>
      </c>
      <c r="X7" s="2" t="s">
        <v>70</v>
      </c>
      <c r="Y7" s="2">
        <v>2</v>
      </c>
      <c r="Z7" s="48" t="s">
        <v>52</v>
      </c>
      <c r="AA7" s="48"/>
      <c r="AB7" s="48"/>
      <c r="AC7" s="48"/>
      <c r="AE7" s="49" t="str">
        <f>Tabela!A7</f>
        <v>Holanda</v>
      </c>
      <c r="AF7" s="49"/>
      <c r="AG7" s="49"/>
      <c r="AH7" s="49"/>
      <c r="AI7" s="2">
        <f>Tabela!B7</f>
        <v>0</v>
      </c>
      <c r="AJ7" s="2" t="s">
        <v>70</v>
      </c>
      <c r="AK7" s="2">
        <f>Tabela!D7</f>
        <v>0</v>
      </c>
      <c r="AL7" s="48" t="str">
        <f>Tabela!E7</f>
        <v>Catar</v>
      </c>
      <c r="AM7" s="48"/>
      <c r="AN7" s="48"/>
      <c r="AO7" s="48"/>
      <c r="AQ7" s="49" t="str">
        <f>Tabela!G7</f>
        <v>Japão</v>
      </c>
      <c r="AR7" s="49"/>
      <c r="AS7" s="49"/>
      <c r="AT7" s="49"/>
      <c r="AU7" s="2">
        <f>Tabela!H7</f>
        <v>0</v>
      </c>
      <c r="AV7" s="2" t="s">
        <v>70</v>
      </c>
      <c r="AW7" s="2">
        <f>Tabela!J7</f>
        <v>0</v>
      </c>
      <c r="AX7" s="48" t="str">
        <f>Tabela!K7</f>
        <v>Espanha</v>
      </c>
      <c r="AY7" s="48"/>
      <c r="AZ7" s="48"/>
      <c r="BA7" s="48"/>
      <c r="BC7" s="2">
        <f t="shared" si="0"/>
        <v>0</v>
      </c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5"/>
      <c r="BO7" s="35"/>
      <c r="BP7" s="35"/>
      <c r="BQ7" s="35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M7" s="76"/>
      <c r="CN7" s="76"/>
      <c r="CO7" s="76"/>
      <c r="CP7" s="76"/>
      <c r="CQ7" s="76"/>
      <c r="CR7" s="76"/>
      <c r="CS7" s="76"/>
      <c r="CT7" s="76"/>
      <c r="CU7" s="76"/>
      <c r="CV7" s="76"/>
      <c r="CW7" s="76"/>
      <c r="CX7" s="76"/>
      <c r="CY7" s="76"/>
      <c r="CZ7" s="76"/>
      <c r="DA7" s="76"/>
      <c r="DB7" s="76"/>
      <c r="DC7" s="76"/>
      <c r="DD7" s="76"/>
      <c r="DE7" s="76"/>
      <c r="DF7" s="76"/>
      <c r="DG7" s="76"/>
      <c r="DH7" s="76"/>
      <c r="DI7" s="76"/>
      <c r="DJ7" s="76"/>
      <c r="DK7" s="76"/>
      <c r="DL7" s="76"/>
      <c r="DM7" s="76"/>
      <c r="DN7" s="76"/>
      <c r="DO7" s="76"/>
      <c r="DP7" s="76"/>
      <c r="DQ7" s="76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</row>
    <row r="8" spans="1:133" ht="15.75" thickBot="1" x14ac:dyDescent="0.3">
      <c r="A8" s="21" t="s">
        <v>85</v>
      </c>
      <c r="B8" s="22"/>
      <c r="C8" s="22" t="s">
        <v>92</v>
      </c>
      <c r="D8" s="22"/>
      <c r="E8" s="25" t="s">
        <v>24</v>
      </c>
      <c r="G8" s="49" t="s">
        <v>51</v>
      </c>
      <c r="H8" s="49"/>
      <c r="I8" s="49"/>
      <c r="J8" s="49"/>
      <c r="K8" s="2">
        <v>1</v>
      </c>
      <c r="L8" s="2" t="s">
        <v>70</v>
      </c>
      <c r="M8" s="2">
        <v>0</v>
      </c>
      <c r="N8" s="48" t="s">
        <v>65</v>
      </c>
      <c r="O8" s="48"/>
      <c r="P8" s="48"/>
      <c r="Q8" s="48"/>
      <c r="S8" s="49" t="s">
        <v>48</v>
      </c>
      <c r="T8" s="49"/>
      <c r="U8" s="49"/>
      <c r="V8" s="49"/>
      <c r="W8" s="2">
        <v>0</v>
      </c>
      <c r="X8" s="2" t="s">
        <v>70</v>
      </c>
      <c r="Y8" s="2">
        <v>4</v>
      </c>
      <c r="Z8" s="48" t="s">
        <v>38</v>
      </c>
      <c r="AA8" s="48"/>
      <c r="AB8" s="48"/>
      <c r="AC8" s="48"/>
      <c r="AE8" s="49" t="str">
        <f>Tabela!A8</f>
        <v>Equador</v>
      </c>
      <c r="AF8" s="49"/>
      <c r="AG8" s="49"/>
      <c r="AH8" s="49"/>
      <c r="AI8" s="2">
        <f>Tabela!B8</f>
        <v>0</v>
      </c>
      <c r="AJ8" s="2" t="s">
        <v>70</v>
      </c>
      <c r="AK8" s="2">
        <f>Tabela!D8</f>
        <v>0</v>
      </c>
      <c r="AL8" s="48" t="str">
        <f>Tabela!E8</f>
        <v>Senegal</v>
      </c>
      <c r="AM8" s="48"/>
      <c r="AN8" s="48"/>
      <c r="AO8" s="48"/>
      <c r="AQ8" s="49" t="str">
        <f>Tabela!G8</f>
        <v>CostaRica</v>
      </c>
      <c r="AR8" s="49"/>
      <c r="AS8" s="49"/>
      <c r="AT8" s="49"/>
      <c r="AU8" s="2">
        <f>Tabela!H8</f>
        <v>0</v>
      </c>
      <c r="AV8" s="2" t="s">
        <v>70</v>
      </c>
      <c r="AW8" s="2">
        <f>Tabela!J8</f>
        <v>0</v>
      </c>
      <c r="AX8" s="48" t="str">
        <f>Tabela!K8</f>
        <v>Alemanha</v>
      </c>
      <c r="AY8" s="48"/>
      <c r="AZ8" s="48"/>
      <c r="BA8" s="48"/>
      <c r="BC8" s="2">
        <f t="shared" si="0"/>
        <v>0</v>
      </c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5"/>
      <c r="BO8" s="35"/>
      <c r="BP8" s="35"/>
      <c r="BQ8" s="35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  <c r="CG8" s="77"/>
      <c r="CH8" s="77"/>
      <c r="CI8" s="77"/>
      <c r="CJ8" s="77"/>
      <c r="CK8" s="77"/>
      <c r="CL8" s="77"/>
      <c r="CM8" s="77"/>
      <c r="CN8" s="77"/>
      <c r="CO8" s="76"/>
      <c r="CP8" s="76"/>
      <c r="CQ8" s="76"/>
      <c r="CR8" s="76"/>
      <c r="CS8" s="76"/>
      <c r="CT8" s="76"/>
      <c r="CU8" s="77"/>
      <c r="CV8" s="77"/>
      <c r="CW8" s="77"/>
      <c r="CX8" s="77"/>
      <c r="CY8" s="77"/>
      <c r="CZ8" s="77"/>
      <c r="DA8" s="77"/>
      <c r="DB8" s="77"/>
      <c r="DC8" s="76"/>
      <c r="DD8" s="76"/>
      <c r="DE8" s="76"/>
      <c r="DF8" s="76"/>
      <c r="DG8" s="76"/>
      <c r="DH8" s="76"/>
      <c r="DI8" s="76"/>
      <c r="DJ8" s="76"/>
      <c r="DK8" s="76"/>
      <c r="DL8" s="76"/>
      <c r="DM8" s="76"/>
      <c r="DN8" s="76"/>
      <c r="DO8" s="76"/>
      <c r="DP8" s="76"/>
      <c r="DQ8" s="76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</row>
    <row r="9" spans="1:133" x14ac:dyDescent="0.25">
      <c r="A9" s="21" t="s">
        <v>3</v>
      </c>
      <c r="B9" s="22"/>
      <c r="C9" s="22" t="s">
        <v>93</v>
      </c>
      <c r="D9" s="22"/>
      <c r="E9" s="25" t="s">
        <v>25</v>
      </c>
      <c r="G9" s="66" t="s">
        <v>5</v>
      </c>
      <c r="H9" s="66"/>
      <c r="I9" s="66"/>
      <c r="J9" s="66"/>
      <c r="K9" s="66"/>
      <c r="L9" s="66"/>
      <c r="M9" s="66"/>
      <c r="N9" s="66"/>
      <c r="O9" s="66"/>
      <c r="P9" s="66"/>
      <c r="Q9" s="66"/>
      <c r="S9" s="66" t="s">
        <v>74</v>
      </c>
      <c r="T9" s="66"/>
      <c r="U9" s="66"/>
      <c r="V9" s="66"/>
      <c r="W9" s="66"/>
      <c r="X9" s="66"/>
      <c r="Y9" s="66"/>
      <c r="Z9" s="66"/>
      <c r="AA9" s="66"/>
      <c r="AB9" s="66"/>
      <c r="AC9" s="66"/>
      <c r="AE9" s="67" t="str">
        <f>Tabela!A9</f>
        <v>Grupo B</v>
      </c>
      <c r="AF9" s="67"/>
      <c r="AG9" s="67"/>
      <c r="AH9" s="67"/>
      <c r="AI9" s="67"/>
      <c r="AJ9" s="67"/>
      <c r="AK9" s="67"/>
      <c r="AL9" s="67"/>
      <c r="AM9" s="67"/>
      <c r="AN9" s="67"/>
      <c r="AO9" s="67"/>
      <c r="AQ9" s="67" t="str">
        <f>Tabela!G9</f>
        <v>Grupo F</v>
      </c>
      <c r="AR9" s="67"/>
      <c r="AS9" s="67"/>
      <c r="AT9" s="67"/>
      <c r="AU9" s="67"/>
      <c r="AV9" s="67"/>
      <c r="AW9" s="67"/>
      <c r="AX9" s="67"/>
      <c r="AY9" s="67"/>
      <c r="AZ9" s="67"/>
      <c r="BA9" s="67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5"/>
      <c r="BO9" s="35"/>
      <c r="BP9" s="35"/>
      <c r="BQ9" s="35"/>
      <c r="BR9" s="52" t="s">
        <v>236</v>
      </c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3"/>
      <c r="CG9" s="54">
        <v>0</v>
      </c>
      <c r="CH9" s="55"/>
      <c r="CI9" s="55"/>
      <c r="CJ9" s="55"/>
      <c r="CK9" s="55"/>
      <c r="CL9" s="55"/>
      <c r="CM9" s="55"/>
      <c r="CN9" s="56"/>
      <c r="CO9" s="63" t="s">
        <v>238</v>
      </c>
      <c r="CP9" s="64"/>
      <c r="CQ9" s="64"/>
      <c r="CR9" s="64"/>
      <c r="CS9" s="64"/>
      <c r="CT9" s="65"/>
      <c r="CU9" s="54">
        <v>0</v>
      </c>
      <c r="CV9" s="55"/>
      <c r="CW9" s="55"/>
      <c r="CX9" s="55"/>
      <c r="CY9" s="55"/>
      <c r="CZ9" s="55"/>
      <c r="DA9" s="55"/>
      <c r="DB9" s="56"/>
      <c r="DC9" s="50" t="s">
        <v>237</v>
      </c>
      <c r="DD9" s="51"/>
      <c r="DE9" s="51"/>
      <c r="DF9" s="51"/>
      <c r="DG9" s="51"/>
      <c r="DH9" s="51"/>
      <c r="DI9" s="51"/>
      <c r="DJ9" s="51"/>
      <c r="DK9" s="51"/>
      <c r="DL9" s="51"/>
      <c r="DM9" s="51"/>
      <c r="DN9" s="51"/>
      <c r="DO9" s="51"/>
      <c r="DP9" s="51"/>
      <c r="DQ9" s="51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</row>
    <row r="10" spans="1:133" x14ac:dyDescent="0.25">
      <c r="A10" s="21" t="s">
        <v>4</v>
      </c>
      <c r="B10" s="22"/>
      <c r="C10" s="22" t="s">
        <v>94</v>
      </c>
      <c r="D10" s="22"/>
      <c r="E10" s="25" t="s">
        <v>26</v>
      </c>
      <c r="G10" s="49" t="s">
        <v>57</v>
      </c>
      <c r="H10" s="49"/>
      <c r="I10" s="49"/>
      <c r="J10" s="49"/>
      <c r="K10" s="2">
        <v>2</v>
      </c>
      <c r="L10" s="2" t="s">
        <v>70</v>
      </c>
      <c r="M10" s="2">
        <v>0</v>
      </c>
      <c r="N10" s="48" t="s">
        <v>58</v>
      </c>
      <c r="O10" s="48"/>
      <c r="P10" s="48"/>
      <c r="Q10" s="48"/>
      <c r="S10" s="49" t="s">
        <v>60</v>
      </c>
      <c r="T10" s="49"/>
      <c r="U10" s="49"/>
      <c r="V10" s="49"/>
      <c r="W10" s="2">
        <v>1</v>
      </c>
      <c r="X10" s="2" t="s">
        <v>70</v>
      </c>
      <c r="Y10" s="2">
        <v>3</v>
      </c>
      <c r="Z10" s="48" t="s">
        <v>49</v>
      </c>
      <c r="AA10" s="48"/>
      <c r="AB10" s="48"/>
      <c r="AC10" s="48"/>
      <c r="AE10" s="49" t="str">
        <f>Tabela!A10</f>
        <v>Inglaterra</v>
      </c>
      <c r="AF10" s="49"/>
      <c r="AG10" s="49"/>
      <c r="AH10" s="49"/>
      <c r="AI10" s="2">
        <f>Tabela!B10</f>
        <v>6</v>
      </c>
      <c r="AJ10" s="2" t="s">
        <v>70</v>
      </c>
      <c r="AK10" s="2">
        <f>Tabela!D10</f>
        <v>2</v>
      </c>
      <c r="AL10" s="48" t="str">
        <f>Tabela!E10</f>
        <v>Irã</v>
      </c>
      <c r="AM10" s="48"/>
      <c r="AN10" s="48"/>
      <c r="AO10" s="48"/>
      <c r="AQ10" s="49" t="str">
        <f>Tabela!G10</f>
        <v>Marrocos</v>
      </c>
      <c r="AR10" s="49"/>
      <c r="AS10" s="49"/>
      <c r="AT10" s="49"/>
      <c r="AU10" s="2">
        <f>Tabela!H10</f>
        <v>0</v>
      </c>
      <c r="AV10" s="2" t="s">
        <v>70</v>
      </c>
      <c r="AW10" s="2">
        <f>Tabela!J10</f>
        <v>0</v>
      </c>
      <c r="AX10" s="48" t="str">
        <f>Tabela!K10</f>
        <v>Croácia</v>
      </c>
      <c r="AY10" s="48"/>
      <c r="AZ10" s="48"/>
      <c r="BA10" s="48"/>
      <c r="BC10" s="2">
        <f t="shared" ref="BC10:BC29" si="1">IF(AND(AI10=K10,AK10=M10),25,0)</f>
        <v>0</v>
      </c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5"/>
      <c r="BO10" s="35"/>
      <c r="BP10" s="35"/>
      <c r="BQ10" s="35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3"/>
      <c r="CG10" s="57"/>
      <c r="CH10" s="58"/>
      <c r="CI10" s="58"/>
      <c r="CJ10" s="58"/>
      <c r="CK10" s="58"/>
      <c r="CL10" s="58"/>
      <c r="CM10" s="58"/>
      <c r="CN10" s="59"/>
      <c r="CO10" s="63"/>
      <c r="CP10" s="64"/>
      <c r="CQ10" s="64"/>
      <c r="CR10" s="64"/>
      <c r="CS10" s="64"/>
      <c r="CT10" s="65"/>
      <c r="CU10" s="57"/>
      <c r="CV10" s="58"/>
      <c r="CW10" s="58"/>
      <c r="CX10" s="58"/>
      <c r="CY10" s="58"/>
      <c r="CZ10" s="58"/>
      <c r="DA10" s="58"/>
      <c r="DB10" s="59"/>
      <c r="DC10" s="50"/>
      <c r="DD10" s="51"/>
      <c r="DE10" s="51"/>
      <c r="DF10" s="51"/>
      <c r="DG10" s="51"/>
      <c r="DH10" s="51"/>
      <c r="DI10" s="51"/>
      <c r="DJ10" s="51"/>
      <c r="DK10" s="51"/>
      <c r="DL10" s="51"/>
      <c r="DM10" s="51"/>
      <c r="DN10" s="51"/>
      <c r="DO10" s="51"/>
      <c r="DP10" s="51"/>
      <c r="DQ10" s="51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</row>
    <row r="11" spans="1:133" x14ac:dyDescent="0.25">
      <c r="A11" s="21" t="s">
        <v>90</v>
      </c>
      <c r="B11" s="22"/>
      <c r="C11" s="22" t="s">
        <v>95</v>
      </c>
      <c r="D11" s="22"/>
      <c r="E11" s="25" t="s">
        <v>35</v>
      </c>
      <c r="G11" s="49" t="s">
        <v>53</v>
      </c>
      <c r="H11" s="49"/>
      <c r="I11" s="49"/>
      <c r="J11" s="49"/>
      <c r="K11" s="2">
        <v>1</v>
      </c>
      <c r="L11" s="2" t="s">
        <v>70</v>
      </c>
      <c r="M11" s="2">
        <v>0</v>
      </c>
      <c r="N11" s="48" t="s">
        <v>71</v>
      </c>
      <c r="O11" s="48"/>
      <c r="P11" s="48"/>
      <c r="Q11" s="48"/>
      <c r="S11" s="49" t="s">
        <v>42</v>
      </c>
      <c r="T11" s="49"/>
      <c r="U11" s="49"/>
      <c r="V11" s="49"/>
      <c r="W11" s="2">
        <v>2</v>
      </c>
      <c r="X11" s="2" t="s">
        <v>70</v>
      </c>
      <c r="Y11" s="2">
        <v>1</v>
      </c>
      <c r="Z11" s="48" t="s">
        <v>45</v>
      </c>
      <c r="AA11" s="48"/>
      <c r="AB11" s="48"/>
      <c r="AC11" s="48"/>
      <c r="AE11" s="49" t="str">
        <f>Tabela!A11</f>
        <v>Estados Unidos</v>
      </c>
      <c r="AF11" s="49"/>
      <c r="AG11" s="49"/>
      <c r="AH11" s="49"/>
      <c r="AI11" s="2">
        <f>Tabela!B11</f>
        <v>1</v>
      </c>
      <c r="AJ11" s="2" t="s">
        <v>70</v>
      </c>
      <c r="AK11" s="2">
        <f>Tabela!D11</f>
        <v>1</v>
      </c>
      <c r="AL11" s="48" t="str">
        <f>Tabela!E11</f>
        <v>Gales</v>
      </c>
      <c r="AM11" s="48"/>
      <c r="AN11" s="48"/>
      <c r="AO11" s="48"/>
      <c r="AQ11" s="49" t="str">
        <f>Tabela!G11</f>
        <v>Bélgica</v>
      </c>
      <c r="AR11" s="49"/>
      <c r="AS11" s="49"/>
      <c r="AT11" s="49"/>
      <c r="AU11" s="2">
        <f>Tabela!H11</f>
        <v>0</v>
      </c>
      <c r="AV11" s="2" t="s">
        <v>70</v>
      </c>
      <c r="AW11" s="2">
        <f>Tabela!J11</f>
        <v>0</v>
      </c>
      <c r="AX11" s="48" t="str">
        <f>Tabela!K11</f>
        <v>Canadá</v>
      </c>
      <c r="AY11" s="48"/>
      <c r="AZ11" s="48"/>
      <c r="BA11" s="48"/>
      <c r="BC11" s="2">
        <f t="shared" si="1"/>
        <v>0</v>
      </c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5"/>
      <c r="BO11" s="35"/>
      <c r="BP11" s="35"/>
      <c r="BQ11" s="35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3"/>
      <c r="CG11" s="57"/>
      <c r="CH11" s="58"/>
      <c r="CI11" s="58"/>
      <c r="CJ11" s="58"/>
      <c r="CK11" s="58"/>
      <c r="CL11" s="58"/>
      <c r="CM11" s="58"/>
      <c r="CN11" s="59"/>
      <c r="CO11" s="63"/>
      <c r="CP11" s="64"/>
      <c r="CQ11" s="64"/>
      <c r="CR11" s="64"/>
      <c r="CS11" s="64"/>
      <c r="CT11" s="65"/>
      <c r="CU11" s="57"/>
      <c r="CV11" s="58"/>
      <c r="CW11" s="58"/>
      <c r="CX11" s="58"/>
      <c r="CY11" s="58"/>
      <c r="CZ11" s="58"/>
      <c r="DA11" s="58"/>
      <c r="DB11" s="59"/>
      <c r="DC11" s="50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</row>
    <row r="12" spans="1:133" x14ac:dyDescent="0.25">
      <c r="A12" s="21" t="s">
        <v>0</v>
      </c>
      <c r="B12" s="22"/>
      <c r="C12" s="22" t="s">
        <v>0</v>
      </c>
      <c r="D12" s="22"/>
      <c r="E12" s="25" t="s">
        <v>0</v>
      </c>
      <c r="G12" s="49" t="s">
        <v>71</v>
      </c>
      <c r="H12" s="49"/>
      <c r="I12" s="49"/>
      <c r="J12" s="49"/>
      <c r="K12" s="2">
        <v>1</v>
      </c>
      <c r="L12" s="2" t="s">
        <v>70</v>
      </c>
      <c r="M12" s="2">
        <v>1</v>
      </c>
      <c r="N12" s="48" t="s">
        <v>58</v>
      </c>
      <c r="O12" s="48"/>
      <c r="P12" s="48"/>
      <c r="Q12" s="48"/>
      <c r="S12" s="49" t="s">
        <v>42</v>
      </c>
      <c r="T12" s="49"/>
      <c r="U12" s="49"/>
      <c r="V12" s="49"/>
      <c r="W12" s="2">
        <v>2</v>
      </c>
      <c r="X12" s="2" t="s">
        <v>70</v>
      </c>
      <c r="Y12" s="2">
        <v>0</v>
      </c>
      <c r="Z12" s="48" t="s">
        <v>60</v>
      </c>
      <c r="AA12" s="48"/>
      <c r="AB12" s="48"/>
      <c r="AC12" s="48"/>
      <c r="AE12" s="49" t="str">
        <f>Tabela!A12</f>
        <v>Gales</v>
      </c>
      <c r="AF12" s="49"/>
      <c r="AG12" s="49"/>
      <c r="AH12" s="49"/>
      <c r="AI12" s="2">
        <f>Tabela!B12</f>
        <v>0</v>
      </c>
      <c r="AJ12" s="2" t="s">
        <v>70</v>
      </c>
      <c r="AK12" s="2">
        <f>Tabela!D12</f>
        <v>0</v>
      </c>
      <c r="AL12" s="48" t="str">
        <f>Tabela!E12</f>
        <v>Irã</v>
      </c>
      <c r="AM12" s="48"/>
      <c r="AN12" s="48"/>
      <c r="AO12" s="48"/>
      <c r="AQ12" s="49" t="str">
        <f>Tabela!G12</f>
        <v>Bélgica</v>
      </c>
      <c r="AR12" s="49"/>
      <c r="AS12" s="49"/>
      <c r="AT12" s="49"/>
      <c r="AU12" s="2">
        <f>Tabela!H12</f>
        <v>0</v>
      </c>
      <c r="AV12" s="2" t="s">
        <v>70</v>
      </c>
      <c r="AW12" s="2">
        <f>Tabela!J12</f>
        <v>0</v>
      </c>
      <c r="AX12" s="48" t="str">
        <f>Tabela!K12</f>
        <v>Marrocos</v>
      </c>
      <c r="AY12" s="48"/>
      <c r="AZ12" s="48"/>
      <c r="BA12" s="48"/>
      <c r="BC12" s="2">
        <f t="shared" si="1"/>
        <v>0</v>
      </c>
      <c r="BD12" s="34"/>
      <c r="BE12" s="73" t="s">
        <v>231</v>
      </c>
      <c r="BF12" s="74"/>
      <c r="BG12" s="74"/>
      <c r="BH12" s="74"/>
      <c r="BI12" s="74"/>
      <c r="BJ12" s="74"/>
      <c r="BK12" s="74"/>
      <c r="BL12" s="74"/>
      <c r="BM12" s="74"/>
      <c r="BN12" s="74"/>
      <c r="BO12" s="75"/>
      <c r="BP12" s="35"/>
      <c r="BQ12" s="35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3"/>
      <c r="CG12" s="57"/>
      <c r="CH12" s="58"/>
      <c r="CI12" s="58"/>
      <c r="CJ12" s="58"/>
      <c r="CK12" s="58"/>
      <c r="CL12" s="58"/>
      <c r="CM12" s="58"/>
      <c r="CN12" s="59"/>
      <c r="CO12" s="63"/>
      <c r="CP12" s="64"/>
      <c r="CQ12" s="64"/>
      <c r="CR12" s="64"/>
      <c r="CS12" s="64"/>
      <c r="CT12" s="65"/>
      <c r="CU12" s="57"/>
      <c r="CV12" s="58"/>
      <c r="CW12" s="58"/>
      <c r="CX12" s="58"/>
      <c r="CY12" s="58"/>
      <c r="CZ12" s="58"/>
      <c r="DA12" s="58"/>
      <c r="DB12" s="59"/>
      <c r="DC12" s="50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</row>
    <row r="13" spans="1:133" x14ac:dyDescent="0.25">
      <c r="A13" s="17" t="s">
        <v>5</v>
      </c>
      <c r="B13" s="22"/>
      <c r="C13" s="18" t="s">
        <v>16</v>
      </c>
      <c r="D13" s="22"/>
      <c r="E13" s="19" t="s">
        <v>27</v>
      </c>
      <c r="G13" s="49" t="s">
        <v>57</v>
      </c>
      <c r="H13" s="49"/>
      <c r="I13" s="49"/>
      <c r="J13" s="49"/>
      <c r="K13" s="2">
        <v>2</v>
      </c>
      <c r="L13" s="2" t="s">
        <v>70</v>
      </c>
      <c r="M13" s="2">
        <v>1</v>
      </c>
      <c r="N13" s="48" t="s">
        <v>53</v>
      </c>
      <c r="O13" s="48"/>
      <c r="P13" s="48"/>
      <c r="Q13" s="48"/>
      <c r="S13" s="49" t="s">
        <v>49</v>
      </c>
      <c r="T13" s="49"/>
      <c r="U13" s="49"/>
      <c r="V13" s="49"/>
      <c r="W13" s="2">
        <v>2</v>
      </c>
      <c r="X13" s="2" t="s">
        <v>70</v>
      </c>
      <c r="Y13" s="2">
        <v>1</v>
      </c>
      <c r="Z13" s="48" t="s">
        <v>45</v>
      </c>
      <c r="AA13" s="48"/>
      <c r="AB13" s="48"/>
      <c r="AC13" s="48"/>
      <c r="AE13" s="49" t="str">
        <f>Tabela!A13</f>
        <v>Inglaterra</v>
      </c>
      <c r="AF13" s="49"/>
      <c r="AG13" s="49"/>
      <c r="AH13" s="49"/>
      <c r="AI13" s="2">
        <f>Tabela!B13</f>
        <v>0</v>
      </c>
      <c r="AJ13" s="2" t="s">
        <v>70</v>
      </c>
      <c r="AK13" s="2">
        <f>Tabela!D13</f>
        <v>0</v>
      </c>
      <c r="AL13" s="48" t="str">
        <f>Tabela!E13</f>
        <v>Estados Unidos</v>
      </c>
      <c r="AM13" s="48"/>
      <c r="AN13" s="48"/>
      <c r="AO13" s="48"/>
      <c r="AQ13" s="49" t="str">
        <f>Tabela!G13</f>
        <v>Croácia</v>
      </c>
      <c r="AR13" s="49"/>
      <c r="AS13" s="49"/>
      <c r="AT13" s="49"/>
      <c r="AU13" s="2">
        <f>Tabela!H13</f>
        <v>0</v>
      </c>
      <c r="AV13" s="2" t="s">
        <v>70</v>
      </c>
      <c r="AW13" s="2">
        <f>Tabela!J13</f>
        <v>0</v>
      </c>
      <c r="AX13" s="48" t="str">
        <f>Tabela!K13</f>
        <v>Canadá</v>
      </c>
      <c r="AY13" s="48"/>
      <c r="AZ13" s="48"/>
      <c r="BA13" s="48"/>
      <c r="BC13" s="2">
        <f t="shared" si="1"/>
        <v>0</v>
      </c>
      <c r="BD13" s="34"/>
      <c r="BE13" s="73"/>
      <c r="BF13" s="74"/>
      <c r="BG13" s="74"/>
      <c r="BH13" s="74"/>
      <c r="BI13" s="74"/>
      <c r="BJ13" s="74"/>
      <c r="BK13" s="74"/>
      <c r="BL13" s="74"/>
      <c r="BM13" s="74"/>
      <c r="BN13" s="74"/>
      <c r="BO13" s="75"/>
      <c r="BP13" s="35"/>
      <c r="BQ13" s="35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3"/>
      <c r="CG13" s="57"/>
      <c r="CH13" s="58"/>
      <c r="CI13" s="58"/>
      <c r="CJ13" s="58"/>
      <c r="CK13" s="58"/>
      <c r="CL13" s="58"/>
      <c r="CM13" s="58"/>
      <c r="CN13" s="59"/>
      <c r="CO13" s="63"/>
      <c r="CP13" s="64"/>
      <c r="CQ13" s="64"/>
      <c r="CR13" s="64"/>
      <c r="CS13" s="64"/>
      <c r="CT13" s="65"/>
      <c r="CU13" s="57"/>
      <c r="CV13" s="58"/>
      <c r="CW13" s="58"/>
      <c r="CX13" s="58"/>
      <c r="CY13" s="58"/>
      <c r="CZ13" s="58"/>
      <c r="DA13" s="58"/>
      <c r="DB13" s="59"/>
      <c r="DC13" s="50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</row>
    <row r="14" spans="1:133" ht="15.75" thickBot="1" x14ac:dyDescent="0.3">
      <c r="A14" s="21" t="s">
        <v>0</v>
      </c>
      <c r="B14" s="22"/>
      <c r="C14" s="22" t="s">
        <v>0</v>
      </c>
      <c r="D14" s="22"/>
      <c r="E14" s="25" t="s">
        <v>0</v>
      </c>
      <c r="G14" s="49" t="s">
        <v>58</v>
      </c>
      <c r="H14" s="49"/>
      <c r="I14" s="49"/>
      <c r="J14" s="49"/>
      <c r="K14" s="2">
        <v>1</v>
      </c>
      <c r="L14" s="2" t="s">
        <v>70</v>
      </c>
      <c r="M14" s="2">
        <v>1</v>
      </c>
      <c r="N14" s="48" t="s">
        <v>53</v>
      </c>
      <c r="O14" s="48"/>
      <c r="P14" s="48"/>
      <c r="Q14" s="48"/>
      <c r="S14" s="49" t="s">
        <v>49</v>
      </c>
      <c r="T14" s="49"/>
      <c r="U14" s="49"/>
      <c r="V14" s="49"/>
      <c r="W14" s="2">
        <v>1</v>
      </c>
      <c r="X14" s="2" t="s">
        <v>70</v>
      </c>
      <c r="Y14" s="2">
        <v>1</v>
      </c>
      <c r="Z14" s="48" t="s">
        <v>42</v>
      </c>
      <c r="AA14" s="48"/>
      <c r="AB14" s="48"/>
      <c r="AC14" s="48"/>
      <c r="AE14" s="49" t="str">
        <f>Tabela!A14</f>
        <v>Irã</v>
      </c>
      <c r="AF14" s="49"/>
      <c r="AG14" s="49"/>
      <c r="AH14" s="49"/>
      <c r="AI14" s="2">
        <f>Tabela!B14</f>
        <v>0</v>
      </c>
      <c r="AJ14" s="2" t="s">
        <v>70</v>
      </c>
      <c r="AK14" s="2">
        <f>Tabela!D14</f>
        <v>0</v>
      </c>
      <c r="AL14" s="48" t="str">
        <f>Tabela!E14</f>
        <v>Estados Unidos</v>
      </c>
      <c r="AM14" s="48"/>
      <c r="AN14" s="48"/>
      <c r="AO14" s="48"/>
      <c r="AQ14" s="49" t="str">
        <f>Tabela!G14</f>
        <v>Croácia</v>
      </c>
      <c r="AR14" s="49"/>
      <c r="AS14" s="49"/>
      <c r="AT14" s="49"/>
      <c r="AU14" s="2">
        <f>Tabela!H14</f>
        <v>0</v>
      </c>
      <c r="AV14" s="2" t="s">
        <v>70</v>
      </c>
      <c r="AW14" s="2">
        <f>Tabela!J14</f>
        <v>0</v>
      </c>
      <c r="AX14" s="48" t="str">
        <f>Tabela!K14</f>
        <v>Bélgica</v>
      </c>
      <c r="AY14" s="48"/>
      <c r="AZ14" s="48"/>
      <c r="BA14" s="48"/>
      <c r="BC14" s="2">
        <f t="shared" si="1"/>
        <v>0</v>
      </c>
      <c r="BD14" s="34"/>
      <c r="BE14" s="70">
        <v>10</v>
      </c>
      <c r="BF14" s="71"/>
      <c r="BG14" s="71"/>
      <c r="BH14" s="71"/>
      <c r="BI14" s="71"/>
      <c r="BJ14" s="71"/>
      <c r="BK14" s="71"/>
      <c r="BL14" s="71"/>
      <c r="BM14" s="71"/>
      <c r="BN14" s="71"/>
      <c r="BO14" s="72"/>
      <c r="BP14" s="35"/>
      <c r="BQ14" s="35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3"/>
      <c r="CG14" s="60"/>
      <c r="CH14" s="61"/>
      <c r="CI14" s="61"/>
      <c r="CJ14" s="61"/>
      <c r="CK14" s="61"/>
      <c r="CL14" s="61"/>
      <c r="CM14" s="61"/>
      <c r="CN14" s="62"/>
      <c r="CO14" s="63"/>
      <c r="CP14" s="64"/>
      <c r="CQ14" s="64"/>
      <c r="CR14" s="64"/>
      <c r="CS14" s="64"/>
      <c r="CT14" s="65"/>
      <c r="CU14" s="60"/>
      <c r="CV14" s="61"/>
      <c r="CW14" s="61"/>
      <c r="CX14" s="61"/>
      <c r="CY14" s="61"/>
      <c r="CZ14" s="61"/>
      <c r="DA14" s="61"/>
      <c r="DB14" s="62"/>
      <c r="DC14" s="50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</row>
    <row r="15" spans="1:133" x14ac:dyDescent="0.25">
      <c r="A15" s="21" t="s">
        <v>29</v>
      </c>
      <c r="B15" s="22"/>
      <c r="C15" s="22" t="s">
        <v>31</v>
      </c>
      <c r="D15" s="22"/>
      <c r="E15" s="25" t="s">
        <v>100</v>
      </c>
      <c r="G15" s="49" t="s">
        <v>71</v>
      </c>
      <c r="H15" s="49"/>
      <c r="I15" s="49"/>
      <c r="J15" s="49"/>
      <c r="K15" s="2">
        <v>0</v>
      </c>
      <c r="L15" s="2" t="s">
        <v>70</v>
      </c>
      <c r="M15" s="2">
        <v>3</v>
      </c>
      <c r="N15" s="48" t="s">
        <v>57</v>
      </c>
      <c r="O15" s="48"/>
      <c r="P15" s="48"/>
      <c r="Q15" s="48"/>
      <c r="S15" s="49" t="s">
        <v>45</v>
      </c>
      <c r="T15" s="49"/>
      <c r="U15" s="49"/>
      <c r="V15" s="49"/>
      <c r="W15" s="2">
        <v>1</v>
      </c>
      <c r="X15" s="2" t="s">
        <v>70</v>
      </c>
      <c r="Y15" s="2">
        <v>0</v>
      </c>
      <c r="Z15" s="48" t="s">
        <v>60</v>
      </c>
      <c r="AA15" s="48"/>
      <c r="AB15" s="48"/>
      <c r="AC15" s="48"/>
      <c r="AE15" s="49" t="str">
        <f>Tabela!A15</f>
        <v>Gales</v>
      </c>
      <c r="AF15" s="49"/>
      <c r="AG15" s="49"/>
      <c r="AH15" s="49"/>
      <c r="AI15" s="2">
        <f>Tabela!B15</f>
        <v>0</v>
      </c>
      <c r="AJ15" s="2" t="s">
        <v>70</v>
      </c>
      <c r="AK15" s="2">
        <f>Tabela!D15</f>
        <v>0</v>
      </c>
      <c r="AL15" s="48" t="str">
        <f>Tabela!E15</f>
        <v>Inglaterra</v>
      </c>
      <c r="AM15" s="48"/>
      <c r="AN15" s="48"/>
      <c r="AO15" s="48"/>
      <c r="AQ15" s="49" t="str">
        <f>Tabela!G15</f>
        <v>Canadá</v>
      </c>
      <c r="AR15" s="49"/>
      <c r="AS15" s="49"/>
      <c r="AT15" s="49"/>
      <c r="AU15" s="2">
        <f>Tabela!H15</f>
        <v>0</v>
      </c>
      <c r="AV15" s="2" t="s">
        <v>70</v>
      </c>
      <c r="AW15" s="2">
        <f>Tabela!J15</f>
        <v>0</v>
      </c>
      <c r="AX15" s="48" t="str">
        <f>Tabela!K15</f>
        <v>Marrocos</v>
      </c>
      <c r="AY15" s="48"/>
      <c r="AZ15" s="48"/>
      <c r="BA15" s="48"/>
      <c r="BC15" s="2">
        <f t="shared" si="1"/>
        <v>0</v>
      </c>
      <c r="BD15" s="34"/>
      <c r="BE15" s="70"/>
      <c r="BF15" s="71"/>
      <c r="BG15" s="71"/>
      <c r="BH15" s="71"/>
      <c r="BI15" s="71"/>
      <c r="BJ15" s="71"/>
      <c r="BK15" s="71"/>
      <c r="BL15" s="71"/>
      <c r="BM15" s="71"/>
      <c r="BN15" s="71"/>
      <c r="BO15" s="72"/>
      <c r="BP15" s="35"/>
      <c r="BQ15" s="35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</row>
    <row r="16" spans="1:133" x14ac:dyDescent="0.25">
      <c r="A16" s="21" t="s">
        <v>6</v>
      </c>
      <c r="B16" s="22"/>
      <c r="C16" s="22" t="s">
        <v>96</v>
      </c>
      <c r="D16" s="22"/>
      <c r="E16" s="25" t="s">
        <v>101</v>
      </c>
      <c r="G16" s="66" t="s">
        <v>9</v>
      </c>
      <c r="H16" s="66"/>
      <c r="I16" s="66"/>
      <c r="J16" s="66"/>
      <c r="K16" s="66"/>
      <c r="L16" s="66"/>
      <c r="M16" s="66"/>
      <c r="N16" s="66"/>
      <c r="O16" s="66"/>
      <c r="P16" s="66"/>
      <c r="Q16" s="66"/>
      <c r="S16" s="66" t="s">
        <v>75</v>
      </c>
      <c r="T16" s="66"/>
      <c r="U16" s="66"/>
      <c r="V16" s="66"/>
      <c r="W16" s="66"/>
      <c r="X16" s="66"/>
      <c r="Y16" s="66"/>
      <c r="Z16" s="66"/>
      <c r="AA16" s="66"/>
      <c r="AB16" s="66"/>
      <c r="AC16" s="66"/>
      <c r="AE16" s="67" t="str">
        <f>Tabela!A16</f>
        <v>j</v>
      </c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Q16" s="67" t="str">
        <f>Tabela!G16</f>
        <v>Grupo G</v>
      </c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D16" s="34"/>
      <c r="BE16" s="70"/>
      <c r="BF16" s="71"/>
      <c r="BG16" s="71"/>
      <c r="BH16" s="71"/>
      <c r="BI16" s="71"/>
      <c r="BJ16" s="71"/>
      <c r="BK16" s="71"/>
      <c r="BL16" s="71"/>
      <c r="BM16" s="71"/>
      <c r="BN16" s="71"/>
      <c r="BO16" s="72"/>
      <c r="BP16" s="35"/>
      <c r="BQ16" s="35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</row>
    <row r="17" spans="1:134" x14ac:dyDescent="0.25">
      <c r="A17" s="21" t="s">
        <v>7</v>
      </c>
      <c r="B17" s="22"/>
      <c r="C17" s="22" t="s">
        <v>81</v>
      </c>
      <c r="D17" s="22"/>
      <c r="E17" s="25" t="s">
        <v>36</v>
      </c>
      <c r="G17" s="49" t="s">
        <v>40</v>
      </c>
      <c r="H17" s="49"/>
      <c r="I17" s="49"/>
      <c r="J17" s="49"/>
      <c r="K17" s="2">
        <v>3</v>
      </c>
      <c r="L17" s="2" t="s">
        <v>70</v>
      </c>
      <c r="M17" s="2">
        <v>0</v>
      </c>
      <c r="N17" s="48" t="s">
        <v>39</v>
      </c>
      <c r="O17" s="48"/>
      <c r="P17" s="48"/>
      <c r="Q17" s="48"/>
      <c r="S17" s="49" t="s">
        <v>67</v>
      </c>
      <c r="T17" s="49"/>
      <c r="U17" s="49"/>
      <c r="V17" s="49"/>
      <c r="W17" s="2">
        <v>2</v>
      </c>
      <c r="X17" s="2" t="s">
        <v>70</v>
      </c>
      <c r="Y17" s="2">
        <v>1</v>
      </c>
      <c r="Z17" s="48" t="s">
        <v>44</v>
      </c>
      <c r="AA17" s="48"/>
      <c r="AB17" s="48"/>
      <c r="AC17" s="48"/>
      <c r="AE17" s="49" t="str">
        <f>Tabela!A17</f>
        <v>Argentina</v>
      </c>
      <c r="AF17" s="49"/>
      <c r="AG17" s="49"/>
      <c r="AH17" s="49"/>
      <c r="AI17" s="2">
        <f>Tabela!B17</f>
        <v>1</v>
      </c>
      <c r="AJ17" s="2" t="s">
        <v>70</v>
      </c>
      <c r="AK17" s="2">
        <f>Tabela!D17</f>
        <v>2</v>
      </c>
      <c r="AL17" s="48" t="str">
        <f>Tabela!E17</f>
        <v>ArábiaSaudita</v>
      </c>
      <c r="AM17" s="48"/>
      <c r="AN17" s="48"/>
      <c r="AO17" s="48"/>
      <c r="AQ17" s="49" t="str">
        <f>Tabela!G17</f>
        <v>Suíça</v>
      </c>
      <c r="AR17" s="49"/>
      <c r="AS17" s="49"/>
      <c r="AT17" s="49"/>
      <c r="AU17" s="2">
        <f>Tabela!H17</f>
        <v>0</v>
      </c>
      <c r="AV17" s="2" t="s">
        <v>70</v>
      </c>
      <c r="AW17" s="2">
        <f>Tabela!J17</f>
        <v>0</v>
      </c>
      <c r="AX17" s="48" t="str">
        <f>Tabela!K17</f>
        <v>Camarões</v>
      </c>
      <c r="AY17" s="48"/>
      <c r="AZ17" s="48"/>
      <c r="BA17" s="48"/>
      <c r="BC17" s="2">
        <f t="shared" si="1"/>
        <v>0</v>
      </c>
      <c r="BD17" s="34"/>
      <c r="BE17" s="70"/>
      <c r="BF17" s="71"/>
      <c r="BG17" s="71"/>
      <c r="BH17" s="71"/>
      <c r="BI17" s="71"/>
      <c r="BJ17" s="71"/>
      <c r="BK17" s="71"/>
      <c r="BL17" s="71"/>
      <c r="BM17" s="71"/>
      <c r="BN17" s="71"/>
      <c r="BO17" s="72"/>
      <c r="BP17" s="35"/>
      <c r="BQ17" s="35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</row>
    <row r="18" spans="1:134" x14ac:dyDescent="0.25">
      <c r="A18" s="21" t="s">
        <v>8</v>
      </c>
      <c r="B18" s="22"/>
      <c r="C18" s="22" t="s">
        <v>17</v>
      </c>
      <c r="D18" s="22"/>
      <c r="E18" s="25" t="s">
        <v>37</v>
      </c>
      <c r="G18" s="49" t="s">
        <v>61</v>
      </c>
      <c r="H18" s="49"/>
      <c r="I18" s="49"/>
      <c r="J18" s="49"/>
      <c r="K18" s="2">
        <v>1</v>
      </c>
      <c r="L18" s="2" t="s">
        <v>70</v>
      </c>
      <c r="M18" s="2">
        <v>1</v>
      </c>
      <c r="N18" s="48" t="s">
        <v>63</v>
      </c>
      <c r="O18" s="48"/>
      <c r="P18" s="48"/>
      <c r="Q18" s="48"/>
      <c r="S18" s="49" t="s">
        <v>43</v>
      </c>
      <c r="T18" s="49"/>
      <c r="U18" s="49"/>
      <c r="V18" s="49"/>
      <c r="W18" s="2">
        <v>2</v>
      </c>
      <c r="X18" s="2" t="s">
        <v>70</v>
      </c>
      <c r="Y18" s="2">
        <v>0</v>
      </c>
      <c r="Z18" s="48" t="s">
        <v>66</v>
      </c>
      <c r="AA18" s="48"/>
      <c r="AB18" s="48"/>
      <c r="AC18" s="48"/>
      <c r="AE18" s="49" t="str">
        <f>Tabela!A18</f>
        <v>México</v>
      </c>
      <c r="AF18" s="49"/>
      <c r="AG18" s="49"/>
      <c r="AH18" s="49"/>
      <c r="AI18" s="2">
        <f>Tabela!B18</f>
        <v>0</v>
      </c>
      <c r="AJ18" s="2" t="s">
        <v>70</v>
      </c>
      <c r="AK18" s="2">
        <f>Tabela!D18</f>
        <v>0</v>
      </c>
      <c r="AL18" s="48" t="str">
        <f>Tabela!E18</f>
        <v>Polônia</v>
      </c>
      <c r="AM18" s="48"/>
      <c r="AN18" s="48"/>
      <c r="AO18" s="48"/>
      <c r="AQ18" s="49" t="str">
        <f>Tabela!G18</f>
        <v>Brasil</v>
      </c>
      <c r="AR18" s="49"/>
      <c r="AS18" s="49"/>
      <c r="AT18" s="49"/>
      <c r="AU18" s="2">
        <f>Tabela!H18</f>
        <v>0</v>
      </c>
      <c r="AV18" s="2" t="s">
        <v>70</v>
      </c>
      <c r="AW18" s="2">
        <f>Tabela!J18</f>
        <v>0</v>
      </c>
      <c r="AX18" s="48" t="str">
        <f>Tabela!K18</f>
        <v>Sérvia</v>
      </c>
      <c r="AY18" s="48"/>
      <c r="AZ18" s="48"/>
      <c r="BA18" s="48"/>
      <c r="BC18" s="2">
        <f t="shared" si="1"/>
        <v>0</v>
      </c>
      <c r="BD18" s="34"/>
      <c r="BE18" s="70"/>
      <c r="BF18" s="71"/>
      <c r="BG18" s="71"/>
      <c r="BH18" s="71"/>
      <c r="BI18" s="71"/>
      <c r="BJ18" s="71"/>
      <c r="BK18" s="71"/>
      <c r="BL18" s="71"/>
      <c r="BM18" s="71"/>
      <c r="BN18" s="71"/>
      <c r="BO18" s="72"/>
      <c r="BP18" s="35"/>
      <c r="BQ18" s="35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</row>
    <row r="19" spans="1:134" x14ac:dyDescent="0.25">
      <c r="A19" s="21" t="s">
        <v>80</v>
      </c>
      <c r="B19" s="22"/>
      <c r="C19" s="22" t="s">
        <v>18</v>
      </c>
      <c r="D19" s="22"/>
      <c r="E19" s="25" t="s">
        <v>102</v>
      </c>
      <c r="G19" s="49" t="s">
        <v>63</v>
      </c>
      <c r="H19" s="49"/>
      <c r="I19" s="49"/>
      <c r="J19" s="49"/>
      <c r="K19" s="2">
        <v>2</v>
      </c>
      <c r="L19" s="2" t="s">
        <v>70</v>
      </c>
      <c r="M19" s="2">
        <v>0</v>
      </c>
      <c r="N19" s="48" t="s">
        <v>39</v>
      </c>
      <c r="O19" s="48"/>
      <c r="P19" s="48"/>
      <c r="Q19" s="48"/>
      <c r="S19" s="49" t="s">
        <v>44</v>
      </c>
      <c r="T19" s="49"/>
      <c r="U19" s="49"/>
      <c r="V19" s="49"/>
      <c r="W19" s="2">
        <v>1</v>
      </c>
      <c r="X19" s="2" t="s">
        <v>70</v>
      </c>
      <c r="Y19" s="2">
        <v>1</v>
      </c>
      <c r="Z19" s="48" t="s">
        <v>66</v>
      </c>
      <c r="AA19" s="48"/>
      <c r="AB19" s="48"/>
      <c r="AC19" s="48"/>
      <c r="AE19" s="49" t="str">
        <f>Tabela!A19</f>
        <v>Polônia</v>
      </c>
      <c r="AF19" s="49"/>
      <c r="AG19" s="49"/>
      <c r="AH19" s="49"/>
      <c r="AI19" s="2">
        <f>Tabela!B19</f>
        <v>0</v>
      </c>
      <c r="AJ19" s="2" t="s">
        <v>70</v>
      </c>
      <c r="AK19" s="2">
        <f>Tabela!D19</f>
        <v>0</v>
      </c>
      <c r="AL19" s="48" t="str">
        <f>Tabela!E19</f>
        <v>ArábiaSaudita</v>
      </c>
      <c r="AM19" s="48"/>
      <c r="AN19" s="48"/>
      <c r="AO19" s="48"/>
      <c r="AQ19" s="49" t="str">
        <f>Tabela!G19</f>
        <v>Camarões</v>
      </c>
      <c r="AR19" s="49"/>
      <c r="AS19" s="49"/>
      <c r="AT19" s="49"/>
      <c r="AU19" s="2">
        <f>Tabela!H19</f>
        <v>0</v>
      </c>
      <c r="AV19" s="2" t="s">
        <v>70</v>
      </c>
      <c r="AW19" s="2">
        <f>Tabela!J19</f>
        <v>0</v>
      </c>
      <c r="AX19" s="48" t="str">
        <f>Tabela!K19</f>
        <v>Sérvia</v>
      </c>
      <c r="AY19" s="48"/>
      <c r="AZ19" s="48"/>
      <c r="BA19" s="48"/>
      <c r="BC19" s="2">
        <f t="shared" si="1"/>
        <v>0</v>
      </c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5"/>
      <c r="BO19" s="35"/>
      <c r="BP19" s="35"/>
      <c r="BQ19" s="35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</row>
    <row r="20" spans="1:134" x14ac:dyDescent="0.25">
      <c r="A20" s="21" t="s">
        <v>86</v>
      </c>
      <c r="B20" s="22"/>
      <c r="C20" s="22" t="s">
        <v>97</v>
      </c>
      <c r="D20" s="22"/>
      <c r="E20" s="25" t="s">
        <v>103</v>
      </c>
      <c r="G20" s="49" t="s">
        <v>40</v>
      </c>
      <c r="H20" s="49"/>
      <c r="I20" s="49"/>
      <c r="J20" s="49"/>
      <c r="K20" s="2">
        <v>2</v>
      </c>
      <c r="L20" s="2" t="s">
        <v>70</v>
      </c>
      <c r="M20" s="2">
        <v>1</v>
      </c>
      <c r="N20" s="48" t="s">
        <v>61</v>
      </c>
      <c r="O20" s="48"/>
      <c r="P20" s="48"/>
      <c r="Q20" s="48"/>
      <c r="S20" s="49" t="s">
        <v>43</v>
      </c>
      <c r="T20" s="49"/>
      <c r="U20" s="49"/>
      <c r="V20" s="49"/>
      <c r="W20" s="2">
        <v>2</v>
      </c>
      <c r="X20" s="2" t="s">
        <v>70</v>
      </c>
      <c r="Y20" s="2">
        <v>1</v>
      </c>
      <c r="Z20" s="48" t="s">
        <v>67</v>
      </c>
      <c r="AA20" s="48"/>
      <c r="AB20" s="48"/>
      <c r="AC20" s="48"/>
      <c r="AE20" s="49" t="str">
        <f>Tabela!A20</f>
        <v>Argentina</v>
      </c>
      <c r="AF20" s="49"/>
      <c r="AG20" s="49"/>
      <c r="AH20" s="49"/>
      <c r="AI20" s="2">
        <f>Tabela!B20</f>
        <v>0</v>
      </c>
      <c r="AJ20" s="2" t="s">
        <v>70</v>
      </c>
      <c r="AK20" s="2">
        <f>Tabela!D20</f>
        <v>0</v>
      </c>
      <c r="AL20" s="48" t="str">
        <f>Tabela!E20</f>
        <v>México</v>
      </c>
      <c r="AM20" s="48"/>
      <c r="AN20" s="48"/>
      <c r="AO20" s="48"/>
      <c r="AQ20" s="49" t="str">
        <f>Tabela!G20</f>
        <v>Brasil</v>
      </c>
      <c r="AR20" s="49"/>
      <c r="AS20" s="49"/>
      <c r="AT20" s="49"/>
      <c r="AU20" s="2">
        <f>Tabela!H20</f>
        <v>0</v>
      </c>
      <c r="AV20" s="2" t="s">
        <v>70</v>
      </c>
      <c r="AW20" s="2">
        <f>Tabela!J20</f>
        <v>0</v>
      </c>
      <c r="AX20" s="48" t="str">
        <f>Tabela!K20</f>
        <v>Suíça</v>
      </c>
      <c r="AY20" s="48"/>
      <c r="AZ20" s="48"/>
      <c r="BA20" s="48"/>
      <c r="BC20" s="2">
        <f t="shared" si="1"/>
        <v>0</v>
      </c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5"/>
      <c r="BO20" s="35"/>
      <c r="BP20" s="35"/>
      <c r="BQ20" s="35"/>
      <c r="BR20" s="68" t="s">
        <v>235</v>
      </c>
      <c r="BS20" s="68"/>
      <c r="BT20" s="68"/>
      <c r="BU20" s="68"/>
      <c r="BV20" s="68"/>
      <c r="BW20" s="68"/>
      <c r="BX20" s="68"/>
      <c r="BY20" s="68"/>
      <c r="BZ20" s="68"/>
      <c r="CA20" s="68"/>
      <c r="CB20" s="68"/>
      <c r="CC20" s="68"/>
      <c r="CD20" s="68"/>
      <c r="CE20" s="68"/>
      <c r="CF20" s="68"/>
      <c r="CG20" s="68"/>
      <c r="CH20" s="68"/>
      <c r="CI20" s="68"/>
      <c r="CJ20" s="68"/>
      <c r="CK20" s="68"/>
      <c r="CL20" s="68"/>
      <c r="CM20" s="68"/>
      <c r="CN20" s="68"/>
      <c r="CO20" s="68"/>
      <c r="CP20" s="68"/>
      <c r="CQ20" s="68"/>
      <c r="CR20" s="68"/>
      <c r="CS20" s="68"/>
      <c r="CT20" s="68"/>
      <c r="CU20" s="68"/>
      <c r="CV20" s="68"/>
      <c r="CW20" s="68"/>
      <c r="CX20" s="68"/>
      <c r="CY20" s="68"/>
      <c r="CZ20" s="68"/>
      <c r="DA20" s="68"/>
      <c r="DB20" s="68"/>
      <c r="DC20" s="68"/>
      <c r="DD20" s="68"/>
      <c r="DE20" s="68"/>
      <c r="DF20" s="68"/>
      <c r="DG20" s="68"/>
      <c r="DH20" s="68"/>
      <c r="DI20" s="68"/>
      <c r="DJ20" s="68"/>
      <c r="DK20" s="68"/>
      <c r="DL20" s="68"/>
      <c r="DM20" s="68"/>
      <c r="DN20" s="68"/>
      <c r="DO20" s="68"/>
      <c r="DP20" s="68"/>
      <c r="DQ20" s="68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</row>
    <row r="21" spans="1:134" x14ac:dyDescent="0.25">
      <c r="A21" s="21" t="s">
        <v>0</v>
      </c>
      <c r="B21" s="22"/>
      <c r="C21" s="22" t="s">
        <v>0</v>
      </c>
      <c r="D21" s="22"/>
      <c r="E21" s="25"/>
      <c r="G21" s="49" t="s">
        <v>63</v>
      </c>
      <c r="H21" s="49"/>
      <c r="I21" s="49"/>
      <c r="J21" s="49"/>
      <c r="K21" s="2">
        <v>1</v>
      </c>
      <c r="L21" s="2" t="s">
        <v>70</v>
      </c>
      <c r="M21" s="2">
        <v>2</v>
      </c>
      <c r="N21" s="48" t="s">
        <v>40</v>
      </c>
      <c r="O21" s="48"/>
      <c r="P21" s="48"/>
      <c r="Q21" s="48"/>
      <c r="S21" s="49" t="s">
        <v>44</v>
      </c>
      <c r="T21" s="49"/>
      <c r="U21" s="49"/>
      <c r="V21" s="49"/>
      <c r="W21" s="2">
        <v>0</v>
      </c>
      <c r="X21" s="2" t="s">
        <v>70</v>
      </c>
      <c r="Y21" s="2">
        <v>4</v>
      </c>
      <c r="Z21" s="48" t="s">
        <v>43</v>
      </c>
      <c r="AA21" s="48"/>
      <c r="AB21" s="48"/>
      <c r="AC21" s="48"/>
      <c r="AE21" s="49" t="str">
        <f>Tabela!A21</f>
        <v>Polônia</v>
      </c>
      <c r="AF21" s="49"/>
      <c r="AG21" s="49"/>
      <c r="AH21" s="49"/>
      <c r="AI21" s="2">
        <f>Tabela!B21</f>
        <v>0</v>
      </c>
      <c r="AJ21" s="2" t="s">
        <v>70</v>
      </c>
      <c r="AK21" s="2">
        <f>Tabela!D21</f>
        <v>0</v>
      </c>
      <c r="AL21" s="48" t="str">
        <f>Tabela!E21</f>
        <v>Argentina</v>
      </c>
      <c r="AM21" s="48"/>
      <c r="AN21" s="48"/>
      <c r="AO21" s="48"/>
      <c r="AQ21" s="49" t="str">
        <f>Tabela!G21</f>
        <v>Camarões</v>
      </c>
      <c r="AR21" s="49"/>
      <c r="AS21" s="49"/>
      <c r="AT21" s="49"/>
      <c r="AU21" s="2">
        <f>Tabela!H21</f>
        <v>0</v>
      </c>
      <c r="AV21" s="2" t="s">
        <v>70</v>
      </c>
      <c r="AW21" s="2">
        <f>Tabela!J21</f>
        <v>0</v>
      </c>
      <c r="AX21" s="48" t="str">
        <f>Tabela!K21</f>
        <v>Brasil</v>
      </c>
      <c r="AY21" s="48"/>
      <c r="AZ21" s="48"/>
      <c r="BA21" s="48"/>
      <c r="BC21" s="2">
        <f t="shared" si="1"/>
        <v>0</v>
      </c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5"/>
      <c r="BO21" s="35"/>
      <c r="BP21" s="35"/>
      <c r="BQ21" s="35"/>
      <c r="BR21" s="68"/>
      <c r="BS21" s="68"/>
      <c r="BT21" s="68"/>
      <c r="BU21" s="68"/>
      <c r="BV21" s="68"/>
      <c r="BW21" s="68"/>
      <c r="BX21" s="68"/>
      <c r="BY21" s="68"/>
      <c r="BZ21" s="68"/>
      <c r="CA21" s="68"/>
      <c r="CB21" s="68"/>
      <c r="CC21" s="68"/>
      <c r="CD21" s="68"/>
      <c r="CE21" s="68"/>
      <c r="CF21" s="68"/>
      <c r="CG21" s="68"/>
      <c r="CH21" s="68"/>
      <c r="CI21" s="68"/>
      <c r="CJ21" s="68"/>
      <c r="CK21" s="68"/>
      <c r="CL21" s="68"/>
      <c r="CM21" s="68"/>
      <c r="CN21" s="68"/>
      <c r="CO21" s="68"/>
      <c r="CP21" s="68"/>
      <c r="CQ21" s="68"/>
      <c r="CR21" s="68"/>
      <c r="CS21" s="68"/>
      <c r="CT21" s="68"/>
      <c r="CU21" s="68"/>
      <c r="CV21" s="68"/>
      <c r="CW21" s="68"/>
      <c r="CX21" s="68"/>
      <c r="CY21" s="68"/>
      <c r="CZ21" s="68"/>
      <c r="DA21" s="68"/>
      <c r="DB21" s="68"/>
      <c r="DC21" s="68"/>
      <c r="DD21" s="68"/>
      <c r="DE21" s="68"/>
      <c r="DF21" s="68"/>
      <c r="DG21" s="68"/>
      <c r="DH21" s="68"/>
      <c r="DI21" s="68"/>
      <c r="DJ21" s="68"/>
      <c r="DK21" s="68"/>
      <c r="DL21" s="68"/>
      <c r="DM21" s="68"/>
      <c r="DN21" s="68"/>
      <c r="DO21" s="68"/>
      <c r="DP21" s="68"/>
      <c r="DQ21" s="68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</row>
    <row r="22" spans="1:134" x14ac:dyDescent="0.25">
      <c r="A22" s="17" t="s">
        <v>9</v>
      </c>
      <c r="B22" s="22"/>
      <c r="C22" s="18" t="s">
        <v>19</v>
      </c>
      <c r="D22" s="22"/>
      <c r="E22" s="20" t="s">
        <v>89</v>
      </c>
      <c r="G22" s="49" t="s">
        <v>39</v>
      </c>
      <c r="H22" s="49"/>
      <c r="I22" s="49"/>
      <c r="J22" s="49"/>
      <c r="K22" s="2">
        <v>0</v>
      </c>
      <c r="L22" s="2" t="s">
        <v>70</v>
      </c>
      <c r="M22" s="2">
        <v>1</v>
      </c>
      <c r="N22" s="48" t="s">
        <v>61</v>
      </c>
      <c r="O22" s="48"/>
      <c r="P22" s="48"/>
      <c r="Q22" s="48"/>
      <c r="S22" s="49" t="s">
        <v>66</v>
      </c>
      <c r="T22" s="49"/>
      <c r="U22" s="49"/>
      <c r="V22" s="49"/>
      <c r="W22" s="2">
        <v>1</v>
      </c>
      <c r="X22" s="2" t="s">
        <v>70</v>
      </c>
      <c r="Y22" s="2">
        <v>2</v>
      </c>
      <c r="Z22" s="48" t="s">
        <v>67</v>
      </c>
      <c r="AA22" s="48"/>
      <c r="AB22" s="48"/>
      <c r="AC22" s="48"/>
      <c r="AE22" s="49" t="str">
        <f>Tabela!A22</f>
        <v>ArábiaSaudita</v>
      </c>
      <c r="AF22" s="49"/>
      <c r="AG22" s="49"/>
      <c r="AH22" s="49"/>
      <c r="AI22" s="2">
        <f>Tabela!B22</f>
        <v>0</v>
      </c>
      <c r="AJ22" s="2" t="s">
        <v>70</v>
      </c>
      <c r="AK22" s="2">
        <f>Tabela!D22</f>
        <v>0</v>
      </c>
      <c r="AL22" s="48" t="str">
        <f>Tabela!E22</f>
        <v>México</v>
      </c>
      <c r="AM22" s="48"/>
      <c r="AN22" s="48"/>
      <c r="AO22" s="48"/>
      <c r="AQ22" s="49" t="str">
        <f>Tabela!G22</f>
        <v>Sérvia</v>
      </c>
      <c r="AR22" s="49"/>
      <c r="AS22" s="49"/>
      <c r="AT22" s="49"/>
      <c r="AU22" s="2">
        <f>Tabela!H22</f>
        <v>0</v>
      </c>
      <c r="AV22" s="2" t="s">
        <v>70</v>
      </c>
      <c r="AW22" s="2">
        <f>Tabela!J22</f>
        <v>0</v>
      </c>
      <c r="AX22" s="48" t="str">
        <f>Tabela!K22</f>
        <v>Suíça</v>
      </c>
      <c r="AY22" s="48"/>
      <c r="AZ22" s="48"/>
      <c r="BA22" s="48"/>
      <c r="BC22" s="2">
        <f t="shared" si="1"/>
        <v>0</v>
      </c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5"/>
      <c r="BO22" s="35"/>
      <c r="BP22" s="35"/>
      <c r="BQ22" s="35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</row>
    <row r="23" spans="1:134" ht="15.75" thickBot="1" x14ac:dyDescent="0.3">
      <c r="A23" s="21" t="s">
        <v>0</v>
      </c>
      <c r="B23" s="22"/>
      <c r="C23" s="22" t="s">
        <v>0</v>
      </c>
      <c r="D23" s="22"/>
      <c r="E23" s="25" t="s">
        <v>144</v>
      </c>
      <c r="G23" s="66" t="s">
        <v>13</v>
      </c>
      <c r="H23" s="66"/>
      <c r="I23" s="66"/>
      <c r="J23" s="66"/>
      <c r="K23" s="66"/>
      <c r="L23" s="66"/>
      <c r="M23" s="66"/>
      <c r="N23" s="66"/>
      <c r="O23" s="66"/>
      <c r="P23" s="66"/>
      <c r="Q23" s="66"/>
      <c r="S23" s="66" t="s">
        <v>76</v>
      </c>
      <c r="T23" s="66"/>
      <c r="U23" s="66"/>
      <c r="V23" s="66"/>
      <c r="W23" s="66"/>
      <c r="X23" s="66"/>
      <c r="Y23" s="66"/>
      <c r="Z23" s="66"/>
      <c r="AA23" s="66"/>
      <c r="AB23" s="66"/>
      <c r="AC23" s="66"/>
      <c r="AE23" s="67" t="str">
        <f>Tabela!A23</f>
        <v>Grupo D</v>
      </c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Q23" s="67" t="str">
        <f>Tabela!G23</f>
        <v>Grupo H</v>
      </c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5"/>
      <c r="BO23" s="35"/>
      <c r="BP23" s="35"/>
      <c r="BQ23" s="35"/>
      <c r="BR23" s="68"/>
      <c r="BS23" s="68"/>
      <c r="BT23" s="68"/>
      <c r="BU23" s="68"/>
      <c r="BV23" s="68"/>
      <c r="BW23" s="68"/>
      <c r="BX23" s="68"/>
      <c r="BY23" s="68"/>
      <c r="BZ23" s="68"/>
      <c r="CA23" s="68"/>
      <c r="CB23" s="68"/>
      <c r="CC23" s="68"/>
      <c r="CD23" s="68"/>
      <c r="CE23" s="68"/>
      <c r="CF23" s="68"/>
      <c r="CG23" s="69"/>
      <c r="CH23" s="69"/>
      <c r="CI23" s="69"/>
      <c r="CJ23" s="69"/>
      <c r="CK23" s="69"/>
      <c r="CL23" s="69"/>
      <c r="CM23" s="69"/>
      <c r="CN23" s="69"/>
      <c r="CO23" s="68"/>
      <c r="CP23" s="68"/>
      <c r="CQ23" s="68"/>
      <c r="CR23" s="68"/>
      <c r="CS23" s="68"/>
      <c r="CT23" s="68"/>
      <c r="CU23" s="69"/>
      <c r="CV23" s="69"/>
      <c r="CW23" s="69"/>
      <c r="CX23" s="69"/>
      <c r="CY23" s="69"/>
      <c r="CZ23" s="69"/>
      <c r="DA23" s="69"/>
      <c r="DB23" s="69"/>
      <c r="DC23" s="68"/>
      <c r="DD23" s="68"/>
      <c r="DE23" s="68"/>
      <c r="DF23" s="68"/>
      <c r="DG23" s="68"/>
      <c r="DH23" s="68"/>
      <c r="DI23" s="68"/>
      <c r="DJ23" s="68"/>
      <c r="DK23" s="68"/>
      <c r="DL23" s="68"/>
      <c r="DM23" s="68"/>
      <c r="DN23" s="68"/>
      <c r="DO23" s="68"/>
      <c r="DP23" s="68"/>
      <c r="DQ23" s="68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</row>
    <row r="24" spans="1:134" x14ac:dyDescent="0.25">
      <c r="A24" s="21" t="s">
        <v>91</v>
      </c>
      <c r="B24" s="22"/>
      <c r="C24" s="22" t="s">
        <v>98</v>
      </c>
      <c r="D24" s="22"/>
      <c r="E24" s="25" t="s">
        <v>145</v>
      </c>
      <c r="G24" s="49" t="s">
        <v>50</v>
      </c>
      <c r="H24" s="49"/>
      <c r="I24" s="49"/>
      <c r="J24" s="49"/>
      <c r="K24" s="2">
        <v>1</v>
      </c>
      <c r="L24" s="2" t="s">
        <v>70</v>
      </c>
      <c r="M24" s="2">
        <v>1</v>
      </c>
      <c r="N24" s="48" t="s">
        <v>68</v>
      </c>
      <c r="O24" s="48"/>
      <c r="P24" s="48"/>
      <c r="Q24" s="48"/>
      <c r="S24" s="49" t="s">
        <v>69</v>
      </c>
      <c r="T24" s="49"/>
      <c r="U24" s="49"/>
      <c r="V24" s="49"/>
      <c r="W24" s="2">
        <v>2</v>
      </c>
      <c r="X24" s="2" t="s">
        <v>70</v>
      </c>
      <c r="Y24" s="2">
        <v>1</v>
      </c>
      <c r="Z24" s="48" t="s">
        <v>47</v>
      </c>
      <c r="AA24" s="48"/>
      <c r="AB24" s="48"/>
      <c r="AC24" s="48"/>
      <c r="AE24" s="49" t="str">
        <f>Tabela!A24</f>
        <v>Dinamarca</v>
      </c>
      <c r="AF24" s="49"/>
      <c r="AG24" s="49"/>
      <c r="AH24" s="49"/>
      <c r="AI24" s="2">
        <f>Tabela!B24</f>
        <v>0</v>
      </c>
      <c r="AJ24" s="2" t="s">
        <v>70</v>
      </c>
      <c r="AK24" s="2">
        <f>Tabela!D24</f>
        <v>0</v>
      </c>
      <c r="AL24" s="48" t="str">
        <f>Tabela!E24</f>
        <v>Tunísia</v>
      </c>
      <c r="AM24" s="48"/>
      <c r="AN24" s="48"/>
      <c r="AO24" s="48"/>
      <c r="AQ24" s="49" t="str">
        <f>Tabela!G24</f>
        <v>Uruguai</v>
      </c>
      <c r="AR24" s="49"/>
      <c r="AS24" s="49"/>
      <c r="AT24" s="49"/>
      <c r="AU24" s="2">
        <f>Tabela!H24</f>
        <v>0</v>
      </c>
      <c r="AV24" s="2" t="s">
        <v>70</v>
      </c>
      <c r="AW24" s="2">
        <f>Tabela!J24</f>
        <v>0</v>
      </c>
      <c r="AX24" s="48" t="str">
        <f>Tabela!K24</f>
        <v>CoreiaDoSul</v>
      </c>
      <c r="AY24" s="48"/>
      <c r="AZ24" s="48"/>
      <c r="BA24" s="48"/>
      <c r="BC24" s="2">
        <f t="shared" si="1"/>
        <v>0</v>
      </c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5"/>
      <c r="BO24" s="35"/>
      <c r="BP24" s="35"/>
      <c r="BQ24" s="35"/>
      <c r="BR24" s="52" t="s">
        <v>236</v>
      </c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3"/>
      <c r="CG24" s="54">
        <v>1</v>
      </c>
      <c r="CH24" s="55"/>
      <c r="CI24" s="55"/>
      <c r="CJ24" s="55"/>
      <c r="CK24" s="55"/>
      <c r="CL24" s="55"/>
      <c r="CM24" s="55"/>
      <c r="CN24" s="56"/>
      <c r="CO24" s="63" t="s">
        <v>238</v>
      </c>
      <c r="CP24" s="64"/>
      <c r="CQ24" s="64"/>
      <c r="CR24" s="64"/>
      <c r="CS24" s="64"/>
      <c r="CT24" s="65"/>
      <c r="CU24" s="54">
        <v>1</v>
      </c>
      <c r="CV24" s="55"/>
      <c r="CW24" s="55"/>
      <c r="CX24" s="55"/>
      <c r="CY24" s="55"/>
      <c r="CZ24" s="55"/>
      <c r="DA24" s="55"/>
      <c r="DB24" s="56"/>
      <c r="DC24" s="50" t="s">
        <v>237</v>
      </c>
      <c r="DD24" s="51"/>
      <c r="DE24" s="51"/>
      <c r="DF24" s="51"/>
      <c r="DG24" s="51"/>
      <c r="DH24" s="51"/>
      <c r="DI24" s="51"/>
      <c r="DJ24" s="51"/>
      <c r="DK24" s="51"/>
      <c r="DL24" s="51"/>
      <c r="DM24" s="51"/>
      <c r="DN24" s="51"/>
      <c r="DO24" s="51"/>
      <c r="DP24" s="51"/>
      <c r="DQ24" s="51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</row>
    <row r="25" spans="1:134" x14ac:dyDescent="0.25">
      <c r="A25" s="21" t="s">
        <v>10</v>
      </c>
      <c r="B25" s="22"/>
      <c r="C25" s="22" t="s">
        <v>99</v>
      </c>
      <c r="D25" s="22"/>
      <c r="E25" s="25"/>
      <c r="G25" s="49" t="s">
        <v>54</v>
      </c>
      <c r="H25" s="49"/>
      <c r="I25" s="49"/>
      <c r="J25" s="49"/>
      <c r="K25" s="2">
        <v>2</v>
      </c>
      <c r="L25" s="2" t="s">
        <v>70</v>
      </c>
      <c r="M25" s="2">
        <v>1</v>
      </c>
      <c r="N25" s="48" t="s">
        <v>41</v>
      </c>
      <c r="O25" s="48"/>
      <c r="P25" s="48"/>
      <c r="Q25" s="48"/>
      <c r="S25" s="49" t="s">
        <v>64</v>
      </c>
      <c r="T25" s="49"/>
      <c r="U25" s="49"/>
      <c r="V25" s="49"/>
      <c r="W25" s="2">
        <v>1</v>
      </c>
      <c r="X25" s="2" t="s">
        <v>70</v>
      </c>
      <c r="Y25" s="2">
        <v>0</v>
      </c>
      <c r="Z25" s="48" t="s">
        <v>55</v>
      </c>
      <c r="AA25" s="48"/>
      <c r="AB25" s="48"/>
      <c r="AC25" s="48"/>
      <c r="AE25" s="49" t="str">
        <f>Tabela!A25</f>
        <v>França</v>
      </c>
      <c r="AF25" s="49"/>
      <c r="AG25" s="49"/>
      <c r="AH25" s="49"/>
      <c r="AI25" s="2">
        <f>Tabela!B25</f>
        <v>4</v>
      </c>
      <c r="AJ25" s="2" t="s">
        <v>70</v>
      </c>
      <c r="AK25" s="2">
        <f>Tabela!D25</f>
        <v>1</v>
      </c>
      <c r="AL25" s="48" t="str">
        <f>Tabela!E25</f>
        <v>Austrália</v>
      </c>
      <c r="AM25" s="48"/>
      <c r="AN25" s="48"/>
      <c r="AO25" s="48"/>
      <c r="AQ25" s="49" t="str">
        <f>Tabela!G25</f>
        <v>Portugal</v>
      </c>
      <c r="AR25" s="49"/>
      <c r="AS25" s="49"/>
      <c r="AT25" s="49"/>
      <c r="AU25" s="2">
        <f>Tabela!H25</f>
        <v>0</v>
      </c>
      <c r="AV25" s="2" t="s">
        <v>70</v>
      </c>
      <c r="AW25" s="2">
        <f>Tabela!J25</f>
        <v>0</v>
      </c>
      <c r="AX25" s="48" t="str">
        <f>Tabela!K25</f>
        <v>Gana</v>
      </c>
      <c r="AY25" s="48"/>
      <c r="AZ25" s="48"/>
      <c r="BA25" s="48"/>
      <c r="BC25" s="2">
        <f t="shared" si="1"/>
        <v>0</v>
      </c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5"/>
      <c r="BO25" s="35"/>
      <c r="BP25" s="35"/>
      <c r="BQ25" s="35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3"/>
      <c r="CG25" s="57"/>
      <c r="CH25" s="58"/>
      <c r="CI25" s="58"/>
      <c r="CJ25" s="58"/>
      <c r="CK25" s="58"/>
      <c r="CL25" s="58"/>
      <c r="CM25" s="58"/>
      <c r="CN25" s="59"/>
      <c r="CO25" s="63"/>
      <c r="CP25" s="64"/>
      <c r="CQ25" s="64"/>
      <c r="CR25" s="64"/>
      <c r="CS25" s="64"/>
      <c r="CT25" s="65"/>
      <c r="CU25" s="57"/>
      <c r="CV25" s="58"/>
      <c r="CW25" s="58"/>
      <c r="CX25" s="58"/>
      <c r="CY25" s="58"/>
      <c r="CZ25" s="58"/>
      <c r="DA25" s="58"/>
      <c r="DB25" s="59"/>
      <c r="DC25" s="50"/>
      <c r="DD25" s="51"/>
      <c r="DE25" s="51"/>
      <c r="DF25" s="51"/>
      <c r="DG25" s="51"/>
      <c r="DH25" s="51"/>
      <c r="DI25" s="51"/>
      <c r="DJ25" s="51"/>
      <c r="DK25" s="51"/>
      <c r="DL25" s="51"/>
      <c r="DM25" s="51"/>
      <c r="DN25" s="51"/>
      <c r="DO25" s="51"/>
      <c r="DP25" s="51"/>
      <c r="DQ25" s="51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</row>
    <row r="26" spans="1:134" x14ac:dyDescent="0.25">
      <c r="A26" s="21" t="s">
        <v>87</v>
      </c>
      <c r="B26" s="22"/>
      <c r="C26" s="22" t="s">
        <v>83</v>
      </c>
      <c r="D26" s="22"/>
      <c r="E26" s="20" t="s">
        <v>88</v>
      </c>
      <c r="G26" s="49" t="s">
        <v>68</v>
      </c>
      <c r="H26" s="49"/>
      <c r="I26" s="49"/>
      <c r="J26" s="49"/>
      <c r="K26" s="2">
        <v>0</v>
      </c>
      <c r="L26" s="2" t="s">
        <v>70</v>
      </c>
      <c r="M26" s="2">
        <v>0</v>
      </c>
      <c r="N26" s="48" t="s">
        <v>41</v>
      </c>
      <c r="O26" s="48"/>
      <c r="P26" s="48"/>
      <c r="Q26" s="48"/>
      <c r="S26" s="49" t="s">
        <v>47</v>
      </c>
      <c r="T26" s="49"/>
      <c r="U26" s="49"/>
      <c r="V26" s="49"/>
      <c r="W26" s="2">
        <v>2</v>
      </c>
      <c r="X26" s="2" t="s">
        <v>70</v>
      </c>
      <c r="Y26" s="2">
        <v>1</v>
      </c>
      <c r="Z26" s="48" t="s">
        <v>55</v>
      </c>
      <c r="AA26" s="48"/>
      <c r="AB26" s="48"/>
      <c r="AC26" s="48"/>
      <c r="AE26" s="49" t="str">
        <f>Tabela!A26</f>
        <v>Tunísia</v>
      </c>
      <c r="AF26" s="49"/>
      <c r="AG26" s="49"/>
      <c r="AH26" s="49"/>
      <c r="AI26" s="2">
        <f>Tabela!B26</f>
        <v>0</v>
      </c>
      <c r="AJ26" s="2" t="s">
        <v>70</v>
      </c>
      <c r="AK26" s="2">
        <f>Tabela!D26</f>
        <v>0</v>
      </c>
      <c r="AL26" s="48" t="str">
        <f>Tabela!E26</f>
        <v>Austrália</v>
      </c>
      <c r="AM26" s="48"/>
      <c r="AN26" s="48"/>
      <c r="AO26" s="48"/>
      <c r="AQ26" s="49" t="str">
        <f>Tabela!G26</f>
        <v>CoreiaDoSul</v>
      </c>
      <c r="AR26" s="49"/>
      <c r="AS26" s="49"/>
      <c r="AT26" s="49"/>
      <c r="AU26" s="2">
        <f>Tabela!H26</f>
        <v>0</v>
      </c>
      <c r="AV26" s="2" t="s">
        <v>70</v>
      </c>
      <c r="AW26" s="2">
        <f>Tabela!J26</f>
        <v>0</v>
      </c>
      <c r="AX26" s="48" t="str">
        <f>Tabela!K26</f>
        <v>Gana</v>
      </c>
      <c r="AY26" s="48"/>
      <c r="AZ26" s="48"/>
      <c r="BA26" s="48"/>
      <c r="BC26" s="2">
        <f t="shared" si="1"/>
        <v>25</v>
      </c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5"/>
      <c r="BO26" s="35"/>
      <c r="BP26" s="35"/>
      <c r="BQ26" s="35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3"/>
      <c r="CG26" s="57"/>
      <c r="CH26" s="58"/>
      <c r="CI26" s="58"/>
      <c r="CJ26" s="58"/>
      <c r="CK26" s="58"/>
      <c r="CL26" s="58"/>
      <c r="CM26" s="58"/>
      <c r="CN26" s="59"/>
      <c r="CO26" s="63"/>
      <c r="CP26" s="64"/>
      <c r="CQ26" s="64"/>
      <c r="CR26" s="64"/>
      <c r="CS26" s="64"/>
      <c r="CT26" s="65"/>
      <c r="CU26" s="57"/>
      <c r="CV26" s="58"/>
      <c r="CW26" s="58"/>
      <c r="CX26" s="58"/>
      <c r="CY26" s="58"/>
      <c r="CZ26" s="58"/>
      <c r="DA26" s="58"/>
      <c r="DB26" s="59"/>
      <c r="DC26" s="50"/>
      <c r="DD26" s="51"/>
      <c r="DE26" s="51"/>
      <c r="DF26" s="51"/>
      <c r="DG26" s="51"/>
      <c r="DH26" s="51"/>
      <c r="DI26" s="51"/>
      <c r="DJ26" s="51"/>
      <c r="DK26" s="51"/>
      <c r="DL26" s="51"/>
      <c r="DM26" s="51"/>
      <c r="DN26" s="51"/>
      <c r="DO26" s="51"/>
      <c r="DP26" s="51"/>
      <c r="DQ26" s="51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</row>
    <row r="27" spans="1:134" x14ac:dyDescent="0.25">
      <c r="A27" s="21" t="s">
        <v>30</v>
      </c>
      <c r="B27" s="22"/>
      <c r="C27" s="22" t="s">
        <v>20</v>
      </c>
      <c r="D27" s="22"/>
      <c r="E27" s="25" t="s">
        <v>142</v>
      </c>
      <c r="G27" s="49" t="s">
        <v>54</v>
      </c>
      <c r="H27" s="49"/>
      <c r="I27" s="49"/>
      <c r="J27" s="49"/>
      <c r="K27" s="2">
        <v>2</v>
      </c>
      <c r="L27" s="2" t="s">
        <v>70</v>
      </c>
      <c r="M27" s="2">
        <v>0</v>
      </c>
      <c r="N27" s="48" t="s">
        <v>50</v>
      </c>
      <c r="O27" s="48"/>
      <c r="P27" s="48"/>
      <c r="Q27" s="48"/>
      <c r="S27" s="49" t="s">
        <v>64</v>
      </c>
      <c r="T27" s="49"/>
      <c r="U27" s="49"/>
      <c r="V27" s="49"/>
      <c r="W27" s="2">
        <v>2</v>
      </c>
      <c r="X27" s="2" t="s">
        <v>70</v>
      </c>
      <c r="Y27" s="2">
        <v>2</v>
      </c>
      <c r="Z27" s="48" t="s">
        <v>69</v>
      </c>
      <c r="AA27" s="48"/>
      <c r="AB27" s="48"/>
      <c r="AC27" s="48"/>
      <c r="AE27" s="49" t="str">
        <f>Tabela!A27</f>
        <v>França</v>
      </c>
      <c r="AF27" s="49"/>
      <c r="AG27" s="49"/>
      <c r="AH27" s="49"/>
      <c r="AI27" s="2">
        <f>Tabela!B27</f>
        <v>0</v>
      </c>
      <c r="AJ27" s="2" t="s">
        <v>70</v>
      </c>
      <c r="AK27" s="2">
        <f>Tabela!D27</f>
        <v>0</v>
      </c>
      <c r="AL27" s="48" t="str">
        <f>Tabela!E27</f>
        <v>Dinamarca</v>
      </c>
      <c r="AM27" s="48"/>
      <c r="AN27" s="48"/>
      <c r="AO27" s="48"/>
      <c r="AQ27" s="49" t="str">
        <f>Tabela!G27</f>
        <v>Portugal</v>
      </c>
      <c r="AR27" s="49"/>
      <c r="AS27" s="49"/>
      <c r="AT27" s="49"/>
      <c r="AU27" s="2">
        <f>Tabela!H27</f>
        <v>0</v>
      </c>
      <c r="AV27" s="2" t="s">
        <v>70</v>
      </c>
      <c r="AW27" s="2">
        <f>Tabela!J27</f>
        <v>0</v>
      </c>
      <c r="AX27" s="48" t="str">
        <f>Tabela!K27</f>
        <v>Uruguai</v>
      </c>
      <c r="AY27" s="48"/>
      <c r="AZ27" s="48"/>
      <c r="BA27" s="48"/>
      <c r="BC27" s="2">
        <f t="shared" si="1"/>
        <v>0</v>
      </c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5"/>
      <c r="BO27" s="35"/>
      <c r="BP27" s="35"/>
      <c r="BQ27" s="35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3"/>
      <c r="CG27" s="57"/>
      <c r="CH27" s="58"/>
      <c r="CI27" s="58"/>
      <c r="CJ27" s="58"/>
      <c r="CK27" s="58"/>
      <c r="CL27" s="58"/>
      <c r="CM27" s="58"/>
      <c r="CN27" s="59"/>
      <c r="CO27" s="63"/>
      <c r="CP27" s="64"/>
      <c r="CQ27" s="64"/>
      <c r="CR27" s="64"/>
      <c r="CS27" s="64"/>
      <c r="CT27" s="65"/>
      <c r="CU27" s="57"/>
      <c r="CV27" s="58"/>
      <c r="CW27" s="58"/>
      <c r="CX27" s="58"/>
      <c r="CY27" s="58"/>
      <c r="CZ27" s="58"/>
      <c r="DA27" s="58"/>
      <c r="DB27" s="59"/>
      <c r="DC27" s="50"/>
      <c r="DD27" s="51"/>
      <c r="DE27" s="51"/>
      <c r="DF27" s="51"/>
      <c r="DG27" s="51"/>
      <c r="DH27" s="51"/>
      <c r="DI27" s="51"/>
      <c r="DJ27" s="51"/>
      <c r="DK27" s="51"/>
      <c r="DL27" s="51"/>
      <c r="DM27" s="51"/>
      <c r="DN27" s="51"/>
      <c r="DO27" s="51"/>
      <c r="DP27" s="51"/>
      <c r="DQ27" s="51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</row>
    <row r="28" spans="1:134" x14ac:dyDescent="0.25">
      <c r="A28" s="21" t="s">
        <v>11</v>
      </c>
      <c r="B28" s="22"/>
      <c r="C28" s="22" t="s">
        <v>84</v>
      </c>
      <c r="D28" s="22"/>
      <c r="E28" s="25" t="s">
        <v>143</v>
      </c>
      <c r="G28" s="49" t="s">
        <v>68</v>
      </c>
      <c r="H28" s="49"/>
      <c r="I28" s="49"/>
      <c r="J28" s="49"/>
      <c r="K28" s="2">
        <v>0</v>
      </c>
      <c r="L28" s="2" t="s">
        <v>70</v>
      </c>
      <c r="M28" s="2">
        <v>3</v>
      </c>
      <c r="N28" s="48" t="s">
        <v>54</v>
      </c>
      <c r="O28" s="48"/>
      <c r="P28" s="48"/>
      <c r="Q28" s="48"/>
      <c r="S28" s="49" t="s">
        <v>47</v>
      </c>
      <c r="T28" s="49"/>
      <c r="U28" s="49"/>
      <c r="V28" s="49"/>
      <c r="W28" s="2">
        <v>1</v>
      </c>
      <c r="X28" s="2" t="s">
        <v>70</v>
      </c>
      <c r="Y28" s="2">
        <v>1</v>
      </c>
      <c r="Z28" s="48" t="s">
        <v>64</v>
      </c>
      <c r="AA28" s="48"/>
      <c r="AB28" s="48"/>
      <c r="AC28" s="48"/>
      <c r="AE28" s="49" t="str">
        <f>Tabela!A28</f>
        <v>Tunísia</v>
      </c>
      <c r="AF28" s="49"/>
      <c r="AG28" s="49"/>
      <c r="AH28" s="49"/>
      <c r="AI28" s="2">
        <f>Tabela!B28</f>
        <v>0</v>
      </c>
      <c r="AJ28" s="2" t="s">
        <v>70</v>
      </c>
      <c r="AK28" s="2">
        <f>Tabela!D28</f>
        <v>0</v>
      </c>
      <c r="AL28" s="48" t="str">
        <f>Tabela!E28</f>
        <v>França</v>
      </c>
      <c r="AM28" s="48"/>
      <c r="AN28" s="48"/>
      <c r="AO28" s="48"/>
      <c r="AQ28" s="49" t="str">
        <f>Tabela!G28</f>
        <v>CoreiaDoSul</v>
      </c>
      <c r="AR28" s="49"/>
      <c r="AS28" s="49"/>
      <c r="AT28" s="49"/>
      <c r="AU28" s="2">
        <f>Tabela!H28</f>
        <v>0</v>
      </c>
      <c r="AV28" s="2" t="s">
        <v>70</v>
      </c>
      <c r="AW28" s="2">
        <f>Tabela!J28</f>
        <v>0</v>
      </c>
      <c r="AX28" s="48" t="str">
        <f>Tabela!K28</f>
        <v>Portugal</v>
      </c>
      <c r="AY28" s="48"/>
      <c r="AZ28" s="48"/>
      <c r="BA28" s="48"/>
      <c r="BC28" s="2">
        <f t="shared" si="1"/>
        <v>0</v>
      </c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5"/>
      <c r="BO28" s="35"/>
      <c r="BP28" s="35"/>
      <c r="BQ28" s="35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3"/>
      <c r="CG28" s="57"/>
      <c r="CH28" s="58"/>
      <c r="CI28" s="58"/>
      <c r="CJ28" s="58"/>
      <c r="CK28" s="58"/>
      <c r="CL28" s="58"/>
      <c r="CM28" s="58"/>
      <c r="CN28" s="59"/>
      <c r="CO28" s="63"/>
      <c r="CP28" s="64"/>
      <c r="CQ28" s="64"/>
      <c r="CR28" s="64"/>
      <c r="CS28" s="64"/>
      <c r="CT28" s="65"/>
      <c r="CU28" s="57"/>
      <c r="CV28" s="58"/>
      <c r="CW28" s="58"/>
      <c r="CX28" s="58"/>
      <c r="CY28" s="58"/>
      <c r="CZ28" s="58"/>
      <c r="DA28" s="58"/>
      <c r="DB28" s="59"/>
      <c r="DC28" s="50"/>
      <c r="DD28" s="51"/>
      <c r="DE28" s="51"/>
      <c r="DF28" s="51"/>
      <c r="DG28" s="51"/>
      <c r="DH28" s="51"/>
      <c r="DI28" s="51"/>
      <c r="DJ28" s="51"/>
      <c r="DK28" s="51"/>
      <c r="DL28" s="51"/>
      <c r="DM28" s="51"/>
      <c r="DN28" s="51"/>
      <c r="DO28" s="51"/>
      <c r="DP28" s="51"/>
      <c r="DQ28" s="51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</row>
    <row r="29" spans="1:134" ht="15.75" thickBot="1" x14ac:dyDescent="0.3">
      <c r="A29" s="23" t="s">
        <v>12</v>
      </c>
      <c r="B29" s="24"/>
      <c r="C29" s="24" t="s">
        <v>21</v>
      </c>
      <c r="D29" s="24"/>
      <c r="E29" s="26"/>
      <c r="G29" s="49" t="s">
        <v>41</v>
      </c>
      <c r="H29" s="49"/>
      <c r="I29" s="49"/>
      <c r="J29" s="49"/>
      <c r="K29" s="2">
        <v>1</v>
      </c>
      <c r="L29" s="2" t="s">
        <v>70</v>
      </c>
      <c r="M29" s="2">
        <v>0</v>
      </c>
      <c r="N29" s="48" t="s">
        <v>50</v>
      </c>
      <c r="O29" s="48"/>
      <c r="P29" s="48"/>
      <c r="Q29" s="48"/>
      <c r="S29" s="49" t="s">
        <v>55</v>
      </c>
      <c r="T29" s="49"/>
      <c r="U29" s="49"/>
      <c r="V29" s="49"/>
      <c r="W29" s="2">
        <v>1</v>
      </c>
      <c r="X29" s="2" t="s">
        <v>70</v>
      </c>
      <c r="Y29" s="2">
        <v>2</v>
      </c>
      <c r="Z29" s="48" t="s">
        <v>69</v>
      </c>
      <c r="AA29" s="48"/>
      <c r="AB29" s="48"/>
      <c r="AC29" s="48"/>
      <c r="AE29" s="49" t="str">
        <f>Tabela!A29</f>
        <v>Austrália</v>
      </c>
      <c r="AF29" s="49"/>
      <c r="AG29" s="49"/>
      <c r="AH29" s="49"/>
      <c r="AI29" s="2">
        <f>Tabela!B29</f>
        <v>0</v>
      </c>
      <c r="AJ29" s="2" t="s">
        <v>70</v>
      </c>
      <c r="AK29" s="2">
        <f>Tabela!D29</f>
        <v>0</v>
      </c>
      <c r="AL29" s="48" t="str">
        <f>Tabela!E29</f>
        <v>Dinamarca</v>
      </c>
      <c r="AM29" s="48"/>
      <c r="AN29" s="48"/>
      <c r="AO29" s="48"/>
      <c r="AQ29" s="49" t="str">
        <f>Tabela!G29</f>
        <v>Gana</v>
      </c>
      <c r="AR29" s="49"/>
      <c r="AS29" s="49"/>
      <c r="AT29" s="49"/>
      <c r="AU29" s="2">
        <f>Tabela!H29</f>
        <v>0</v>
      </c>
      <c r="AV29" s="2" t="s">
        <v>70</v>
      </c>
      <c r="AW29" s="2">
        <f>Tabela!J29</f>
        <v>0</v>
      </c>
      <c r="AX29" s="48" t="str">
        <f>Tabela!K29</f>
        <v>Uruguai</v>
      </c>
      <c r="AY29" s="48"/>
      <c r="AZ29" s="48"/>
      <c r="BA29" s="48"/>
      <c r="BC29" s="2">
        <f t="shared" si="1"/>
        <v>0</v>
      </c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5"/>
      <c r="BO29" s="35"/>
      <c r="BP29" s="35"/>
      <c r="BQ29" s="35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3"/>
      <c r="CG29" s="60"/>
      <c r="CH29" s="61"/>
      <c r="CI29" s="61"/>
      <c r="CJ29" s="61"/>
      <c r="CK29" s="61"/>
      <c r="CL29" s="61"/>
      <c r="CM29" s="61"/>
      <c r="CN29" s="62"/>
      <c r="CO29" s="63"/>
      <c r="CP29" s="64"/>
      <c r="CQ29" s="64"/>
      <c r="CR29" s="64"/>
      <c r="CS29" s="64"/>
      <c r="CT29" s="65"/>
      <c r="CU29" s="60"/>
      <c r="CV29" s="61"/>
      <c r="CW29" s="61"/>
      <c r="CX29" s="61"/>
      <c r="CY29" s="61"/>
      <c r="CZ29" s="61"/>
      <c r="DA29" s="61"/>
      <c r="DB29" s="62"/>
      <c r="DC29" s="50"/>
      <c r="DD29" s="51"/>
      <c r="DE29" s="51"/>
      <c r="DF29" s="51"/>
      <c r="DG29" s="51"/>
      <c r="DH29" s="51"/>
      <c r="DI29" s="51"/>
      <c r="DJ29" s="51"/>
      <c r="DK29" s="51"/>
      <c r="DL29" s="51"/>
      <c r="DM29" s="51"/>
      <c r="DN29" s="51"/>
      <c r="DO29" s="51"/>
      <c r="DP29" s="51"/>
      <c r="DQ29" s="51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</row>
    <row r="30" spans="1:134" ht="15.75" thickTop="1" x14ac:dyDescent="0.25"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</row>
    <row r="31" spans="1:134" x14ac:dyDescent="0.25"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</row>
    <row r="32" spans="1:134" x14ac:dyDescent="0.25"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</row>
    <row r="33" spans="38:134" x14ac:dyDescent="0.25">
      <c r="AL33" s="48"/>
      <c r="AM33" s="48"/>
      <c r="AN33" s="48"/>
      <c r="AO33" s="48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</row>
    <row r="34" spans="38:134" x14ac:dyDescent="0.25">
      <c r="AL34" s="48"/>
      <c r="AM34" s="48"/>
      <c r="AN34" s="48"/>
      <c r="AO34" s="48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</row>
    <row r="35" spans="38:134" x14ac:dyDescent="0.25">
      <c r="AL35" s="48"/>
      <c r="AM35" s="48"/>
      <c r="AN35" s="48"/>
      <c r="AO35" s="48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</row>
    <row r="36" spans="38:134" x14ac:dyDescent="0.25">
      <c r="AL36" s="48"/>
      <c r="AM36" s="48"/>
      <c r="AN36" s="48"/>
      <c r="AO36" s="48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</row>
    <row r="37" spans="38:134" x14ac:dyDescent="0.25"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</row>
    <row r="38" spans="38:134" x14ac:dyDescent="0.25"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</row>
    <row r="39" spans="38:134" x14ac:dyDescent="0.25"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</row>
    <row r="40" spans="38:134" x14ac:dyDescent="0.25"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</row>
    <row r="41" spans="38:134" x14ac:dyDescent="0.25"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</row>
    <row r="42" spans="38:134" x14ac:dyDescent="0.25"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</row>
    <row r="43" spans="38:134" x14ac:dyDescent="0.25"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</row>
    <row r="44" spans="38:134" x14ac:dyDescent="0.25"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</row>
    <row r="45" spans="38:134" x14ac:dyDescent="0.25"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105</v>
      </c>
      <c r="B1" s="79" t="s">
        <v>189</v>
      </c>
      <c r="C1" s="79"/>
      <c r="D1" s="79"/>
      <c r="E1" s="80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13</v>
      </c>
      <c r="D3" s="22"/>
      <c r="E3" s="19" t="s">
        <v>22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192</v>
      </c>
      <c r="B5" s="22"/>
      <c r="C5" s="22" t="s">
        <v>14</v>
      </c>
      <c r="D5" s="22"/>
      <c r="E5" s="25" t="s">
        <v>33</v>
      </c>
    </row>
    <row r="6" spans="1:5" x14ac:dyDescent="0.25">
      <c r="A6" s="21" t="s">
        <v>111</v>
      </c>
      <c r="B6" s="22"/>
      <c r="C6" s="22" t="s">
        <v>181</v>
      </c>
      <c r="D6" s="22"/>
      <c r="E6" s="25" t="s">
        <v>174</v>
      </c>
    </row>
    <row r="7" spans="1:5" x14ac:dyDescent="0.25">
      <c r="A7" s="21" t="s">
        <v>85</v>
      </c>
      <c r="B7" s="22"/>
      <c r="C7" s="22" t="s">
        <v>112</v>
      </c>
      <c r="D7" s="22"/>
      <c r="E7" s="25" t="s">
        <v>115</v>
      </c>
    </row>
    <row r="8" spans="1:5" x14ac:dyDescent="0.25">
      <c r="A8" s="21" t="s">
        <v>187</v>
      </c>
      <c r="B8" s="22"/>
      <c r="C8" s="22" t="s">
        <v>182</v>
      </c>
      <c r="D8" s="22"/>
      <c r="E8" s="25" t="s">
        <v>175</v>
      </c>
    </row>
    <row r="9" spans="1:5" x14ac:dyDescent="0.25">
      <c r="A9" s="21" t="s">
        <v>78</v>
      </c>
      <c r="B9" s="22"/>
      <c r="C9" s="22" t="s">
        <v>109</v>
      </c>
      <c r="D9" s="22"/>
      <c r="E9" s="25" t="s">
        <v>124</v>
      </c>
    </row>
    <row r="10" spans="1:5" x14ac:dyDescent="0.25">
      <c r="A10" s="21" t="s">
        <v>188</v>
      </c>
      <c r="B10" s="22"/>
      <c r="C10" s="22" t="s">
        <v>183</v>
      </c>
      <c r="D10" s="22"/>
      <c r="E10" s="25" t="s">
        <v>176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5</v>
      </c>
      <c r="B12" s="22"/>
      <c r="C12" s="18" t="s">
        <v>16</v>
      </c>
      <c r="D12" s="22"/>
      <c r="E12" s="19" t="s">
        <v>27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134</v>
      </c>
      <c r="B14" s="22"/>
      <c r="C14" s="22" t="s">
        <v>179</v>
      </c>
      <c r="D14" s="22"/>
      <c r="E14" s="25" t="s">
        <v>275</v>
      </c>
    </row>
    <row r="15" spans="1:5" x14ac:dyDescent="0.25">
      <c r="A15" s="21" t="s">
        <v>185</v>
      </c>
      <c r="B15" s="22"/>
      <c r="C15" s="22" t="s">
        <v>264</v>
      </c>
      <c r="D15" s="22"/>
      <c r="E15" s="25" t="s">
        <v>172</v>
      </c>
    </row>
    <row r="16" spans="1:5" x14ac:dyDescent="0.25">
      <c r="A16" s="21" t="s">
        <v>135</v>
      </c>
      <c r="B16" s="22"/>
      <c r="C16" s="22" t="s">
        <v>265</v>
      </c>
      <c r="D16" s="22"/>
      <c r="E16" s="25" t="s">
        <v>270</v>
      </c>
    </row>
    <row r="17" spans="1:5" x14ac:dyDescent="0.25">
      <c r="A17" s="21" t="s">
        <v>186</v>
      </c>
      <c r="B17" s="22"/>
      <c r="C17" s="22" t="s">
        <v>180</v>
      </c>
      <c r="D17" s="22"/>
      <c r="E17" s="25" t="s">
        <v>37</v>
      </c>
    </row>
    <row r="18" spans="1:5" x14ac:dyDescent="0.25">
      <c r="A18" s="21" t="s">
        <v>107</v>
      </c>
      <c r="B18" s="22"/>
      <c r="C18" s="22" t="s">
        <v>117</v>
      </c>
      <c r="D18" s="22"/>
      <c r="E18" s="25" t="s">
        <v>276</v>
      </c>
    </row>
    <row r="19" spans="1:5" x14ac:dyDescent="0.25">
      <c r="A19" s="21" t="s">
        <v>86</v>
      </c>
      <c r="B19" s="22"/>
      <c r="C19" s="22" t="s">
        <v>267</v>
      </c>
      <c r="D19" s="22"/>
      <c r="E19" s="25" t="s">
        <v>173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9</v>
      </c>
      <c r="B21" s="22"/>
      <c r="C21" s="18" t="s">
        <v>19</v>
      </c>
      <c r="D21" s="22"/>
      <c r="E21" s="20" t="s">
        <v>89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144</v>
      </c>
    </row>
    <row r="23" spans="1:5" x14ac:dyDescent="0.25">
      <c r="A23" s="21" t="s">
        <v>262</v>
      </c>
      <c r="B23" s="22"/>
      <c r="C23" s="22" t="s">
        <v>32</v>
      </c>
      <c r="D23" s="22"/>
      <c r="E23" s="25" t="s">
        <v>171</v>
      </c>
    </row>
    <row r="24" spans="1:5" x14ac:dyDescent="0.25">
      <c r="A24" s="21" t="s">
        <v>119</v>
      </c>
      <c r="B24" s="22"/>
      <c r="C24" s="22" t="s">
        <v>82</v>
      </c>
      <c r="D24" s="22"/>
      <c r="E24" s="25"/>
    </row>
    <row r="25" spans="1:5" x14ac:dyDescent="0.25">
      <c r="A25" s="21" t="s">
        <v>257</v>
      </c>
      <c r="B25" s="22"/>
      <c r="C25" s="22" t="s">
        <v>116</v>
      </c>
      <c r="D25" s="22"/>
      <c r="E25" s="20" t="s">
        <v>88</v>
      </c>
    </row>
    <row r="26" spans="1:5" x14ac:dyDescent="0.25">
      <c r="A26" s="21" t="s">
        <v>184</v>
      </c>
      <c r="B26" s="22"/>
      <c r="C26" s="22" t="s">
        <v>177</v>
      </c>
      <c r="D26" s="22"/>
      <c r="E26" s="25" t="s">
        <v>169</v>
      </c>
    </row>
    <row r="27" spans="1:5" x14ac:dyDescent="0.25">
      <c r="A27" s="21" t="s">
        <v>108</v>
      </c>
      <c r="B27" s="22"/>
      <c r="C27" s="22" t="s">
        <v>178</v>
      </c>
      <c r="D27" s="22"/>
      <c r="E27" s="25" t="s">
        <v>170</v>
      </c>
    </row>
    <row r="28" spans="1:5" ht="15.75" thickBot="1" x14ac:dyDescent="0.3">
      <c r="A28" s="23" t="s">
        <v>258</v>
      </c>
      <c r="B28" s="24"/>
      <c r="C28" s="24" t="s">
        <v>113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M5:N10"/>
  <sheetViews>
    <sheetView topLeftCell="B1" workbookViewId="0"/>
  </sheetViews>
  <sheetFormatPr defaultRowHeight="15" x14ac:dyDescent="0.25"/>
  <cols>
    <col min="13" max="13" width="11.140625" bestFit="1" customWidth="1"/>
    <col min="14" max="14" width="11.28515625" bestFit="1" customWidth="1"/>
  </cols>
  <sheetData>
    <row r="5" spans="13:14" x14ac:dyDescent="0.25">
      <c r="M5" t="s">
        <v>281</v>
      </c>
      <c r="N5">
        <f>Macélio!Q$11</f>
        <v>80</v>
      </c>
    </row>
    <row r="6" spans="13:14" x14ac:dyDescent="0.25">
      <c r="M6" t="s">
        <v>279</v>
      </c>
      <c r="N6">
        <f>Ivan!Q$11</f>
        <v>80</v>
      </c>
    </row>
    <row r="7" spans="13:14" x14ac:dyDescent="0.25">
      <c r="M7" t="s">
        <v>283</v>
      </c>
      <c r="N7">
        <f>BrunoTK!Q$11</f>
        <v>85</v>
      </c>
    </row>
    <row r="8" spans="13:14" x14ac:dyDescent="0.25">
      <c r="M8" t="s">
        <v>280</v>
      </c>
      <c r="N8">
        <f>Ivan_2!Q$11</f>
        <v>70</v>
      </c>
    </row>
    <row r="9" spans="13:14" x14ac:dyDescent="0.25">
      <c r="M9" t="s">
        <v>284</v>
      </c>
      <c r="N9">
        <f>Gabriel!Q$11</f>
        <v>70</v>
      </c>
    </row>
    <row r="10" spans="13:14" x14ac:dyDescent="0.25">
      <c r="M10" t="s">
        <v>282</v>
      </c>
      <c r="N10">
        <f>Luis!Q$11</f>
        <v>45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zoomScale="90" zoomScaleNormal="90" workbookViewId="0">
      <selection activeCell="H4" sqref="H4"/>
    </sheetView>
  </sheetViews>
  <sheetFormatPr defaultColWidth="8.85546875" defaultRowHeight="15.75" x14ac:dyDescent="0.25"/>
  <cols>
    <col min="1" max="1" width="15.42578125" style="3" bestFit="1" customWidth="1"/>
    <col min="2" max="2" width="5.28515625" style="33" customWidth="1"/>
    <col min="3" max="3" width="5.28515625" style="4" customWidth="1"/>
    <col min="4" max="4" width="5.28515625" style="33" customWidth="1"/>
    <col min="5" max="5" width="15.42578125" style="13" bestFit="1" customWidth="1"/>
    <col min="6" max="6" width="1.7109375" style="33" customWidth="1"/>
    <col min="7" max="7" width="13.42578125" style="3" bestFit="1" customWidth="1"/>
    <col min="8" max="10" width="5.28515625" style="3" customWidth="1"/>
    <col min="11" max="11" width="13.42578125" style="13" bestFit="1" customWidth="1"/>
    <col min="12" max="12" width="1.85546875" style="3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22" t="s">
        <v>77</v>
      </c>
      <c r="B1" s="123"/>
      <c r="C1" s="123"/>
      <c r="D1" s="123"/>
      <c r="E1" s="123"/>
      <c r="F1" s="123"/>
      <c r="G1" s="123"/>
      <c r="H1" s="123"/>
      <c r="I1" s="123"/>
      <c r="J1" s="123"/>
      <c r="K1" s="124"/>
    </row>
    <row r="2" spans="1:24" ht="16.5" thickTop="1" x14ac:dyDescent="0.25">
      <c r="A2" s="127" t="s">
        <v>1</v>
      </c>
      <c r="B2" s="120"/>
      <c r="C2" s="120"/>
      <c r="D2" s="120"/>
      <c r="E2" s="120"/>
      <c r="F2" s="41"/>
      <c r="G2" s="120" t="s">
        <v>73</v>
      </c>
      <c r="H2" s="120"/>
      <c r="I2" s="120"/>
      <c r="J2" s="120"/>
      <c r="K2" s="121"/>
      <c r="O2" s="125" t="s">
        <v>72</v>
      </c>
      <c r="P2" s="126"/>
      <c r="R2" s="96" t="s">
        <v>208</v>
      </c>
      <c r="S2" s="97"/>
      <c r="T2" s="98"/>
      <c r="V2" s="93" t="s">
        <v>209</v>
      </c>
      <c r="W2" s="94"/>
      <c r="X2" s="95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5" t="s">
        <v>51</v>
      </c>
      <c r="F3" s="42"/>
      <c r="G3" s="6" t="s">
        <v>38</v>
      </c>
      <c r="H3" s="11">
        <v>1</v>
      </c>
      <c r="I3" s="7" t="s">
        <v>70</v>
      </c>
      <c r="J3" s="11">
        <v>2</v>
      </c>
      <c r="K3" s="12" t="s">
        <v>59</v>
      </c>
      <c r="O3" s="5" t="s">
        <v>38</v>
      </c>
      <c r="P3" s="12" t="s">
        <v>54</v>
      </c>
      <c r="R3" s="81">
        <v>50</v>
      </c>
      <c r="S3" s="82"/>
      <c r="T3" s="83"/>
      <c r="V3" s="99">
        <v>23</v>
      </c>
      <c r="W3" s="100"/>
      <c r="X3" s="101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5" t="s">
        <v>56</v>
      </c>
      <c r="F4" s="42"/>
      <c r="G4" s="6" t="s">
        <v>52</v>
      </c>
      <c r="H4" s="7"/>
      <c r="I4" s="7" t="s">
        <v>70</v>
      </c>
      <c r="J4" s="7"/>
      <c r="K4" s="12" t="s">
        <v>241</v>
      </c>
      <c r="L4" s="33" t="s">
        <v>278</v>
      </c>
      <c r="O4" s="5" t="s">
        <v>240</v>
      </c>
      <c r="P4" s="12" t="s">
        <v>55</v>
      </c>
      <c r="R4" s="81"/>
      <c r="S4" s="82"/>
      <c r="T4" s="83"/>
      <c r="V4" s="99"/>
      <c r="W4" s="100"/>
      <c r="X4" s="101"/>
    </row>
    <row r="5" spans="1:24" ht="18" customHeight="1" x14ac:dyDescent="0.25">
      <c r="A5" s="5" t="s">
        <v>46</v>
      </c>
      <c r="B5" s="7"/>
      <c r="C5" s="7" t="s">
        <v>70</v>
      </c>
      <c r="D5" s="7"/>
      <c r="E5" s="15" t="s">
        <v>65</v>
      </c>
      <c r="F5" s="42" t="s">
        <v>278</v>
      </c>
      <c r="G5" s="6" t="s">
        <v>59</v>
      </c>
      <c r="H5" s="7"/>
      <c r="I5" s="7" t="s">
        <v>70</v>
      </c>
      <c r="J5" s="7"/>
      <c r="K5" s="12" t="s">
        <v>241</v>
      </c>
      <c r="L5" s="33" t="s">
        <v>278</v>
      </c>
      <c r="O5" s="5" t="s">
        <v>40</v>
      </c>
      <c r="P5" s="12" t="s">
        <v>56</v>
      </c>
      <c r="R5" s="84"/>
      <c r="S5" s="85"/>
      <c r="T5" s="86"/>
      <c r="V5" s="102"/>
      <c r="W5" s="103"/>
      <c r="X5" s="104"/>
    </row>
    <row r="6" spans="1:24" x14ac:dyDescent="0.25">
      <c r="A6" s="5" t="s">
        <v>56</v>
      </c>
      <c r="B6" s="7"/>
      <c r="C6" s="7" t="s">
        <v>70</v>
      </c>
      <c r="D6" s="7"/>
      <c r="E6" s="15" t="s">
        <v>51</v>
      </c>
      <c r="F6" s="42" t="s">
        <v>278</v>
      </c>
      <c r="G6" s="6" t="s">
        <v>52</v>
      </c>
      <c r="H6" s="7"/>
      <c r="I6" s="7" t="s">
        <v>70</v>
      </c>
      <c r="J6" s="7"/>
      <c r="K6" s="12" t="s">
        <v>38</v>
      </c>
      <c r="L6" s="33" t="s">
        <v>278</v>
      </c>
      <c r="O6" s="5" t="s">
        <v>41</v>
      </c>
      <c r="P6" s="12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5" t="s">
        <v>46</v>
      </c>
      <c r="F7" s="42" t="s">
        <v>278</v>
      </c>
      <c r="G7" s="6" t="s">
        <v>59</v>
      </c>
      <c r="H7" s="7"/>
      <c r="I7" s="7" t="s">
        <v>70</v>
      </c>
      <c r="J7" s="7"/>
      <c r="K7" s="12" t="s">
        <v>52</v>
      </c>
      <c r="L7" s="33" t="s">
        <v>278</v>
      </c>
      <c r="O7" s="5" t="s">
        <v>42</v>
      </c>
      <c r="P7" s="12" t="s">
        <v>58</v>
      </c>
      <c r="R7" s="117" t="s">
        <v>212</v>
      </c>
      <c r="S7" s="118"/>
      <c r="T7" s="119"/>
      <c r="V7" s="93" t="s">
        <v>210</v>
      </c>
      <c r="W7" s="94"/>
      <c r="X7" s="95"/>
    </row>
    <row r="8" spans="1:24" x14ac:dyDescent="0.25">
      <c r="A8" s="5" t="s">
        <v>51</v>
      </c>
      <c r="B8" s="7"/>
      <c r="C8" s="7" t="s">
        <v>70</v>
      </c>
      <c r="D8" s="7"/>
      <c r="E8" s="15" t="s">
        <v>65</v>
      </c>
      <c r="F8" s="42" t="s">
        <v>278</v>
      </c>
      <c r="G8" s="6" t="s">
        <v>241</v>
      </c>
      <c r="H8" s="7"/>
      <c r="I8" s="7" t="s">
        <v>70</v>
      </c>
      <c r="J8" s="7"/>
      <c r="K8" s="12" t="s">
        <v>38</v>
      </c>
      <c r="L8" s="33" t="s">
        <v>278</v>
      </c>
      <c r="O8" s="5" t="s">
        <v>43</v>
      </c>
      <c r="P8" s="12" t="s">
        <v>59</v>
      </c>
      <c r="R8" s="81">
        <f>V16*0.5</f>
        <v>90</v>
      </c>
      <c r="S8" s="82"/>
      <c r="T8" s="83"/>
      <c r="V8" s="105">
        <v>10</v>
      </c>
      <c r="W8" s="106"/>
      <c r="X8" s="107"/>
    </row>
    <row r="9" spans="1:24" x14ac:dyDescent="0.25">
      <c r="A9" s="127" t="s">
        <v>5</v>
      </c>
      <c r="B9" s="120"/>
      <c r="C9" s="120"/>
      <c r="D9" s="120"/>
      <c r="E9" s="120"/>
      <c r="F9" s="42"/>
      <c r="G9" s="120" t="s">
        <v>74</v>
      </c>
      <c r="H9" s="120"/>
      <c r="I9" s="120"/>
      <c r="J9" s="120"/>
      <c r="K9" s="121"/>
      <c r="O9" s="5" t="s">
        <v>44</v>
      </c>
      <c r="P9" s="12" t="s">
        <v>60</v>
      </c>
      <c r="R9" s="84"/>
      <c r="S9" s="85"/>
      <c r="T9" s="86"/>
      <c r="V9" s="108"/>
      <c r="W9" s="109"/>
      <c r="X9" s="110"/>
    </row>
    <row r="10" spans="1:24" ht="18.75" x14ac:dyDescent="0.25">
      <c r="A10" s="5" t="s">
        <v>57</v>
      </c>
      <c r="B10" s="7">
        <v>6</v>
      </c>
      <c r="C10" s="7" t="s">
        <v>70</v>
      </c>
      <c r="D10" s="7">
        <v>2</v>
      </c>
      <c r="E10" s="15" t="s">
        <v>58</v>
      </c>
      <c r="F10" s="42"/>
      <c r="G10" s="6" t="s">
        <v>60</v>
      </c>
      <c r="H10" s="11">
        <v>0</v>
      </c>
      <c r="I10" s="7" t="s">
        <v>70</v>
      </c>
      <c r="J10" s="11">
        <v>0</v>
      </c>
      <c r="K10" s="12" t="s">
        <v>49</v>
      </c>
      <c r="O10" s="5" t="s">
        <v>45</v>
      </c>
      <c r="P10" s="12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5" t="s">
        <v>71</v>
      </c>
      <c r="F11" s="42"/>
      <c r="G11" s="6" t="s">
        <v>42</v>
      </c>
      <c r="H11" s="7"/>
      <c r="I11" s="7" t="s">
        <v>70</v>
      </c>
      <c r="J11" s="7"/>
      <c r="K11" s="12" t="s">
        <v>45</v>
      </c>
      <c r="L11" s="33" t="s">
        <v>278</v>
      </c>
      <c r="O11" s="5" t="s">
        <v>46</v>
      </c>
      <c r="P11" s="12" t="s">
        <v>62</v>
      </c>
      <c r="R11" s="114" t="s">
        <v>213</v>
      </c>
      <c r="S11" s="115"/>
      <c r="T11" s="116"/>
      <c r="V11" s="93" t="s">
        <v>211</v>
      </c>
      <c r="W11" s="94"/>
      <c r="X11" s="95"/>
    </row>
    <row r="12" spans="1:24" ht="15.75" customHeight="1" x14ac:dyDescent="0.25">
      <c r="A12" s="5" t="s">
        <v>71</v>
      </c>
      <c r="B12" s="7"/>
      <c r="C12" s="7" t="s">
        <v>70</v>
      </c>
      <c r="D12" s="7"/>
      <c r="E12" s="15" t="s">
        <v>58</v>
      </c>
      <c r="F12" s="42" t="s">
        <v>278</v>
      </c>
      <c r="G12" s="6" t="s">
        <v>42</v>
      </c>
      <c r="H12" s="7"/>
      <c r="I12" s="7" t="s">
        <v>70</v>
      </c>
      <c r="J12" s="7"/>
      <c r="K12" s="12" t="s">
        <v>60</v>
      </c>
      <c r="L12" s="33" t="s">
        <v>278</v>
      </c>
      <c r="O12" s="5" t="s">
        <v>255</v>
      </c>
      <c r="P12" s="12" t="s">
        <v>63</v>
      </c>
      <c r="R12" s="81">
        <f>V16*0.3</f>
        <v>54</v>
      </c>
      <c r="S12" s="82"/>
      <c r="T12" s="83"/>
      <c r="V12" s="87">
        <f>V3*V8</f>
        <v>230</v>
      </c>
      <c r="W12" s="88"/>
      <c r="X12" s="89"/>
    </row>
    <row r="13" spans="1:24" ht="15.75" customHeight="1" x14ac:dyDescent="0.25">
      <c r="A13" s="5" t="s">
        <v>57</v>
      </c>
      <c r="B13" s="7"/>
      <c r="C13" s="7" t="s">
        <v>70</v>
      </c>
      <c r="D13" s="7"/>
      <c r="E13" s="15" t="s">
        <v>53</v>
      </c>
      <c r="F13" s="42" t="s">
        <v>278</v>
      </c>
      <c r="G13" s="6" t="s">
        <v>49</v>
      </c>
      <c r="H13" s="7"/>
      <c r="I13" s="7" t="s">
        <v>70</v>
      </c>
      <c r="J13" s="7"/>
      <c r="K13" s="12" t="s">
        <v>45</v>
      </c>
      <c r="L13" s="33" t="s">
        <v>278</v>
      </c>
      <c r="O13" s="5" t="s">
        <v>241</v>
      </c>
      <c r="P13" s="12" t="s">
        <v>64</v>
      </c>
      <c r="R13" s="84"/>
      <c r="S13" s="85"/>
      <c r="T13" s="86"/>
      <c r="V13" s="90"/>
      <c r="W13" s="91"/>
      <c r="X13" s="92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5" t="s">
        <v>53</v>
      </c>
      <c r="F14" s="42" t="s">
        <v>278</v>
      </c>
      <c r="G14" s="6" t="s">
        <v>49</v>
      </c>
      <c r="H14" s="7"/>
      <c r="I14" s="7" t="s">
        <v>70</v>
      </c>
      <c r="J14" s="7"/>
      <c r="K14" s="12" t="s">
        <v>42</v>
      </c>
      <c r="L14" s="33" t="s">
        <v>278</v>
      </c>
      <c r="O14" s="5" t="s">
        <v>49</v>
      </c>
      <c r="P14" s="12" t="s">
        <v>65</v>
      </c>
      <c r="V14" s="29"/>
      <c r="W14" s="29"/>
      <c r="X14" s="29"/>
    </row>
    <row r="15" spans="1:24" x14ac:dyDescent="0.25">
      <c r="A15" s="5" t="s">
        <v>71</v>
      </c>
      <c r="B15" s="7"/>
      <c r="C15" s="7" t="s">
        <v>70</v>
      </c>
      <c r="D15" s="7"/>
      <c r="E15" s="15" t="s">
        <v>57</v>
      </c>
      <c r="F15" s="42" t="s">
        <v>278</v>
      </c>
      <c r="G15" s="6" t="s">
        <v>45</v>
      </c>
      <c r="H15" s="7"/>
      <c r="I15" s="7" t="s">
        <v>70</v>
      </c>
      <c r="J15" s="7"/>
      <c r="K15" s="12" t="s">
        <v>60</v>
      </c>
      <c r="L15" s="33" t="s">
        <v>278</v>
      </c>
      <c r="O15" s="5" t="s">
        <v>50</v>
      </c>
      <c r="P15" s="12" t="s">
        <v>66</v>
      </c>
      <c r="R15" s="111" t="s">
        <v>214</v>
      </c>
      <c r="S15" s="112"/>
      <c r="T15" s="113"/>
      <c r="V15" s="93" t="s">
        <v>215</v>
      </c>
      <c r="W15" s="94"/>
      <c r="X15" s="95"/>
    </row>
    <row r="16" spans="1:24" ht="21" customHeight="1" x14ac:dyDescent="0.25">
      <c r="A16" s="127" t="s">
        <v>253</v>
      </c>
      <c r="B16" s="120"/>
      <c r="C16" s="120"/>
      <c r="D16" s="120"/>
      <c r="E16" s="120"/>
      <c r="F16" s="42"/>
      <c r="G16" s="120" t="s">
        <v>75</v>
      </c>
      <c r="H16" s="120"/>
      <c r="I16" s="120"/>
      <c r="J16" s="120"/>
      <c r="K16" s="121"/>
      <c r="O16" s="5" t="s">
        <v>51</v>
      </c>
      <c r="P16" s="12" t="s">
        <v>67</v>
      </c>
      <c r="R16" s="81">
        <f>V16*0.2</f>
        <v>36</v>
      </c>
      <c r="S16" s="82"/>
      <c r="T16" s="83"/>
      <c r="V16" s="87">
        <f>V12-R3</f>
        <v>180</v>
      </c>
      <c r="W16" s="88"/>
      <c r="X16" s="89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5" t="s">
        <v>240</v>
      </c>
      <c r="F17" s="42"/>
      <c r="G17" s="6" t="s">
        <v>67</v>
      </c>
      <c r="H17" s="11"/>
      <c r="I17" s="7" t="s">
        <v>70</v>
      </c>
      <c r="J17" s="11"/>
      <c r="K17" s="12" t="s">
        <v>44</v>
      </c>
      <c r="L17" s="33" t="s">
        <v>278</v>
      </c>
      <c r="O17" s="5" t="s">
        <v>52</v>
      </c>
      <c r="P17" s="12" t="s">
        <v>68</v>
      </c>
      <c r="R17" s="84"/>
      <c r="S17" s="85"/>
      <c r="T17" s="86"/>
      <c r="V17" s="90"/>
      <c r="W17" s="91"/>
      <c r="X17" s="92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5" t="s">
        <v>63</v>
      </c>
      <c r="F18" s="42"/>
      <c r="G18" s="6" t="s">
        <v>43</v>
      </c>
      <c r="H18" s="7"/>
      <c r="I18" s="7" t="s">
        <v>70</v>
      </c>
      <c r="J18" s="7"/>
      <c r="K18" s="12" t="s">
        <v>66</v>
      </c>
      <c r="L18" s="33" t="s">
        <v>278</v>
      </c>
      <c r="O18" s="8" t="s">
        <v>53</v>
      </c>
      <c r="P18" s="14" t="s">
        <v>69</v>
      </c>
    </row>
    <row r="19" spans="1:24" ht="16.5" thickTop="1" x14ac:dyDescent="0.25">
      <c r="A19" s="5" t="s">
        <v>63</v>
      </c>
      <c r="B19" s="7"/>
      <c r="C19" s="7" t="s">
        <v>70</v>
      </c>
      <c r="D19" s="7"/>
      <c r="E19" s="15" t="s">
        <v>240</v>
      </c>
      <c r="F19" s="42" t="s">
        <v>278</v>
      </c>
      <c r="G19" s="6" t="s">
        <v>44</v>
      </c>
      <c r="H19" s="7"/>
      <c r="I19" s="7" t="s">
        <v>70</v>
      </c>
      <c r="J19" s="7"/>
      <c r="K19" s="12" t="s">
        <v>66</v>
      </c>
      <c r="L19" s="33" t="s">
        <v>278</v>
      </c>
    </row>
    <row r="20" spans="1:24" x14ac:dyDescent="0.25">
      <c r="A20" s="5" t="s">
        <v>40</v>
      </c>
      <c r="B20" s="7"/>
      <c r="C20" s="7" t="s">
        <v>70</v>
      </c>
      <c r="D20" s="7"/>
      <c r="E20" s="15" t="s">
        <v>61</v>
      </c>
      <c r="F20" s="42" t="s">
        <v>278</v>
      </c>
      <c r="G20" s="6" t="s">
        <v>43</v>
      </c>
      <c r="H20" s="7"/>
      <c r="I20" s="7" t="s">
        <v>70</v>
      </c>
      <c r="J20" s="7"/>
      <c r="K20" s="12" t="s">
        <v>67</v>
      </c>
      <c r="L20" s="33" t="s">
        <v>278</v>
      </c>
      <c r="O20" s="3" t="s">
        <v>218</v>
      </c>
    </row>
    <row r="21" spans="1:24" x14ac:dyDescent="0.25">
      <c r="A21" s="5" t="s">
        <v>63</v>
      </c>
      <c r="B21" s="7"/>
      <c r="C21" s="7" t="s">
        <v>70</v>
      </c>
      <c r="D21" s="7"/>
      <c r="E21" s="15" t="s">
        <v>40</v>
      </c>
      <c r="F21" s="42" t="s">
        <v>278</v>
      </c>
      <c r="G21" s="6" t="s">
        <v>44</v>
      </c>
      <c r="H21" s="7"/>
      <c r="I21" s="7" t="s">
        <v>70</v>
      </c>
      <c r="J21" s="7"/>
      <c r="K21" s="12" t="s">
        <v>43</v>
      </c>
      <c r="L21" s="33" t="s">
        <v>278</v>
      </c>
      <c r="O21" s="3" t="s">
        <v>219</v>
      </c>
      <c r="P21" s="3" t="s">
        <v>221</v>
      </c>
    </row>
    <row r="22" spans="1:24" x14ac:dyDescent="0.25">
      <c r="A22" s="5" t="s">
        <v>240</v>
      </c>
      <c r="B22" s="7"/>
      <c r="C22" s="7" t="s">
        <v>70</v>
      </c>
      <c r="D22" s="7"/>
      <c r="E22" s="15" t="s">
        <v>61</v>
      </c>
      <c r="F22" s="42" t="s">
        <v>278</v>
      </c>
      <c r="G22" s="6" t="s">
        <v>66</v>
      </c>
      <c r="H22" s="7"/>
      <c r="I22" s="7" t="s">
        <v>70</v>
      </c>
      <c r="J22" s="7"/>
      <c r="K22" s="12" t="s">
        <v>67</v>
      </c>
      <c r="L22" s="33" t="s">
        <v>278</v>
      </c>
      <c r="O22" s="3" t="s">
        <v>220</v>
      </c>
      <c r="P22" s="3" t="s">
        <v>222</v>
      </c>
    </row>
    <row r="23" spans="1:24" x14ac:dyDescent="0.25">
      <c r="A23" s="127" t="s">
        <v>13</v>
      </c>
      <c r="B23" s="120"/>
      <c r="C23" s="120"/>
      <c r="D23" s="120"/>
      <c r="E23" s="120"/>
      <c r="F23" s="42"/>
      <c r="G23" s="120" t="s">
        <v>76</v>
      </c>
      <c r="H23" s="120"/>
      <c r="I23" s="120"/>
      <c r="J23" s="120"/>
      <c r="K23" s="121"/>
      <c r="O23" s="3" t="s">
        <v>223</v>
      </c>
      <c r="P23" s="3" t="s">
        <v>224</v>
      </c>
    </row>
    <row r="24" spans="1:24" ht="18.75" x14ac:dyDescent="0.25">
      <c r="A24" s="5" t="s">
        <v>50</v>
      </c>
      <c r="B24" s="7">
        <v>0</v>
      </c>
      <c r="C24" s="7" t="s">
        <v>70</v>
      </c>
      <c r="D24" s="7">
        <v>0</v>
      </c>
      <c r="E24" s="15" t="s">
        <v>68</v>
      </c>
      <c r="F24" s="42"/>
      <c r="G24" s="6" t="s">
        <v>69</v>
      </c>
      <c r="H24" s="11"/>
      <c r="I24" s="7" t="s">
        <v>70</v>
      </c>
      <c r="J24" s="11"/>
      <c r="K24" s="12" t="s">
        <v>255</v>
      </c>
      <c r="L24" s="33" t="s">
        <v>278</v>
      </c>
      <c r="P24" s="3" t="s">
        <v>225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5" t="s">
        <v>41</v>
      </c>
      <c r="F25" s="42"/>
      <c r="G25" s="6" t="s">
        <v>64</v>
      </c>
      <c r="H25" s="7"/>
      <c r="I25" s="7" t="s">
        <v>70</v>
      </c>
      <c r="J25" s="7"/>
      <c r="K25" s="12" t="s">
        <v>55</v>
      </c>
      <c r="L25" s="33" t="s">
        <v>278</v>
      </c>
    </row>
    <row r="26" spans="1:24" x14ac:dyDescent="0.25">
      <c r="A26" s="5" t="s">
        <v>68</v>
      </c>
      <c r="B26" s="7"/>
      <c r="C26" s="7" t="s">
        <v>70</v>
      </c>
      <c r="D26" s="7"/>
      <c r="E26" s="15" t="s">
        <v>41</v>
      </c>
      <c r="F26" s="42" t="s">
        <v>278</v>
      </c>
      <c r="G26" s="6" t="s">
        <v>255</v>
      </c>
      <c r="H26" s="7"/>
      <c r="I26" s="7" t="s">
        <v>70</v>
      </c>
      <c r="J26" s="7"/>
      <c r="K26" s="12" t="s">
        <v>55</v>
      </c>
      <c r="L26" s="33" t="s">
        <v>278</v>
      </c>
    </row>
    <row r="27" spans="1:24" x14ac:dyDescent="0.25">
      <c r="A27" s="5" t="s">
        <v>54</v>
      </c>
      <c r="B27" s="7"/>
      <c r="C27" s="7" t="s">
        <v>70</v>
      </c>
      <c r="D27" s="7"/>
      <c r="E27" s="15" t="s">
        <v>50</v>
      </c>
      <c r="F27" s="42" t="s">
        <v>278</v>
      </c>
      <c r="G27" s="6" t="s">
        <v>64</v>
      </c>
      <c r="H27" s="7"/>
      <c r="I27" s="7" t="s">
        <v>70</v>
      </c>
      <c r="J27" s="7"/>
      <c r="K27" s="12" t="s">
        <v>69</v>
      </c>
      <c r="L27" s="33" t="s">
        <v>278</v>
      </c>
    </row>
    <row r="28" spans="1:24" x14ac:dyDescent="0.25">
      <c r="A28" s="5" t="s">
        <v>68</v>
      </c>
      <c r="B28" s="7"/>
      <c r="C28" s="7" t="s">
        <v>70</v>
      </c>
      <c r="D28" s="7"/>
      <c r="E28" s="15" t="s">
        <v>54</v>
      </c>
      <c r="F28" s="42" t="s">
        <v>278</v>
      </c>
      <c r="G28" s="6" t="s">
        <v>255</v>
      </c>
      <c r="H28" s="7"/>
      <c r="I28" s="7" t="s">
        <v>70</v>
      </c>
      <c r="J28" s="7"/>
      <c r="K28" s="12" t="s">
        <v>64</v>
      </c>
      <c r="L28" s="33" t="s">
        <v>278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6" t="s">
        <v>50</v>
      </c>
      <c r="F29" s="43" t="s">
        <v>278</v>
      </c>
      <c r="G29" s="9" t="s">
        <v>55</v>
      </c>
      <c r="H29" s="10"/>
      <c r="I29" s="10" t="s">
        <v>70</v>
      </c>
      <c r="J29" s="10"/>
      <c r="K29" s="14" t="s">
        <v>69</v>
      </c>
      <c r="L29" s="33" t="s">
        <v>278</v>
      </c>
    </row>
    <row r="30" spans="1:24" ht="16.5" thickTop="1" x14ac:dyDescent="0.25"/>
  </sheetData>
  <mergeCells count="26"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C65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5" width="5.7109375" style="37" customWidth="1"/>
    <col min="36" max="83" width="4.7109375" style="37" customWidth="1"/>
    <col min="84" max="16384" width="9.140625" style="37"/>
  </cols>
  <sheetData>
    <row r="1" spans="1:55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55" x14ac:dyDescent="0.25">
      <c r="A2" s="38" t="s">
        <v>46</v>
      </c>
      <c r="B2" s="36">
        <v>1</v>
      </c>
      <c r="C2" s="36" t="s">
        <v>238</v>
      </c>
      <c r="D2" s="36">
        <v>2</v>
      </c>
      <c r="E2" s="40" t="s">
        <v>51</v>
      </c>
      <c r="H2" s="36">
        <v>15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55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55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55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55" x14ac:dyDescent="0.25">
      <c r="A6" s="38" t="s">
        <v>56</v>
      </c>
      <c r="B6" s="36">
        <v>2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55" x14ac:dyDescent="0.25">
      <c r="A7" s="38" t="s">
        <v>51</v>
      </c>
      <c r="B7" s="36">
        <v>1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55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55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55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55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80</v>
      </c>
      <c r="R11" s="130"/>
      <c r="S11" s="130"/>
      <c r="T11" s="130"/>
      <c r="U11" s="130"/>
    </row>
    <row r="12" spans="1:55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55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55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  <c r="BC14" s="37">
        <v>5</v>
      </c>
    </row>
    <row r="15" spans="1:55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55" x14ac:dyDescent="0.25">
      <c r="A16" s="38" t="s">
        <v>40</v>
      </c>
      <c r="B16" s="36">
        <v>3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40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3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4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3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242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242</v>
      </c>
      <c r="B53" s="36">
        <v>2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242</v>
      </c>
      <c r="B55" s="36">
        <v>1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39" t="s">
        <v>89</v>
      </c>
    </row>
    <row r="60" spans="1:15" x14ac:dyDescent="0.25">
      <c r="A60" s="38" t="s">
        <v>144</v>
      </c>
    </row>
    <row r="61" spans="1:15" x14ac:dyDescent="0.25">
      <c r="A61" s="38" t="s">
        <v>145</v>
      </c>
    </row>
    <row r="63" spans="1:15" x14ac:dyDescent="0.25">
      <c r="A63" s="39" t="s">
        <v>88</v>
      </c>
    </row>
    <row r="64" spans="1:15" x14ac:dyDescent="0.25">
      <c r="A64" s="38" t="s">
        <v>142</v>
      </c>
    </row>
    <row r="65" spans="1:1" x14ac:dyDescent="0.25">
      <c r="A65" s="38" t="s">
        <v>143</v>
      </c>
    </row>
  </sheetData>
  <mergeCells count="18">
    <mergeCell ref="Q11:U15"/>
    <mergeCell ref="Q9:U10"/>
    <mergeCell ref="A1:E1"/>
    <mergeCell ref="K1:O1"/>
    <mergeCell ref="A8:E8"/>
    <mergeCell ref="A15:E15"/>
    <mergeCell ref="K8:O8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55" width="5.7109375" style="37" customWidth="1"/>
    <col min="56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8" t="s">
        <v>46</v>
      </c>
      <c r="B2" s="36">
        <v>1</v>
      </c>
      <c r="C2" s="36" t="s">
        <v>238</v>
      </c>
      <c r="D2" s="36">
        <v>1</v>
      </c>
      <c r="E2" s="37" t="s">
        <v>51</v>
      </c>
      <c r="H2" s="36">
        <v>0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1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1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1</v>
      </c>
      <c r="C10" s="36" t="s">
        <v>238</v>
      </c>
      <c r="D10" s="36">
        <v>0</v>
      </c>
      <c r="E10" s="37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1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70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2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0</v>
      </c>
      <c r="C13" s="36" t="s">
        <v>238</v>
      </c>
      <c r="D13" s="36">
        <v>0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0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37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37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3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4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2</v>
      </c>
      <c r="E37" s="37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3</v>
      </c>
      <c r="C38" s="36" t="s">
        <v>238</v>
      </c>
      <c r="D38" s="36">
        <v>1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2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1</v>
      </c>
      <c r="C51" s="36" t="s">
        <v>238</v>
      </c>
      <c r="D51" s="36">
        <v>1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38" t="s">
        <v>146</v>
      </c>
    </row>
    <row r="60" spans="1:15" x14ac:dyDescent="0.25">
      <c r="A60" s="38" t="s">
        <v>145</v>
      </c>
    </row>
    <row r="62" spans="1:15" x14ac:dyDescent="0.25">
      <c r="A62" s="39" t="s">
        <v>88</v>
      </c>
    </row>
    <row r="63" spans="1:15" x14ac:dyDescent="0.25">
      <c r="A63" s="38" t="s">
        <v>147</v>
      </c>
    </row>
    <row r="64" spans="1:15" x14ac:dyDescent="0.25">
      <c r="A64" s="38" t="s">
        <v>148</v>
      </c>
    </row>
  </sheetData>
  <mergeCells count="18">
    <mergeCell ref="Q9:U10"/>
    <mergeCell ref="Q11:U15"/>
    <mergeCell ref="A29:E29"/>
    <mergeCell ref="A36:E36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U65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2" width="5.7109375" style="37" customWidth="1"/>
    <col min="23" max="41" width="5.140625" style="37" customWidth="1"/>
    <col min="42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8" t="s">
        <v>46</v>
      </c>
      <c r="B2" s="36">
        <v>1</v>
      </c>
      <c r="C2" s="36" t="s">
        <v>238</v>
      </c>
      <c r="D2" s="36">
        <v>1</v>
      </c>
      <c r="E2" s="40" t="s">
        <v>51</v>
      </c>
      <c r="H2" s="36">
        <v>0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2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1</v>
      </c>
      <c r="C7" s="36" t="s">
        <v>238</v>
      </c>
      <c r="D7" s="36">
        <v>2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80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2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3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1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1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2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45" t="s">
        <v>89</v>
      </c>
    </row>
    <row r="60" spans="1:15" x14ac:dyDescent="0.25">
      <c r="A60" s="37" t="s">
        <v>144</v>
      </c>
    </row>
    <row r="61" spans="1:15" x14ac:dyDescent="0.25">
      <c r="A61" s="37" t="s">
        <v>149</v>
      </c>
    </row>
    <row r="62" spans="1:15" x14ac:dyDescent="0.25">
      <c r="A62" s="37"/>
    </row>
    <row r="63" spans="1:15" x14ac:dyDescent="0.25">
      <c r="A63" s="45" t="s">
        <v>88</v>
      </c>
    </row>
    <row r="64" spans="1:15" x14ac:dyDescent="0.25">
      <c r="A64" s="37" t="s">
        <v>150</v>
      </c>
    </row>
    <row r="65" spans="1:1" x14ac:dyDescent="0.25">
      <c r="A65" s="37" t="s">
        <v>151</v>
      </c>
    </row>
  </sheetData>
  <mergeCells count="18">
    <mergeCell ref="A36:E36"/>
    <mergeCell ref="A43:E43"/>
    <mergeCell ref="Q9:U10"/>
    <mergeCell ref="Q11:U15"/>
    <mergeCell ref="A8:E8"/>
    <mergeCell ref="A1:E1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U65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53" width="5.7109375" style="37" customWidth="1"/>
    <col min="54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8" t="s">
        <v>46</v>
      </c>
      <c r="B2" s="36">
        <v>0</v>
      </c>
      <c r="C2" s="36" t="s">
        <v>238</v>
      </c>
      <c r="D2" s="36">
        <v>2</v>
      </c>
      <c r="E2" s="40" t="s">
        <v>51</v>
      </c>
      <c r="H2" s="36">
        <v>25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2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32" t="s">
        <v>251</v>
      </c>
      <c r="B8" s="132"/>
      <c r="C8" s="132"/>
      <c r="D8" s="132"/>
      <c r="E8" s="132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0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85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32" t="s">
        <v>250</v>
      </c>
      <c r="B15" s="132"/>
      <c r="C15" s="132"/>
      <c r="D15" s="132"/>
      <c r="E15" s="132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2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32" t="s">
        <v>249</v>
      </c>
      <c r="B22" s="132"/>
      <c r="C22" s="132"/>
      <c r="D22" s="132"/>
      <c r="E22" s="132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2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3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32" t="s">
        <v>248</v>
      </c>
      <c r="B29" s="132"/>
      <c r="C29" s="132"/>
      <c r="D29" s="132"/>
      <c r="E29" s="132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3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32" t="s">
        <v>247</v>
      </c>
      <c r="B36" s="132"/>
      <c r="C36" s="132"/>
      <c r="D36" s="132"/>
      <c r="E36" s="132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32" t="s">
        <v>246</v>
      </c>
      <c r="B43" s="132"/>
      <c r="C43" s="132"/>
      <c r="D43" s="132"/>
      <c r="E43" s="132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32" t="s">
        <v>245</v>
      </c>
      <c r="B50" s="132"/>
      <c r="C50" s="132"/>
      <c r="D50" s="132"/>
      <c r="E50" s="132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3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45" t="s">
        <v>89</v>
      </c>
    </row>
    <row r="60" spans="1:15" x14ac:dyDescent="0.25">
      <c r="A60" s="37" t="s">
        <v>154</v>
      </c>
    </row>
    <row r="61" spans="1:15" x14ac:dyDescent="0.25">
      <c r="A61" s="37" t="s">
        <v>155</v>
      </c>
    </row>
    <row r="62" spans="1:15" x14ac:dyDescent="0.25">
      <c r="A62" s="37"/>
    </row>
    <row r="63" spans="1:15" x14ac:dyDescent="0.25">
      <c r="A63" s="45" t="s">
        <v>88</v>
      </c>
    </row>
    <row r="64" spans="1:15" x14ac:dyDescent="0.25">
      <c r="A64" s="37" t="s">
        <v>152</v>
      </c>
    </row>
    <row r="65" spans="1:1" x14ac:dyDescent="0.25">
      <c r="A65" s="37" t="s">
        <v>153</v>
      </c>
    </row>
  </sheetData>
  <mergeCells count="18"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A36:E36"/>
    <mergeCell ref="A43:E43"/>
    <mergeCell ref="A50:E50"/>
    <mergeCell ref="K15:O15"/>
    <mergeCell ref="K22:O22"/>
    <mergeCell ref="K29:O29"/>
    <mergeCell ref="K36:O36"/>
    <mergeCell ref="K43:O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1</v>
      </c>
      <c r="C3" s="36" t="s">
        <v>238</v>
      </c>
      <c r="D3" s="36">
        <v>0</v>
      </c>
      <c r="E3" s="37" t="s">
        <v>56</v>
      </c>
      <c r="H3" s="36">
        <v>0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1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32" t="s">
        <v>251</v>
      </c>
      <c r="B8" s="132"/>
      <c r="C8" s="132"/>
      <c r="D8" s="132"/>
      <c r="E8" s="132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7" t="s">
        <v>239</v>
      </c>
      <c r="B10" s="36">
        <v>1</v>
      </c>
      <c r="C10" s="36" t="s">
        <v>238</v>
      </c>
      <c r="D10" s="36">
        <v>1</v>
      </c>
      <c r="E10" s="37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7" t="s">
        <v>71</v>
      </c>
      <c r="B11" s="36">
        <v>2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45</v>
      </c>
      <c r="R11" s="130"/>
      <c r="S11" s="130"/>
      <c r="T11" s="130"/>
      <c r="U11" s="130"/>
    </row>
    <row r="12" spans="1:21" x14ac:dyDescent="0.25">
      <c r="A12" s="37" t="s">
        <v>57</v>
      </c>
      <c r="B12" s="36">
        <v>2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7" t="s">
        <v>58</v>
      </c>
      <c r="B13" s="36">
        <v>1</v>
      </c>
      <c r="C13" s="36" t="s">
        <v>238</v>
      </c>
      <c r="D13" s="36">
        <v>0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32" t="s">
        <v>250</v>
      </c>
      <c r="B15" s="132"/>
      <c r="C15" s="132"/>
      <c r="D15" s="132"/>
      <c r="E15" s="132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2</v>
      </c>
      <c r="C20" s="36" t="s">
        <v>238</v>
      </c>
      <c r="D20" s="36">
        <v>1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32" t="s">
        <v>249</v>
      </c>
      <c r="B22" s="132"/>
      <c r="C22" s="132"/>
      <c r="D22" s="132"/>
      <c r="E22" s="132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2</v>
      </c>
      <c r="C23" s="36" t="s">
        <v>238</v>
      </c>
      <c r="D23" s="36">
        <v>1</v>
      </c>
      <c r="E23" s="37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0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32" t="s">
        <v>248</v>
      </c>
      <c r="B29" s="132"/>
      <c r="C29" s="132"/>
      <c r="D29" s="132"/>
      <c r="E29" s="132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2</v>
      </c>
      <c r="C30" s="36" t="s">
        <v>238</v>
      </c>
      <c r="D30" s="36">
        <v>0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1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0</v>
      </c>
      <c r="C34" s="36" t="s">
        <v>238</v>
      </c>
      <c r="D34" s="36">
        <v>1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1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32" t="s">
        <v>247</v>
      </c>
      <c r="B36" s="132"/>
      <c r="C36" s="132"/>
      <c r="D36" s="132"/>
      <c r="E36" s="132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2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1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32" t="s">
        <v>246</v>
      </c>
      <c r="B43" s="132"/>
      <c r="C43" s="132"/>
      <c r="D43" s="132"/>
      <c r="E43" s="132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2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2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32" t="s">
        <v>245</v>
      </c>
      <c r="B50" s="132"/>
      <c r="C50" s="132"/>
      <c r="D50" s="132"/>
      <c r="E50" s="132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1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0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45" t="s">
        <v>88</v>
      </c>
    </row>
    <row r="63" spans="1:15" x14ac:dyDescent="0.25">
      <c r="A63" s="37" t="s">
        <v>203</v>
      </c>
    </row>
    <row r="64" spans="1:15" x14ac:dyDescent="0.25">
      <c r="A64" s="37" t="s">
        <v>217</v>
      </c>
    </row>
  </sheetData>
  <mergeCells count="19">
    <mergeCell ref="K36:O36"/>
    <mergeCell ref="K43:O43"/>
    <mergeCell ref="K50:O50"/>
    <mergeCell ref="A22:E22"/>
    <mergeCell ref="A29:E29"/>
    <mergeCell ref="A36:E36"/>
    <mergeCell ref="A43:E43"/>
    <mergeCell ref="A50:E50"/>
    <mergeCell ref="Q9:U10"/>
    <mergeCell ref="Q11:U15"/>
    <mergeCell ref="K15:O15"/>
    <mergeCell ref="K22:O22"/>
    <mergeCell ref="K29:O29"/>
    <mergeCell ref="A1:E1"/>
    <mergeCell ref="A8:E8"/>
    <mergeCell ref="A2:E2"/>
    <mergeCell ref="A15:E15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0</v>
      </c>
      <c r="C3" s="36" t="s">
        <v>238</v>
      </c>
      <c r="D3" s="36">
        <v>3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2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4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2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32" t="s">
        <v>251</v>
      </c>
      <c r="B8" s="132"/>
      <c r="C8" s="132"/>
      <c r="D8" s="132"/>
      <c r="E8" s="132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1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7" t="s">
        <v>239</v>
      </c>
      <c r="B10" s="36">
        <v>1</v>
      </c>
      <c r="C10" s="36" t="s">
        <v>238</v>
      </c>
      <c r="D10" s="36">
        <v>1</v>
      </c>
      <c r="E10" s="37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7" t="s">
        <v>71</v>
      </c>
      <c r="B11" s="36">
        <v>1</v>
      </c>
      <c r="C11" s="36" t="s">
        <v>238</v>
      </c>
      <c r="D11" s="36">
        <v>0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70</v>
      </c>
      <c r="R11" s="130"/>
      <c r="S11" s="130"/>
      <c r="T11" s="130"/>
      <c r="U11" s="130"/>
    </row>
    <row r="12" spans="1:21" x14ac:dyDescent="0.25">
      <c r="A12" s="37" t="s">
        <v>57</v>
      </c>
      <c r="B12" s="36">
        <v>1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32" t="s">
        <v>250</v>
      </c>
      <c r="B15" s="132"/>
      <c r="C15" s="132"/>
      <c r="D15" s="132"/>
      <c r="E15" s="132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7" t="s">
        <v>40</v>
      </c>
      <c r="B16" s="36">
        <v>4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3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32" t="s">
        <v>249</v>
      </c>
      <c r="B22" s="132"/>
      <c r="C22" s="132"/>
      <c r="D22" s="132"/>
      <c r="E22" s="132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2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3</v>
      </c>
      <c r="C26" s="36" t="s">
        <v>238</v>
      </c>
      <c r="D26" s="36">
        <v>2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0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32" t="s">
        <v>248</v>
      </c>
      <c r="B29" s="132"/>
      <c r="C29" s="132"/>
      <c r="D29" s="132"/>
      <c r="E29" s="132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3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1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2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4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32" t="s">
        <v>247</v>
      </c>
      <c r="B36" s="132"/>
      <c r="C36" s="132"/>
      <c r="D36" s="132"/>
      <c r="E36" s="132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0</v>
      </c>
      <c r="C37" s="36" t="s">
        <v>238</v>
      </c>
      <c r="D37" s="36">
        <v>2</v>
      </c>
      <c r="E37" s="37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3</v>
      </c>
      <c r="C40" s="36" t="s">
        <v>238</v>
      </c>
      <c r="D40" s="36">
        <v>1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32" t="s">
        <v>246</v>
      </c>
      <c r="B43" s="132"/>
      <c r="C43" s="132"/>
      <c r="D43" s="132"/>
      <c r="E43" s="132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1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3</v>
      </c>
      <c r="C45" s="36" t="s">
        <v>238</v>
      </c>
      <c r="D45" s="36">
        <v>1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2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2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3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2</v>
      </c>
      <c r="C49" s="36" t="s">
        <v>238</v>
      </c>
      <c r="D49" s="36">
        <v>0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32" t="s">
        <v>245</v>
      </c>
      <c r="B50" s="132"/>
      <c r="C50" s="132"/>
      <c r="D50" s="132"/>
      <c r="E50" s="132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3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1</v>
      </c>
      <c r="C53" s="36" t="s">
        <v>238</v>
      </c>
      <c r="D53" s="36">
        <v>1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3</v>
      </c>
      <c r="C54" s="36" t="s">
        <v>238</v>
      </c>
      <c r="D54" s="36">
        <v>3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45" t="s">
        <v>88</v>
      </c>
    </row>
    <row r="63" spans="1:15" x14ac:dyDescent="0.25">
      <c r="A63" s="37" t="s">
        <v>207</v>
      </c>
    </row>
    <row r="64" spans="1:15" x14ac:dyDescent="0.25">
      <c r="A64" s="37" t="s">
        <v>151</v>
      </c>
    </row>
  </sheetData>
  <mergeCells count="19"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11:U15"/>
    <mergeCell ref="K15:O15"/>
    <mergeCell ref="K22:O22"/>
    <mergeCell ref="K29:O29"/>
    <mergeCell ref="K36:O36"/>
    <mergeCell ref="A1:E1"/>
    <mergeCell ref="A2:E2"/>
    <mergeCell ref="K1:O1"/>
    <mergeCell ref="K8:O8"/>
    <mergeCell ref="Q9:U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7" t="s">
        <v>46</v>
      </c>
      <c r="B2" s="36">
        <v>1</v>
      </c>
      <c r="C2" s="36" t="s">
        <v>238</v>
      </c>
      <c r="D2" s="36">
        <v>2</v>
      </c>
      <c r="E2" s="37" t="s">
        <v>51</v>
      </c>
      <c r="H2" s="36">
        <v>15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0</v>
      </c>
      <c r="C3" s="36" t="s">
        <v>238</v>
      </c>
      <c r="D3" s="36">
        <v>2</v>
      </c>
      <c r="E3" s="37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1</v>
      </c>
      <c r="C4" s="36" t="s">
        <v>238</v>
      </c>
      <c r="D4" s="36">
        <v>0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2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7" t="s">
        <v>239</v>
      </c>
      <c r="B10" s="36">
        <v>2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7" t="s">
        <v>71</v>
      </c>
      <c r="B11" s="36">
        <v>0</v>
      </c>
      <c r="C11" s="36" t="s">
        <v>238</v>
      </c>
      <c r="D11" s="36">
        <v>0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70</v>
      </c>
      <c r="R11" s="130"/>
      <c r="S11" s="130"/>
      <c r="T11" s="130"/>
      <c r="U11" s="130"/>
    </row>
    <row r="12" spans="1:21" x14ac:dyDescent="0.25">
      <c r="A12" s="37" t="s">
        <v>57</v>
      </c>
      <c r="B12" s="36">
        <v>1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7" t="s">
        <v>58</v>
      </c>
      <c r="B13" s="36">
        <v>1</v>
      </c>
      <c r="C13" s="36" t="s">
        <v>238</v>
      </c>
      <c r="D13" s="36">
        <v>3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7" t="s">
        <v>71</v>
      </c>
      <c r="B14" s="36">
        <v>0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1</v>
      </c>
      <c r="C17" s="36" t="s">
        <v>238</v>
      </c>
      <c r="D17" s="36">
        <v>0</v>
      </c>
      <c r="E17" s="37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1</v>
      </c>
      <c r="C18" s="36" t="s">
        <v>238</v>
      </c>
      <c r="D18" s="36">
        <v>1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3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4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1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1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0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2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0</v>
      </c>
      <c r="C33" s="36" t="s">
        <v>238</v>
      </c>
      <c r="D33" s="36">
        <v>0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0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3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1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1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0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1</v>
      </c>
      <c r="C44" s="36" t="s">
        <v>238</v>
      </c>
      <c r="D44" s="36">
        <v>2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3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2</v>
      </c>
      <c r="C47" s="36" t="s">
        <v>238</v>
      </c>
      <c r="D47" s="36">
        <v>1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2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0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45" t="s">
        <v>88</v>
      </c>
    </row>
    <row r="63" spans="1:15" x14ac:dyDescent="0.25">
      <c r="A63" s="37" t="s">
        <v>156</v>
      </c>
    </row>
    <row r="64" spans="1:15" x14ac:dyDescent="0.25">
      <c r="A64" s="37" t="s">
        <v>157</v>
      </c>
    </row>
  </sheetData>
  <mergeCells count="18"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U65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60" width="5.7109375" style="37" customWidth="1"/>
    <col min="61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7" t="s">
        <v>46</v>
      </c>
      <c r="B2" s="36">
        <v>1</v>
      </c>
      <c r="C2" s="36" t="s">
        <v>238</v>
      </c>
      <c r="D2" s="36">
        <v>0</v>
      </c>
      <c r="E2" s="37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0</v>
      </c>
      <c r="C3" s="36" t="s">
        <v>238</v>
      </c>
      <c r="D3" s="36">
        <v>3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2</v>
      </c>
      <c r="C4" s="36" t="s">
        <v>238</v>
      </c>
      <c r="D4" s="36">
        <v>0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3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7" t="s">
        <v>239</v>
      </c>
      <c r="B10" s="36">
        <v>3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7" t="s">
        <v>71</v>
      </c>
      <c r="B11" s="36">
        <v>1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65</v>
      </c>
      <c r="R11" s="130"/>
      <c r="S11" s="130"/>
      <c r="T11" s="130"/>
      <c r="U11" s="130"/>
    </row>
    <row r="12" spans="1:21" x14ac:dyDescent="0.25">
      <c r="A12" s="37" t="s">
        <v>57</v>
      </c>
      <c r="B12" s="36">
        <v>0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7" t="s">
        <v>58</v>
      </c>
      <c r="B13" s="36">
        <v>0</v>
      </c>
      <c r="C13" s="36" t="s">
        <v>238</v>
      </c>
      <c r="D13" s="36">
        <v>1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7" t="s">
        <v>71</v>
      </c>
      <c r="B14" s="36">
        <v>0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7" t="s">
        <v>40</v>
      </c>
      <c r="B16" s="36">
        <v>3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0</v>
      </c>
      <c r="E17" s="37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1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0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0</v>
      </c>
      <c r="C23" s="36" t="s">
        <v>238</v>
      </c>
      <c r="D23" s="36">
        <v>0</v>
      </c>
      <c r="E23" s="37" t="s">
        <v>68</v>
      </c>
      <c r="H23" s="36">
        <v>25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1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2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1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4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2</v>
      </c>
      <c r="C32" s="36" t="s">
        <v>238</v>
      </c>
      <c r="D32" s="36">
        <v>2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1</v>
      </c>
      <c r="C33" s="36" t="s">
        <v>238</v>
      </c>
      <c r="D33" s="36">
        <v>2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3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1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3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0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0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1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2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0</v>
      </c>
      <c r="C48" s="36" t="s">
        <v>238</v>
      </c>
      <c r="D48" s="36">
        <v>1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0</v>
      </c>
      <c r="C49" s="36" t="s">
        <v>238</v>
      </c>
      <c r="D49" s="36">
        <v>0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1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2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0</v>
      </c>
      <c r="C54" s="36" t="s">
        <v>238</v>
      </c>
      <c r="D54" s="36">
        <v>0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1</v>
      </c>
      <c r="C55" s="36" t="s">
        <v>238</v>
      </c>
      <c r="D55" s="36">
        <v>3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0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45" t="s">
        <v>88</v>
      </c>
    </row>
    <row r="63" spans="1:15" x14ac:dyDescent="0.25">
      <c r="A63" s="45"/>
    </row>
    <row r="64" spans="1:15" x14ac:dyDescent="0.25">
      <c r="A64" s="37" t="s">
        <v>160</v>
      </c>
    </row>
    <row r="65" spans="1:1" x14ac:dyDescent="0.25">
      <c r="A65" s="37" t="s">
        <v>161</v>
      </c>
    </row>
  </sheetData>
  <mergeCells count="18"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4" customWidth="1"/>
    <col min="2" max="4" width="5.7109375" style="36" customWidth="1"/>
    <col min="5" max="5" width="17.7109375" style="44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44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44" t="s">
        <v>46</v>
      </c>
      <c r="B2" s="36">
        <v>1</v>
      </c>
      <c r="C2" s="36" t="s">
        <v>238</v>
      </c>
      <c r="D2" s="36">
        <v>0</v>
      </c>
      <c r="E2" s="44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44" t="s">
        <v>65</v>
      </c>
      <c r="B3" s="36">
        <v>0</v>
      </c>
      <c r="C3" s="36" t="s">
        <v>238</v>
      </c>
      <c r="D3" s="36">
        <v>0</v>
      </c>
      <c r="E3" s="44" t="s">
        <v>56</v>
      </c>
      <c r="H3" s="36">
        <v>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44" t="s">
        <v>46</v>
      </c>
      <c r="B4" s="36">
        <v>0</v>
      </c>
      <c r="C4" s="36" t="s">
        <v>238</v>
      </c>
      <c r="D4" s="36">
        <v>0</v>
      </c>
      <c r="E4" s="44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44" t="s">
        <v>56</v>
      </c>
      <c r="B5" s="36">
        <v>0</v>
      </c>
      <c r="C5" s="36" t="s">
        <v>238</v>
      </c>
      <c r="D5" s="36">
        <v>1</v>
      </c>
      <c r="E5" s="44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44" t="s">
        <v>56</v>
      </c>
      <c r="B6" s="36">
        <v>1</v>
      </c>
      <c r="C6" s="36" t="s">
        <v>238</v>
      </c>
      <c r="D6" s="36">
        <v>0</v>
      </c>
      <c r="E6" s="44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44" t="s">
        <v>51</v>
      </c>
      <c r="B7" s="36">
        <v>2</v>
      </c>
      <c r="C7" s="36" t="s">
        <v>238</v>
      </c>
      <c r="D7" s="36">
        <v>0</v>
      </c>
      <c r="E7" s="44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44" t="s">
        <v>57</v>
      </c>
      <c r="B9" s="36">
        <v>2</v>
      </c>
      <c r="C9" s="36" t="s">
        <v>238</v>
      </c>
      <c r="D9" s="36">
        <v>0</v>
      </c>
      <c r="E9" s="44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44" t="s">
        <v>239</v>
      </c>
      <c r="B10" s="36">
        <v>1</v>
      </c>
      <c r="C10" s="36" t="s">
        <v>238</v>
      </c>
      <c r="D10" s="36">
        <v>0</v>
      </c>
      <c r="E10" s="44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44" t="s">
        <v>71</v>
      </c>
      <c r="B11" s="36">
        <v>1</v>
      </c>
      <c r="C11" s="36" t="s">
        <v>238</v>
      </c>
      <c r="D11" s="36">
        <v>1</v>
      </c>
      <c r="E11" s="44" t="s">
        <v>58</v>
      </c>
      <c r="H11" s="36" t="s">
        <v>285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55</v>
      </c>
      <c r="R11" s="130"/>
      <c r="S11" s="130"/>
      <c r="T11" s="130"/>
      <c r="U11" s="130"/>
    </row>
    <row r="12" spans="1:21" x14ac:dyDescent="0.25">
      <c r="A12" s="44" t="s">
        <v>57</v>
      </c>
      <c r="B12" s="36">
        <v>1</v>
      </c>
      <c r="C12" s="36" t="s">
        <v>238</v>
      </c>
      <c r="D12" s="36">
        <v>2</v>
      </c>
      <c r="E12" s="44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44" t="s">
        <v>58</v>
      </c>
      <c r="B13" s="36">
        <v>0</v>
      </c>
      <c r="C13" s="36" t="s">
        <v>238</v>
      </c>
      <c r="D13" s="36">
        <v>2</v>
      </c>
      <c r="E13" s="44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44" t="s">
        <v>71</v>
      </c>
      <c r="B14" s="36">
        <v>0</v>
      </c>
      <c r="C14" s="36" t="s">
        <v>238</v>
      </c>
      <c r="D14" s="36">
        <v>1</v>
      </c>
      <c r="E14" s="44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44" t="s">
        <v>40</v>
      </c>
      <c r="B16" s="36">
        <v>2</v>
      </c>
      <c r="C16" s="36" t="s">
        <v>238</v>
      </c>
      <c r="D16" s="36">
        <v>0</v>
      </c>
      <c r="E16" s="44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44" t="s">
        <v>61</v>
      </c>
      <c r="B17" s="36">
        <v>0</v>
      </c>
      <c r="C17" s="36" t="s">
        <v>238</v>
      </c>
      <c r="D17" s="36">
        <v>1</v>
      </c>
      <c r="E17" s="44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44" t="s">
        <v>63</v>
      </c>
      <c r="B18" s="36">
        <v>2</v>
      </c>
      <c r="C18" s="36" t="s">
        <v>238</v>
      </c>
      <c r="D18" s="36">
        <v>0</v>
      </c>
      <c r="E18" s="44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44" t="s">
        <v>40</v>
      </c>
      <c r="B19" s="36">
        <v>2</v>
      </c>
      <c r="C19" s="36" t="s">
        <v>238</v>
      </c>
      <c r="D19" s="36">
        <v>0</v>
      </c>
      <c r="E19" s="44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44" t="s">
        <v>63</v>
      </c>
      <c r="B20" s="36">
        <v>2</v>
      </c>
      <c r="C20" s="36" t="s">
        <v>238</v>
      </c>
      <c r="D20" s="36">
        <v>3</v>
      </c>
      <c r="E20" s="44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44" t="s">
        <v>240</v>
      </c>
      <c r="B21" s="36">
        <v>0</v>
      </c>
      <c r="C21" s="36" t="s">
        <v>238</v>
      </c>
      <c r="D21" s="36">
        <v>2</v>
      </c>
      <c r="E21" s="44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44" t="s">
        <v>50</v>
      </c>
      <c r="B23" s="36">
        <v>1</v>
      </c>
      <c r="C23" s="36" t="s">
        <v>238</v>
      </c>
      <c r="D23" s="36">
        <v>1</v>
      </c>
      <c r="E23" s="44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44" t="s">
        <v>54</v>
      </c>
      <c r="B24" s="36">
        <v>2</v>
      </c>
      <c r="C24" s="36" t="s">
        <v>238</v>
      </c>
      <c r="D24" s="36">
        <v>1</v>
      </c>
      <c r="E24" s="44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44" t="s">
        <v>68</v>
      </c>
      <c r="B25" s="36">
        <v>0</v>
      </c>
      <c r="C25" s="36" t="s">
        <v>238</v>
      </c>
      <c r="D25" s="36">
        <v>1</v>
      </c>
      <c r="E25" s="44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44" t="s">
        <v>54</v>
      </c>
      <c r="B26" s="36">
        <v>2</v>
      </c>
      <c r="C26" s="36" t="s">
        <v>238</v>
      </c>
      <c r="D26" s="36">
        <v>0</v>
      </c>
      <c r="E26" s="44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44" t="s">
        <v>68</v>
      </c>
      <c r="B27" s="36">
        <v>0</v>
      </c>
      <c r="C27" s="36" t="s">
        <v>238</v>
      </c>
      <c r="D27" s="36">
        <v>2</v>
      </c>
      <c r="E27" s="44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44" t="s">
        <v>41</v>
      </c>
      <c r="B28" s="36">
        <v>1</v>
      </c>
      <c r="C28" s="36" t="s">
        <v>238</v>
      </c>
      <c r="D28" s="36">
        <v>0</v>
      </c>
      <c r="E28" s="44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44" t="s">
        <v>38</v>
      </c>
      <c r="B30" s="36">
        <v>1</v>
      </c>
      <c r="C30" s="36" t="s">
        <v>238</v>
      </c>
      <c r="D30" s="36">
        <v>1</v>
      </c>
      <c r="E30" s="44" t="s">
        <v>59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44" t="s">
        <v>52</v>
      </c>
      <c r="B31" s="36">
        <v>0</v>
      </c>
      <c r="C31" s="36" t="s">
        <v>238</v>
      </c>
      <c r="D31" s="36">
        <v>0</v>
      </c>
      <c r="E31" s="44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44" t="s">
        <v>59</v>
      </c>
      <c r="B32" s="36">
        <v>1</v>
      </c>
      <c r="C32" s="36" t="s">
        <v>238</v>
      </c>
      <c r="D32" s="36">
        <v>0</v>
      </c>
      <c r="E32" s="44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44" t="s">
        <v>52</v>
      </c>
      <c r="B33" s="36">
        <v>0</v>
      </c>
      <c r="C33" s="36" t="s">
        <v>238</v>
      </c>
      <c r="D33" s="36">
        <v>2</v>
      </c>
      <c r="E33" s="44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44" t="s">
        <v>59</v>
      </c>
      <c r="B34" s="36">
        <v>1</v>
      </c>
      <c r="C34" s="36" t="s">
        <v>238</v>
      </c>
      <c r="D34" s="36">
        <v>0</v>
      </c>
      <c r="E34" s="44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44" t="s">
        <v>241</v>
      </c>
      <c r="B35" s="36">
        <v>0</v>
      </c>
      <c r="C35" s="36" t="s">
        <v>238</v>
      </c>
      <c r="D35" s="36">
        <v>2</v>
      </c>
      <c r="E35" s="44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44" t="s">
        <v>60</v>
      </c>
      <c r="B37" s="36">
        <v>0</v>
      </c>
      <c r="C37" s="36" t="s">
        <v>238</v>
      </c>
      <c r="D37" s="36">
        <v>1</v>
      </c>
      <c r="E37" s="44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44" t="s">
        <v>42</v>
      </c>
      <c r="B38" s="36">
        <v>1</v>
      </c>
      <c r="C38" s="36" t="s">
        <v>238</v>
      </c>
      <c r="D38" s="36">
        <v>0</v>
      </c>
      <c r="E38" s="44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44" t="s">
        <v>42</v>
      </c>
      <c r="B39" s="36">
        <v>2</v>
      </c>
      <c r="C39" s="36" t="s">
        <v>238</v>
      </c>
      <c r="D39" s="36">
        <v>0</v>
      </c>
      <c r="E39" s="44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44" t="s">
        <v>49</v>
      </c>
      <c r="B40" s="36">
        <v>1</v>
      </c>
      <c r="C40" s="36" t="s">
        <v>238</v>
      </c>
      <c r="D40" s="36">
        <v>0</v>
      </c>
      <c r="E40" s="44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44" t="s">
        <v>49</v>
      </c>
      <c r="B41" s="36">
        <v>0</v>
      </c>
      <c r="C41" s="36" t="s">
        <v>238</v>
      </c>
      <c r="D41" s="36">
        <v>1</v>
      </c>
      <c r="E41" s="44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44" t="s">
        <v>45</v>
      </c>
      <c r="B42" s="36">
        <v>1</v>
      </c>
      <c r="C42" s="36" t="s">
        <v>238</v>
      </c>
      <c r="D42" s="36">
        <v>0</v>
      </c>
      <c r="E42" s="44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44" t="s">
        <v>67</v>
      </c>
      <c r="B44" s="36">
        <v>0</v>
      </c>
      <c r="C44" s="36" t="s">
        <v>238</v>
      </c>
      <c r="D44" s="36">
        <v>0</v>
      </c>
      <c r="E44" s="44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44" t="s">
        <v>43</v>
      </c>
      <c r="B45" s="36">
        <v>2</v>
      </c>
      <c r="C45" s="36" t="s">
        <v>238</v>
      </c>
      <c r="D45" s="36">
        <v>0</v>
      </c>
      <c r="E45" s="44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44" t="s">
        <v>44</v>
      </c>
      <c r="B46" s="36">
        <v>1</v>
      </c>
      <c r="C46" s="36" t="s">
        <v>238</v>
      </c>
      <c r="D46" s="36">
        <v>1</v>
      </c>
      <c r="E46" s="44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44" t="s">
        <v>43</v>
      </c>
      <c r="B47" s="36">
        <v>1</v>
      </c>
      <c r="C47" s="36" t="s">
        <v>238</v>
      </c>
      <c r="D47" s="36">
        <v>0</v>
      </c>
      <c r="E47" s="44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44" t="s">
        <v>44</v>
      </c>
      <c r="B48" s="36">
        <v>0</v>
      </c>
      <c r="C48" s="36" t="s">
        <v>238</v>
      </c>
      <c r="D48" s="36">
        <v>2</v>
      </c>
      <c r="E48" s="44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44" t="s">
        <v>66</v>
      </c>
      <c r="B49" s="36">
        <v>1</v>
      </c>
      <c r="C49" s="36" t="s">
        <v>238</v>
      </c>
      <c r="D49" s="36">
        <v>2</v>
      </c>
      <c r="E49" s="44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44" t="s">
        <v>69</v>
      </c>
      <c r="B51" s="36">
        <v>2</v>
      </c>
      <c r="C51" s="36" t="s">
        <v>238</v>
      </c>
      <c r="D51" s="36">
        <v>1</v>
      </c>
      <c r="E51" s="44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44" t="s">
        <v>64</v>
      </c>
      <c r="B52" s="36">
        <v>2</v>
      </c>
      <c r="C52" s="36" t="s">
        <v>238</v>
      </c>
      <c r="D52" s="36">
        <v>0</v>
      </c>
      <c r="E52" s="44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44" t="s">
        <v>255</v>
      </c>
      <c r="B53" s="36">
        <v>1</v>
      </c>
      <c r="C53" s="36" t="s">
        <v>238</v>
      </c>
      <c r="D53" s="36">
        <v>0</v>
      </c>
      <c r="E53" s="44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44" t="s">
        <v>64</v>
      </c>
      <c r="B54" s="36">
        <v>2</v>
      </c>
      <c r="C54" s="36" t="s">
        <v>238</v>
      </c>
      <c r="D54" s="36">
        <v>1</v>
      </c>
      <c r="E54" s="44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44" t="s">
        <v>255</v>
      </c>
      <c r="B55" s="36">
        <v>1</v>
      </c>
      <c r="C55" s="36" t="s">
        <v>238</v>
      </c>
      <c r="D55" s="36">
        <v>3</v>
      </c>
      <c r="E55" s="44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44" t="s">
        <v>55</v>
      </c>
      <c r="B56" s="36">
        <v>0</v>
      </c>
      <c r="C56" s="36" t="s">
        <v>238</v>
      </c>
      <c r="D56" s="36">
        <v>1</v>
      </c>
      <c r="E56" s="44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6" t="s">
        <v>89</v>
      </c>
    </row>
    <row r="59" spans="1:15" x14ac:dyDescent="0.25">
      <c r="A59" s="44" t="s">
        <v>144</v>
      </c>
    </row>
    <row r="60" spans="1:15" x14ac:dyDescent="0.25">
      <c r="A60" s="44" t="s">
        <v>149</v>
      </c>
    </row>
    <row r="62" spans="1:15" x14ac:dyDescent="0.25">
      <c r="A62" s="46" t="s">
        <v>88</v>
      </c>
    </row>
    <row r="63" spans="1:15" x14ac:dyDescent="0.25">
      <c r="A63" s="44" t="s">
        <v>162</v>
      </c>
    </row>
    <row r="64" spans="1:15" x14ac:dyDescent="0.25">
      <c r="A64" s="44" t="s">
        <v>163</v>
      </c>
    </row>
  </sheetData>
  <mergeCells count="18">
    <mergeCell ref="K22:O22"/>
    <mergeCell ref="K29:O29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15:O15"/>
    <mergeCell ref="K36:O36"/>
    <mergeCell ref="K43:O43"/>
    <mergeCell ref="K50:O50"/>
    <mergeCell ref="A36:E36"/>
    <mergeCell ref="A43:E43"/>
    <mergeCell ref="A50:E50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44" customWidth="1"/>
    <col min="2" max="4" width="5.7109375" style="36" customWidth="1"/>
    <col min="5" max="5" width="17.7109375" style="44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0" width="5.7109375" style="37" customWidth="1"/>
    <col min="31" max="16384" width="9.140625" style="44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44" t="s">
        <v>46</v>
      </c>
      <c r="B2" s="36">
        <v>1</v>
      </c>
      <c r="C2" s="36" t="s">
        <v>238</v>
      </c>
      <c r="D2" s="36">
        <v>0</v>
      </c>
      <c r="E2" s="44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44" t="s">
        <v>65</v>
      </c>
      <c r="B3" s="36">
        <v>0</v>
      </c>
      <c r="C3" s="36" t="s">
        <v>238</v>
      </c>
      <c r="D3" s="36">
        <v>0</v>
      </c>
      <c r="E3" s="44" t="s">
        <v>56</v>
      </c>
      <c r="H3" s="36">
        <v>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44" t="s">
        <v>46</v>
      </c>
      <c r="B4" s="36">
        <v>0</v>
      </c>
      <c r="C4" s="36" t="s">
        <v>238</v>
      </c>
      <c r="D4" s="36">
        <v>0</v>
      </c>
      <c r="E4" s="44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44" t="s">
        <v>56</v>
      </c>
      <c r="B5" s="36">
        <v>0</v>
      </c>
      <c r="C5" s="36" t="s">
        <v>238</v>
      </c>
      <c r="D5" s="36">
        <v>1</v>
      </c>
      <c r="E5" s="44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44" t="s">
        <v>56</v>
      </c>
      <c r="B6" s="36">
        <v>1</v>
      </c>
      <c r="C6" s="36" t="s">
        <v>238</v>
      </c>
      <c r="D6" s="36">
        <v>0</v>
      </c>
      <c r="E6" s="44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44" t="s">
        <v>51</v>
      </c>
      <c r="B7" s="36">
        <v>2</v>
      </c>
      <c r="C7" s="36" t="s">
        <v>238</v>
      </c>
      <c r="D7" s="36">
        <v>0</v>
      </c>
      <c r="E7" s="44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44" t="s">
        <v>57</v>
      </c>
      <c r="B9" s="36">
        <v>2</v>
      </c>
      <c r="C9" s="36" t="s">
        <v>238</v>
      </c>
      <c r="D9" s="36">
        <v>0</v>
      </c>
      <c r="E9" s="44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44" t="s">
        <v>239</v>
      </c>
      <c r="B10" s="36">
        <v>1</v>
      </c>
      <c r="C10" s="36" t="s">
        <v>238</v>
      </c>
      <c r="D10" s="36">
        <v>0</v>
      </c>
      <c r="E10" s="44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44" t="s">
        <v>71</v>
      </c>
      <c r="B11" s="36">
        <v>1</v>
      </c>
      <c r="C11" s="36" t="s">
        <v>238</v>
      </c>
      <c r="D11" s="36">
        <v>1</v>
      </c>
      <c r="E11" s="44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60</v>
      </c>
      <c r="R11" s="130"/>
      <c r="S11" s="130"/>
      <c r="T11" s="130"/>
      <c r="U11" s="130"/>
    </row>
    <row r="12" spans="1:21" x14ac:dyDescent="0.25">
      <c r="A12" s="44" t="s">
        <v>57</v>
      </c>
      <c r="B12" s="36">
        <v>1</v>
      </c>
      <c r="C12" s="36" t="s">
        <v>238</v>
      </c>
      <c r="D12" s="36">
        <v>2</v>
      </c>
      <c r="E12" s="44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44" t="s">
        <v>58</v>
      </c>
      <c r="B13" s="36">
        <v>0</v>
      </c>
      <c r="C13" s="36" t="s">
        <v>238</v>
      </c>
      <c r="D13" s="36">
        <v>2</v>
      </c>
      <c r="E13" s="44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44" t="s">
        <v>71</v>
      </c>
      <c r="B14" s="36">
        <v>0</v>
      </c>
      <c r="C14" s="36" t="s">
        <v>238</v>
      </c>
      <c r="D14" s="36">
        <v>1</v>
      </c>
      <c r="E14" s="44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44" t="s">
        <v>40</v>
      </c>
      <c r="B16" s="36">
        <v>2</v>
      </c>
      <c r="C16" s="36" t="s">
        <v>238</v>
      </c>
      <c r="D16" s="36">
        <v>0</v>
      </c>
      <c r="E16" s="44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44" t="s">
        <v>61</v>
      </c>
      <c r="B17" s="36">
        <v>0</v>
      </c>
      <c r="C17" s="36" t="s">
        <v>238</v>
      </c>
      <c r="D17" s="36">
        <v>1</v>
      </c>
      <c r="E17" s="44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44" t="s">
        <v>63</v>
      </c>
      <c r="B18" s="36">
        <v>2</v>
      </c>
      <c r="C18" s="36" t="s">
        <v>238</v>
      </c>
      <c r="D18" s="36">
        <v>0</v>
      </c>
      <c r="E18" s="44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44" t="s">
        <v>40</v>
      </c>
      <c r="B19" s="36">
        <v>2</v>
      </c>
      <c r="C19" s="36" t="s">
        <v>238</v>
      </c>
      <c r="D19" s="36">
        <v>0</v>
      </c>
      <c r="E19" s="44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44" t="s">
        <v>63</v>
      </c>
      <c r="B20" s="36">
        <v>2</v>
      </c>
      <c r="C20" s="36" t="s">
        <v>238</v>
      </c>
      <c r="D20" s="36">
        <v>3</v>
      </c>
      <c r="E20" s="44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44" t="s">
        <v>240</v>
      </c>
      <c r="B21" s="36">
        <v>0</v>
      </c>
      <c r="C21" s="36" t="s">
        <v>238</v>
      </c>
      <c r="D21" s="36">
        <v>2</v>
      </c>
      <c r="E21" s="44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44" t="s">
        <v>50</v>
      </c>
      <c r="B23" s="36">
        <v>1</v>
      </c>
      <c r="C23" s="36" t="s">
        <v>238</v>
      </c>
      <c r="D23" s="36">
        <v>1</v>
      </c>
      <c r="E23" s="44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44" t="s">
        <v>54</v>
      </c>
      <c r="B24" s="36">
        <v>2</v>
      </c>
      <c r="C24" s="36" t="s">
        <v>238</v>
      </c>
      <c r="D24" s="36">
        <v>1</v>
      </c>
      <c r="E24" s="44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44" t="s">
        <v>68</v>
      </c>
      <c r="B25" s="36">
        <v>0</v>
      </c>
      <c r="C25" s="36" t="s">
        <v>238</v>
      </c>
      <c r="D25" s="36">
        <v>1</v>
      </c>
      <c r="E25" s="44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44" t="s">
        <v>54</v>
      </c>
      <c r="B26" s="36">
        <v>2</v>
      </c>
      <c r="C26" s="36" t="s">
        <v>238</v>
      </c>
      <c r="D26" s="36">
        <v>0</v>
      </c>
      <c r="E26" s="44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44" t="s">
        <v>68</v>
      </c>
      <c r="B27" s="36">
        <v>0</v>
      </c>
      <c r="C27" s="36" t="s">
        <v>238</v>
      </c>
      <c r="D27" s="36">
        <v>2</v>
      </c>
      <c r="E27" s="44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44" t="s">
        <v>41</v>
      </c>
      <c r="B28" s="36">
        <v>1</v>
      </c>
      <c r="C28" s="36" t="s">
        <v>238</v>
      </c>
      <c r="D28" s="36">
        <v>0</v>
      </c>
      <c r="E28" s="44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44" t="s">
        <v>38</v>
      </c>
      <c r="B30" s="36">
        <v>1</v>
      </c>
      <c r="C30" s="36" t="s">
        <v>238</v>
      </c>
      <c r="D30" s="36">
        <v>1</v>
      </c>
      <c r="E30" s="44" t="s">
        <v>59</v>
      </c>
      <c r="H30" s="36">
        <v>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44" t="s">
        <v>52</v>
      </c>
      <c r="B31" s="36">
        <v>0</v>
      </c>
      <c r="C31" s="36" t="s">
        <v>238</v>
      </c>
      <c r="D31" s="36">
        <v>0</v>
      </c>
      <c r="E31" s="44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44" t="s">
        <v>59</v>
      </c>
      <c r="B32" s="36">
        <v>1</v>
      </c>
      <c r="C32" s="36" t="s">
        <v>238</v>
      </c>
      <c r="D32" s="36">
        <v>0</v>
      </c>
      <c r="E32" s="44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44" t="s">
        <v>52</v>
      </c>
      <c r="B33" s="36">
        <v>0</v>
      </c>
      <c r="C33" s="36" t="s">
        <v>238</v>
      </c>
      <c r="D33" s="36">
        <v>2</v>
      </c>
      <c r="E33" s="44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44" t="s">
        <v>59</v>
      </c>
      <c r="B34" s="36">
        <v>1</v>
      </c>
      <c r="C34" s="36" t="s">
        <v>238</v>
      </c>
      <c r="D34" s="36">
        <v>0</v>
      </c>
      <c r="E34" s="44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44" t="s">
        <v>241</v>
      </c>
      <c r="B35" s="36">
        <v>0</v>
      </c>
      <c r="C35" s="36" t="s">
        <v>238</v>
      </c>
      <c r="D35" s="36">
        <v>2</v>
      </c>
      <c r="E35" s="44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44" t="s">
        <v>60</v>
      </c>
      <c r="B37" s="36">
        <v>0</v>
      </c>
      <c r="C37" s="36" t="s">
        <v>238</v>
      </c>
      <c r="D37" s="36">
        <v>1</v>
      </c>
      <c r="E37" s="44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44" t="s">
        <v>42</v>
      </c>
      <c r="B38" s="36">
        <v>1</v>
      </c>
      <c r="C38" s="36" t="s">
        <v>238</v>
      </c>
      <c r="D38" s="36">
        <v>0</v>
      </c>
      <c r="E38" s="44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44" t="s">
        <v>42</v>
      </c>
      <c r="B39" s="36">
        <v>2</v>
      </c>
      <c r="C39" s="36" t="s">
        <v>238</v>
      </c>
      <c r="D39" s="36">
        <v>0</v>
      </c>
      <c r="E39" s="44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44" t="s">
        <v>49</v>
      </c>
      <c r="B40" s="36">
        <v>1</v>
      </c>
      <c r="C40" s="36" t="s">
        <v>238</v>
      </c>
      <c r="D40" s="36">
        <v>0</v>
      </c>
      <c r="E40" s="44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44" t="s">
        <v>49</v>
      </c>
      <c r="B41" s="36">
        <v>0</v>
      </c>
      <c r="C41" s="36" t="s">
        <v>238</v>
      </c>
      <c r="D41" s="36">
        <v>1</v>
      </c>
      <c r="E41" s="44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44" t="s">
        <v>45</v>
      </c>
      <c r="B42" s="36">
        <v>1</v>
      </c>
      <c r="C42" s="36" t="s">
        <v>238</v>
      </c>
      <c r="D42" s="36">
        <v>0</v>
      </c>
      <c r="E42" s="44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44" t="s">
        <v>67</v>
      </c>
      <c r="B44" s="36">
        <v>0</v>
      </c>
      <c r="C44" s="36" t="s">
        <v>238</v>
      </c>
      <c r="D44" s="36">
        <v>0</v>
      </c>
      <c r="E44" s="44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44" t="s">
        <v>43</v>
      </c>
      <c r="B45" s="36">
        <v>2</v>
      </c>
      <c r="C45" s="36" t="s">
        <v>238</v>
      </c>
      <c r="D45" s="36">
        <v>0</v>
      </c>
      <c r="E45" s="44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44" t="s">
        <v>44</v>
      </c>
      <c r="B46" s="36">
        <v>1</v>
      </c>
      <c r="C46" s="36" t="s">
        <v>238</v>
      </c>
      <c r="D46" s="36">
        <v>1</v>
      </c>
      <c r="E46" s="44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44" t="s">
        <v>43</v>
      </c>
      <c r="B47" s="36">
        <v>1</v>
      </c>
      <c r="C47" s="36" t="s">
        <v>238</v>
      </c>
      <c r="D47" s="36">
        <v>0</v>
      </c>
      <c r="E47" s="44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44" t="s">
        <v>44</v>
      </c>
      <c r="B48" s="36">
        <v>0</v>
      </c>
      <c r="C48" s="36" t="s">
        <v>238</v>
      </c>
      <c r="D48" s="36">
        <v>2</v>
      </c>
      <c r="E48" s="44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44" t="s">
        <v>66</v>
      </c>
      <c r="B49" s="36">
        <v>1</v>
      </c>
      <c r="C49" s="36" t="s">
        <v>238</v>
      </c>
      <c r="D49" s="36">
        <v>2</v>
      </c>
      <c r="E49" s="44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44" t="s">
        <v>69</v>
      </c>
      <c r="B51" s="36">
        <v>2</v>
      </c>
      <c r="C51" s="36" t="s">
        <v>238</v>
      </c>
      <c r="D51" s="36">
        <v>1</v>
      </c>
      <c r="E51" s="44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44" t="s">
        <v>64</v>
      </c>
      <c r="B52" s="36">
        <v>2</v>
      </c>
      <c r="C52" s="36" t="s">
        <v>238</v>
      </c>
      <c r="D52" s="36">
        <v>0</v>
      </c>
      <c r="E52" s="44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44" t="s">
        <v>255</v>
      </c>
      <c r="B53" s="36">
        <v>1</v>
      </c>
      <c r="C53" s="36" t="s">
        <v>238</v>
      </c>
      <c r="D53" s="36">
        <v>0</v>
      </c>
      <c r="E53" s="44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44" t="s">
        <v>64</v>
      </c>
      <c r="B54" s="36">
        <v>2</v>
      </c>
      <c r="C54" s="36" t="s">
        <v>238</v>
      </c>
      <c r="D54" s="36">
        <v>1</v>
      </c>
      <c r="E54" s="44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44" t="s">
        <v>255</v>
      </c>
      <c r="B55" s="36">
        <v>1</v>
      </c>
      <c r="C55" s="36" t="s">
        <v>238</v>
      </c>
      <c r="D55" s="36">
        <v>3</v>
      </c>
      <c r="E55" s="44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44" t="s">
        <v>55</v>
      </c>
      <c r="B56" s="36">
        <v>0</v>
      </c>
      <c r="C56" s="36" t="s">
        <v>238</v>
      </c>
      <c r="D56" s="36">
        <v>1</v>
      </c>
      <c r="E56" s="44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6" t="s">
        <v>89</v>
      </c>
    </row>
    <row r="59" spans="1:15" x14ac:dyDescent="0.25">
      <c r="A59" s="44" t="s">
        <v>144</v>
      </c>
    </row>
    <row r="60" spans="1:15" x14ac:dyDescent="0.25">
      <c r="A60" s="44" t="s">
        <v>149</v>
      </c>
    </row>
    <row r="62" spans="1:15" x14ac:dyDescent="0.25">
      <c r="A62" s="46" t="s">
        <v>88</v>
      </c>
    </row>
    <row r="63" spans="1:15" x14ac:dyDescent="0.25">
      <c r="A63" s="44" t="s">
        <v>162</v>
      </c>
    </row>
    <row r="64" spans="1:15" x14ac:dyDescent="0.25">
      <c r="A64" s="44" t="s">
        <v>163</v>
      </c>
    </row>
  </sheetData>
  <mergeCells count="18"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105</v>
      </c>
      <c r="B1" s="79" t="s">
        <v>141</v>
      </c>
      <c r="C1" s="79"/>
      <c r="D1" s="79"/>
      <c r="E1" s="80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13</v>
      </c>
      <c r="D3" s="22"/>
      <c r="E3" s="19" t="s">
        <v>22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1" t="s">
        <v>138</v>
      </c>
      <c r="B5" s="22"/>
      <c r="C5" s="22" t="s">
        <v>129</v>
      </c>
      <c r="D5" s="22"/>
      <c r="E5" s="25" t="s">
        <v>33</v>
      </c>
    </row>
    <row r="6" spans="1:5" x14ac:dyDescent="0.25">
      <c r="A6" s="21" t="s">
        <v>2</v>
      </c>
      <c r="B6" s="22"/>
      <c r="C6" s="22" t="s">
        <v>118</v>
      </c>
      <c r="D6" s="22"/>
      <c r="E6" s="25" t="s">
        <v>34</v>
      </c>
    </row>
    <row r="7" spans="1:5" x14ac:dyDescent="0.25">
      <c r="A7" s="21" t="s">
        <v>139</v>
      </c>
      <c r="B7" s="22"/>
      <c r="C7" s="22" t="s">
        <v>130</v>
      </c>
      <c r="D7" s="22"/>
      <c r="E7" s="25" t="s">
        <v>123</v>
      </c>
    </row>
    <row r="8" spans="1:5" x14ac:dyDescent="0.25">
      <c r="A8" s="21" t="s">
        <v>140</v>
      </c>
      <c r="B8" s="22"/>
      <c r="C8" s="22" t="s">
        <v>93</v>
      </c>
      <c r="D8" s="22"/>
      <c r="E8" s="25" t="s">
        <v>114</v>
      </c>
    </row>
    <row r="9" spans="1:5" x14ac:dyDescent="0.25">
      <c r="A9" s="21" t="s">
        <v>4</v>
      </c>
      <c r="B9" s="22"/>
      <c r="C9" s="22" t="s">
        <v>109</v>
      </c>
      <c r="D9" s="22"/>
      <c r="E9" s="25" t="s">
        <v>124</v>
      </c>
    </row>
    <row r="10" spans="1:5" x14ac:dyDescent="0.25">
      <c r="A10" s="21" t="s">
        <v>79</v>
      </c>
      <c r="B10" s="22"/>
      <c r="C10" s="22" t="s">
        <v>131</v>
      </c>
      <c r="D10" s="22"/>
      <c r="E10" s="25" t="s">
        <v>110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5</v>
      </c>
      <c r="B12" s="22"/>
      <c r="C12" s="18" t="s">
        <v>16</v>
      </c>
      <c r="D12" s="22"/>
      <c r="E12" s="19" t="s">
        <v>27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134</v>
      </c>
      <c r="B14" s="22"/>
      <c r="C14" s="22" t="s">
        <v>128</v>
      </c>
      <c r="D14" s="22"/>
      <c r="E14" s="25" t="s">
        <v>273</v>
      </c>
    </row>
    <row r="15" spans="1:5" x14ac:dyDescent="0.25">
      <c r="A15" s="21" t="s">
        <v>106</v>
      </c>
      <c r="B15" s="22"/>
      <c r="C15" s="22" t="s">
        <v>254</v>
      </c>
      <c r="D15" s="22"/>
      <c r="E15" s="25" t="s">
        <v>121</v>
      </c>
    </row>
    <row r="16" spans="1:5" x14ac:dyDescent="0.25">
      <c r="A16" s="21" t="s">
        <v>135</v>
      </c>
      <c r="B16" s="22"/>
      <c r="C16" s="22" t="s">
        <v>263</v>
      </c>
      <c r="D16" s="22"/>
      <c r="E16" s="25" t="s">
        <v>274</v>
      </c>
    </row>
    <row r="17" spans="1:5" x14ac:dyDescent="0.25">
      <c r="A17" s="21" t="s">
        <v>136</v>
      </c>
      <c r="B17" s="22"/>
      <c r="C17" s="22" t="s">
        <v>17</v>
      </c>
      <c r="D17" s="22"/>
      <c r="E17" s="25" t="s">
        <v>37</v>
      </c>
    </row>
    <row r="18" spans="1:5" x14ac:dyDescent="0.25">
      <c r="A18" s="21" t="s">
        <v>120</v>
      </c>
      <c r="B18" s="22"/>
      <c r="C18" s="22" t="s">
        <v>117</v>
      </c>
      <c r="D18" s="22"/>
      <c r="E18" s="25" t="s">
        <v>271</v>
      </c>
    </row>
    <row r="19" spans="1:5" x14ac:dyDescent="0.25">
      <c r="A19" s="21" t="s">
        <v>137</v>
      </c>
      <c r="B19" s="22"/>
      <c r="C19" s="22" t="s">
        <v>266</v>
      </c>
      <c r="D19" s="22"/>
      <c r="E19" s="25" t="s">
        <v>122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9</v>
      </c>
      <c r="B21" s="22"/>
      <c r="C21" s="18" t="s">
        <v>19</v>
      </c>
      <c r="D21" s="22"/>
      <c r="E21" s="20" t="s">
        <v>89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144</v>
      </c>
    </row>
    <row r="23" spans="1:5" x14ac:dyDescent="0.25">
      <c r="A23" s="21" t="s">
        <v>260</v>
      </c>
      <c r="B23" s="22"/>
      <c r="C23" s="22" t="s">
        <v>98</v>
      </c>
      <c r="D23" s="22"/>
      <c r="E23" s="25" t="s">
        <v>166</v>
      </c>
    </row>
    <row r="24" spans="1:5" x14ac:dyDescent="0.25">
      <c r="A24" s="21" t="s">
        <v>10</v>
      </c>
      <c r="B24" s="22"/>
      <c r="C24" s="22" t="s">
        <v>99</v>
      </c>
      <c r="D24" s="22"/>
      <c r="E24" s="25"/>
    </row>
    <row r="25" spans="1:5" x14ac:dyDescent="0.25">
      <c r="A25" s="21" t="s">
        <v>259</v>
      </c>
      <c r="B25" s="22"/>
      <c r="C25" s="22" t="s">
        <v>116</v>
      </c>
      <c r="D25" s="22"/>
      <c r="E25" s="20" t="s">
        <v>88</v>
      </c>
    </row>
    <row r="26" spans="1:5" x14ac:dyDescent="0.25">
      <c r="A26" s="21" t="s">
        <v>132</v>
      </c>
      <c r="B26" s="22"/>
      <c r="C26" s="22" t="s">
        <v>125</v>
      </c>
      <c r="D26" s="22"/>
      <c r="E26" s="25" t="s">
        <v>167</v>
      </c>
    </row>
    <row r="27" spans="1:5" x14ac:dyDescent="0.25">
      <c r="A27" s="21" t="s">
        <v>133</v>
      </c>
      <c r="B27" s="22"/>
      <c r="C27" s="22" t="s">
        <v>126</v>
      </c>
      <c r="D27" s="22"/>
      <c r="E27" s="25" t="s">
        <v>168</v>
      </c>
    </row>
    <row r="28" spans="1:5" ht="15.75" thickBot="1" x14ac:dyDescent="0.3">
      <c r="A28" s="23" t="s">
        <v>261</v>
      </c>
      <c r="B28" s="24"/>
      <c r="C28" s="24" t="s">
        <v>127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8" width="5.7109375" style="37" customWidth="1"/>
    <col min="29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7" t="s">
        <v>46</v>
      </c>
      <c r="B2" s="36">
        <v>2</v>
      </c>
      <c r="C2" s="36" t="s">
        <v>238</v>
      </c>
      <c r="D2" s="36">
        <v>2</v>
      </c>
      <c r="E2" s="37" t="s">
        <v>51</v>
      </c>
      <c r="H2" s="36">
        <v>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1</v>
      </c>
      <c r="C4" s="36" t="s">
        <v>238</v>
      </c>
      <c r="D4" s="36">
        <v>3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3</v>
      </c>
      <c r="C5" s="36" t="s">
        <v>238</v>
      </c>
      <c r="D5" s="36">
        <v>2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2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3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7" t="s">
        <v>239</v>
      </c>
      <c r="B10" s="36">
        <v>2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7" t="s">
        <v>71</v>
      </c>
      <c r="B11" s="36">
        <v>1</v>
      </c>
      <c r="C11" s="36" t="s">
        <v>238</v>
      </c>
      <c r="D11" s="36">
        <v>2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55</v>
      </c>
      <c r="R11" s="130"/>
      <c r="S11" s="130"/>
      <c r="T11" s="130"/>
      <c r="U11" s="130"/>
    </row>
    <row r="12" spans="1:21" x14ac:dyDescent="0.25">
      <c r="A12" s="37" t="s">
        <v>57</v>
      </c>
      <c r="B12" s="36">
        <v>2</v>
      </c>
      <c r="C12" s="36" t="s">
        <v>238</v>
      </c>
      <c r="D12" s="36">
        <v>2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7" t="s">
        <v>71</v>
      </c>
      <c r="B14" s="36">
        <v>1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7" t="s">
        <v>40</v>
      </c>
      <c r="B16" s="36">
        <v>3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1</v>
      </c>
      <c r="C17" s="36" t="s">
        <v>238</v>
      </c>
      <c r="D17" s="36">
        <v>1</v>
      </c>
      <c r="E17" s="37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2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0</v>
      </c>
      <c r="C20" s="36" t="s">
        <v>238</v>
      </c>
      <c r="D20" s="36">
        <v>1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3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2</v>
      </c>
      <c r="C23" s="36" t="s">
        <v>238</v>
      </c>
      <c r="D23" s="36">
        <v>1</v>
      </c>
      <c r="E23" s="37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3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2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2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3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3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3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1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3</v>
      </c>
      <c r="C40" s="36" t="s">
        <v>238</v>
      </c>
      <c r="D40" s="36">
        <v>2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3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2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1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3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3</v>
      </c>
      <c r="C51" s="36" t="s">
        <v>238</v>
      </c>
      <c r="D51" s="36">
        <v>1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2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2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2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2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45" t="s">
        <v>88</v>
      </c>
    </row>
    <row r="63" spans="1:15" x14ac:dyDescent="0.25">
      <c r="A63" s="37" t="s">
        <v>167</v>
      </c>
    </row>
    <row r="64" spans="1:15" x14ac:dyDescent="0.25">
      <c r="A64" s="37" t="s">
        <v>168</v>
      </c>
    </row>
  </sheetData>
  <mergeCells count="18"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7" t="s">
        <v>46</v>
      </c>
      <c r="B2" s="36">
        <v>0</v>
      </c>
      <c r="C2" s="36" t="s">
        <v>238</v>
      </c>
      <c r="D2" s="36">
        <v>2</v>
      </c>
      <c r="E2" s="37" t="s">
        <v>51</v>
      </c>
      <c r="H2" s="36">
        <v>25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1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2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7" t="s">
        <v>239</v>
      </c>
      <c r="B10" s="36">
        <v>1</v>
      </c>
      <c r="C10" s="36" t="s">
        <v>238</v>
      </c>
      <c r="D10" s="36">
        <v>2</v>
      </c>
      <c r="E10" s="37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7" t="s">
        <v>71</v>
      </c>
      <c r="B11" s="36">
        <v>2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75</v>
      </c>
      <c r="R11" s="130"/>
      <c r="S11" s="130"/>
      <c r="T11" s="130"/>
      <c r="U11" s="130"/>
    </row>
    <row r="12" spans="1:21" x14ac:dyDescent="0.25">
      <c r="A12" s="37" t="s">
        <v>57</v>
      </c>
      <c r="B12" s="36">
        <v>1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1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3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1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2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1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2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0</v>
      </c>
      <c r="C42" s="36" t="s">
        <v>238</v>
      </c>
      <c r="D42" s="36">
        <v>1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1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3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2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4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3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2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2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2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45" t="s">
        <v>88</v>
      </c>
    </row>
    <row r="63" spans="1:15" x14ac:dyDescent="0.25">
      <c r="A63" s="37" t="s">
        <v>164</v>
      </c>
    </row>
    <row r="64" spans="1:15" x14ac:dyDescent="0.25">
      <c r="A64" s="37" t="s">
        <v>165</v>
      </c>
    </row>
  </sheetData>
  <mergeCells count="18"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3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3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2</v>
      </c>
      <c r="C6" s="36" t="s">
        <v>238</v>
      </c>
      <c r="D6" s="36">
        <v>1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0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3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4</v>
      </c>
      <c r="C10" s="36" t="s">
        <v>238</v>
      </c>
      <c r="D10" s="36">
        <v>1</v>
      </c>
      <c r="E10" s="37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1</v>
      </c>
      <c r="C11" s="36" t="s">
        <v>238</v>
      </c>
      <c r="D11" s="36">
        <v>2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60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2</v>
      </c>
      <c r="C12" s="36" t="s">
        <v>238</v>
      </c>
      <c r="D12" s="36">
        <v>4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1</v>
      </c>
      <c r="C13" s="36" t="s">
        <v>238</v>
      </c>
      <c r="D13" s="36">
        <v>3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0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4</v>
      </c>
      <c r="C16" s="36" t="s">
        <v>238</v>
      </c>
      <c r="D16" s="36">
        <v>1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1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3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3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37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4</v>
      </c>
      <c r="C24" s="36" t="s">
        <v>238</v>
      </c>
      <c r="D24" s="36">
        <v>0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1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4</v>
      </c>
      <c r="C30" s="36" t="s">
        <v>238</v>
      </c>
      <c r="D30" s="36">
        <v>2</v>
      </c>
      <c r="E30" s="37" t="s">
        <v>59</v>
      </c>
      <c r="H30" s="36">
        <v>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3</v>
      </c>
      <c r="C31" s="36" t="s">
        <v>238</v>
      </c>
      <c r="D31" s="36">
        <v>1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2</v>
      </c>
      <c r="C32" s="36" t="s">
        <v>238</v>
      </c>
      <c r="D32" s="36">
        <v>2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3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2</v>
      </c>
      <c r="C35" s="36" t="s">
        <v>238</v>
      </c>
      <c r="D35" s="36">
        <v>4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3</v>
      </c>
      <c r="C40" s="36" t="s">
        <v>238</v>
      </c>
      <c r="D40" s="36">
        <v>1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3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2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3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4</v>
      </c>
      <c r="C51" s="36" t="s">
        <v>238</v>
      </c>
      <c r="D51" s="36">
        <v>1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4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2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1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4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171</v>
      </c>
    </row>
    <row r="62" spans="1:15" x14ac:dyDescent="0.25">
      <c r="A62" s="39" t="s">
        <v>88</v>
      </c>
    </row>
    <row r="63" spans="1:15" x14ac:dyDescent="0.25">
      <c r="A63" s="38" t="s">
        <v>169</v>
      </c>
    </row>
    <row r="64" spans="1:15" x14ac:dyDescent="0.25">
      <c r="A64" s="38" t="s">
        <v>170</v>
      </c>
    </row>
  </sheetData>
  <mergeCells count="19"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3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4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2</v>
      </c>
      <c r="C10" s="36" t="s">
        <v>238</v>
      </c>
      <c r="D10" s="36">
        <v>2</v>
      </c>
      <c r="E10" s="40" t="s">
        <v>71</v>
      </c>
      <c r="H10" s="36">
        <v>10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2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75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2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4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3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40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3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0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2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149</v>
      </c>
    </row>
    <row r="62" spans="1:15" x14ac:dyDescent="0.25">
      <c r="A62" s="39" t="s">
        <v>88</v>
      </c>
    </row>
    <row r="63" spans="1:15" x14ac:dyDescent="0.25">
      <c r="A63" s="38" t="s">
        <v>190</v>
      </c>
    </row>
    <row r="64" spans="1:15" x14ac:dyDescent="0.25">
      <c r="A64" s="38" t="s">
        <v>191</v>
      </c>
    </row>
  </sheetData>
  <mergeCells count="19"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6" customWidth="1"/>
    <col min="2" max="4" width="5.7109375" style="36" customWidth="1"/>
    <col min="5" max="5" width="17.7109375" style="36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3" width="5.7109375" style="37" customWidth="1"/>
    <col min="34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6" t="s">
        <v>65</v>
      </c>
      <c r="B3" s="36">
        <v>0</v>
      </c>
      <c r="C3" s="36" t="s">
        <v>238</v>
      </c>
      <c r="D3" s="36">
        <v>3</v>
      </c>
      <c r="E3" s="36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6" t="s">
        <v>46</v>
      </c>
      <c r="B4" s="36">
        <v>1</v>
      </c>
      <c r="C4" s="36" t="s">
        <v>238</v>
      </c>
      <c r="D4" s="36">
        <v>0</v>
      </c>
      <c r="E4" s="36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6" t="s">
        <v>56</v>
      </c>
      <c r="B5" s="36">
        <v>3</v>
      </c>
      <c r="C5" s="36" t="s">
        <v>238</v>
      </c>
      <c r="D5" s="36">
        <v>1</v>
      </c>
      <c r="E5" s="36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6" t="s">
        <v>56</v>
      </c>
      <c r="B6" s="36">
        <v>2</v>
      </c>
      <c r="C6" s="36" t="s">
        <v>238</v>
      </c>
      <c r="D6" s="36">
        <v>0</v>
      </c>
      <c r="E6" s="36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6" t="s">
        <v>51</v>
      </c>
      <c r="B7" s="36">
        <v>2</v>
      </c>
      <c r="C7" s="36" t="s">
        <v>238</v>
      </c>
      <c r="D7" s="36">
        <v>1</v>
      </c>
      <c r="E7" s="36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6" t="s">
        <v>57</v>
      </c>
      <c r="B9" s="36">
        <v>3</v>
      </c>
      <c r="C9" s="36" t="s">
        <v>238</v>
      </c>
      <c r="D9" s="36">
        <v>0</v>
      </c>
      <c r="E9" s="36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6" t="s">
        <v>239</v>
      </c>
      <c r="B10" s="36">
        <v>0</v>
      </c>
      <c r="C10" s="36" t="s">
        <v>238</v>
      </c>
      <c r="D10" s="36">
        <v>1</v>
      </c>
      <c r="E10" s="36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6" t="s">
        <v>71</v>
      </c>
      <c r="B11" s="36">
        <v>0</v>
      </c>
      <c r="C11" s="36" t="s">
        <v>238</v>
      </c>
      <c r="D11" s="36">
        <v>0</v>
      </c>
      <c r="E11" s="36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50</v>
      </c>
      <c r="R11" s="130"/>
      <c r="S11" s="130"/>
      <c r="T11" s="130"/>
      <c r="U11" s="130"/>
    </row>
    <row r="12" spans="1:21" x14ac:dyDescent="0.25">
      <c r="A12" s="36" t="s">
        <v>57</v>
      </c>
      <c r="B12" s="36">
        <v>3</v>
      </c>
      <c r="C12" s="36" t="s">
        <v>238</v>
      </c>
      <c r="D12" s="36">
        <v>2</v>
      </c>
      <c r="E12" s="36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6" t="s">
        <v>58</v>
      </c>
      <c r="B13" s="36">
        <v>1</v>
      </c>
      <c r="C13" s="36" t="s">
        <v>238</v>
      </c>
      <c r="D13" s="36">
        <v>1</v>
      </c>
      <c r="E13" s="36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6" t="s">
        <v>71</v>
      </c>
      <c r="B14" s="36">
        <v>0</v>
      </c>
      <c r="C14" s="36" t="s">
        <v>238</v>
      </c>
      <c r="D14" s="36">
        <v>2</v>
      </c>
      <c r="E14" s="36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6" t="s">
        <v>40</v>
      </c>
      <c r="B16" s="36">
        <v>3</v>
      </c>
      <c r="C16" s="36" t="s">
        <v>238</v>
      </c>
      <c r="D16" s="36">
        <v>1</v>
      </c>
      <c r="E16" s="36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6" t="s">
        <v>61</v>
      </c>
      <c r="B17" s="36">
        <v>2</v>
      </c>
      <c r="C17" s="36" t="s">
        <v>238</v>
      </c>
      <c r="D17" s="36">
        <v>1</v>
      </c>
      <c r="E17" s="36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6" t="s">
        <v>63</v>
      </c>
      <c r="B18" s="36">
        <v>0</v>
      </c>
      <c r="C18" s="36" t="s">
        <v>238</v>
      </c>
      <c r="D18" s="36">
        <v>0</v>
      </c>
      <c r="E18" s="36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6" t="s">
        <v>40</v>
      </c>
      <c r="B19" s="36">
        <v>1</v>
      </c>
      <c r="C19" s="36" t="s">
        <v>238</v>
      </c>
      <c r="D19" s="36">
        <v>2</v>
      </c>
      <c r="E19" s="36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6" t="s">
        <v>63</v>
      </c>
      <c r="B20" s="36">
        <v>2</v>
      </c>
      <c r="C20" s="36" t="s">
        <v>238</v>
      </c>
      <c r="D20" s="36">
        <v>3</v>
      </c>
      <c r="E20" s="36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6" t="s">
        <v>240</v>
      </c>
      <c r="B21" s="36">
        <v>2</v>
      </c>
      <c r="C21" s="36" t="s">
        <v>238</v>
      </c>
      <c r="D21" s="36">
        <v>3</v>
      </c>
      <c r="E21" s="36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6" t="s">
        <v>50</v>
      </c>
      <c r="B23" s="36">
        <v>3</v>
      </c>
      <c r="C23" s="36" t="s">
        <v>238</v>
      </c>
      <c r="D23" s="36">
        <v>0</v>
      </c>
      <c r="E23" s="36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6" t="s">
        <v>54</v>
      </c>
      <c r="B24" s="36">
        <v>4</v>
      </c>
      <c r="C24" s="36" t="s">
        <v>238</v>
      </c>
      <c r="D24" s="36">
        <v>2</v>
      </c>
      <c r="E24" s="36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6" t="s">
        <v>68</v>
      </c>
      <c r="B25" s="36">
        <v>0</v>
      </c>
      <c r="C25" s="36" t="s">
        <v>238</v>
      </c>
      <c r="D25" s="36">
        <v>3</v>
      </c>
      <c r="E25" s="36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6" t="s">
        <v>54</v>
      </c>
      <c r="B26" s="36">
        <v>4</v>
      </c>
      <c r="C26" s="36" t="s">
        <v>238</v>
      </c>
      <c r="D26" s="36">
        <v>2</v>
      </c>
      <c r="E26" s="36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6" t="s">
        <v>68</v>
      </c>
      <c r="B27" s="36">
        <v>0</v>
      </c>
      <c r="C27" s="36" t="s">
        <v>238</v>
      </c>
      <c r="D27" s="36">
        <v>1</v>
      </c>
      <c r="E27" s="36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6" t="s">
        <v>41</v>
      </c>
      <c r="B28" s="36">
        <v>3</v>
      </c>
      <c r="C28" s="36" t="s">
        <v>238</v>
      </c>
      <c r="D28" s="36">
        <v>2</v>
      </c>
      <c r="E28" s="36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6" t="s">
        <v>38</v>
      </c>
      <c r="B30" s="36">
        <v>3</v>
      </c>
      <c r="C30" s="36" t="s">
        <v>238</v>
      </c>
      <c r="D30" s="36">
        <v>0</v>
      </c>
      <c r="E30" s="36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6" t="s">
        <v>52</v>
      </c>
      <c r="B31" s="36">
        <v>3</v>
      </c>
      <c r="C31" s="36" t="s">
        <v>238</v>
      </c>
      <c r="D31" s="36">
        <v>0</v>
      </c>
      <c r="E31" s="36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6" t="s">
        <v>59</v>
      </c>
      <c r="B32" s="36">
        <v>0</v>
      </c>
      <c r="C32" s="36" t="s">
        <v>238</v>
      </c>
      <c r="D32" s="36">
        <v>3</v>
      </c>
      <c r="E32" s="36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6" t="s">
        <v>52</v>
      </c>
      <c r="B33" s="36">
        <v>0</v>
      </c>
      <c r="C33" s="36" t="s">
        <v>238</v>
      </c>
      <c r="D33" s="36">
        <v>0</v>
      </c>
      <c r="E33" s="36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6" t="s">
        <v>59</v>
      </c>
      <c r="B34" s="36">
        <v>1</v>
      </c>
      <c r="C34" s="36" t="s">
        <v>238</v>
      </c>
      <c r="D34" s="36">
        <v>2</v>
      </c>
      <c r="E34" s="36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6" t="s">
        <v>241</v>
      </c>
      <c r="B35" s="36">
        <v>2</v>
      </c>
      <c r="C35" s="36" t="s">
        <v>238</v>
      </c>
      <c r="D35" s="36">
        <v>4</v>
      </c>
      <c r="E35" s="36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6" t="s">
        <v>60</v>
      </c>
      <c r="B37" s="36">
        <v>1</v>
      </c>
      <c r="C37" s="36" t="s">
        <v>238</v>
      </c>
      <c r="D37" s="36">
        <v>2</v>
      </c>
      <c r="E37" s="36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6" t="s">
        <v>42</v>
      </c>
      <c r="B38" s="36">
        <v>3</v>
      </c>
      <c r="C38" s="36" t="s">
        <v>238</v>
      </c>
      <c r="D38" s="36">
        <v>0</v>
      </c>
      <c r="E38" s="36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6" t="s">
        <v>42</v>
      </c>
      <c r="B39" s="36">
        <v>0</v>
      </c>
      <c r="C39" s="36" t="s">
        <v>238</v>
      </c>
      <c r="D39" s="36">
        <v>0</v>
      </c>
      <c r="E39" s="36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6" t="s">
        <v>49</v>
      </c>
      <c r="B40" s="36">
        <v>3</v>
      </c>
      <c r="C40" s="36" t="s">
        <v>238</v>
      </c>
      <c r="D40" s="36">
        <v>1</v>
      </c>
      <c r="E40" s="36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6" t="s">
        <v>49</v>
      </c>
      <c r="B41" s="36">
        <v>1</v>
      </c>
      <c r="C41" s="36" t="s">
        <v>238</v>
      </c>
      <c r="D41" s="36">
        <v>1</v>
      </c>
      <c r="E41" s="36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6" t="s">
        <v>45</v>
      </c>
      <c r="B42" s="36">
        <v>2</v>
      </c>
      <c r="C42" s="36" t="s">
        <v>238</v>
      </c>
      <c r="D42" s="36">
        <v>2</v>
      </c>
      <c r="E42" s="36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6" t="s">
        <v>67</v>
      </c>
      <c r="B44" s="36">
        <v>0</v>
      </c>
      <c r="C44" s="36" t="s">
        <v>238</v>
      </c>
      <c r="D44" s="36">
        <v>3</v>
      </c>
      <c r="E44" s="36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6" t="s">
        <v>43</v>
      </c>
      <c r="B45" s="36">
        <v>1</v>
      </c>
      <c r="C45" s="36" t="s">
        <v>238</v>
      </c>
      <c r="D45" s="36">
        <v>0</v>
      </c>
      <c r="E45" s="36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6" t="s">
        <v>44</v>
      </c>
      <c r="B46" s="36">
        <v>3</v>
      </c>
      <c r="C46" s="36" t="s">
        <v>238</v>
      </c>
      <c r="D46" s="36">
        <v>0</v>
      </c>
      <c r="E46" s="36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6" t="s">
        <v>43</v>
      </c>
      <c r="B47" s="36">
        <v>2</v>
      </c>
      <c r="C47" s="36" t="s">
        <v>238</v>
      </c>
      <c r="D47" s="36">
        <v>0</v>
      </c>
      <c r="E47" s="36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6" t="s">
        <v>44</v>
      </c>
      <c r="B48" s="36">
        <v>1</v>
      </c>
      <c r="C48" s="36" t="s">
        <v>238</v>
      </c>
      <c r="D48" s="36">
        <v>2</v>
      </c>
      <c r="E48" s="36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6" t="s">
        <v>66</v>
      </c>
      <c r="B49" s="36">
        <v>0</v>
      </c>
      <c r="C49" s="36" t="s">
        <v>238</v>
      </c>
      <c r="D49" s="36">
        <v>1</v>
      </c>
      <c r="E49" s="36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6" t="s">
        <v>69</v>
      </c>
      <c r="B51" s="36">
        <v>0</v>
      </c>
      <c r="C51" s="36" t="s">
        <v>238</v>
      </c>
      <c r="D51" s="36">
        <v>0</v>
      </c>
      <c r="E51" s="36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6" t="s">
        <v>64</v>
      </c>
      <c r="B52" s="36">
        <v>2</v>
      </c>
      <c r="C52" s="36" t="s">
        <v>238</v>
      </c>
      <c r="D52" s="36">
        <v>2</v>
      </c>
      <c r="E52" s="36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6" t="s">
        <v>255</v>
      </c>
      <c r="B53" s="36">
        <v>2</v>
      </c>
      <c r="C53" s="36" t="s">
        <v>238</v>
      </c>
      <c r="D53" s="36">
        <v>2</v>
      </c>
      <c r="E53" s="36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6" t="s">
        <v>64</v>
      </c>
      <c r="B54" s="36">
        <v>2</v>
      </c>
      <c r="C54" s="36" t="s">
        <v>238</v>
      </c>
      <c r="D54" s="36">
        <v>3</v>
      </c>
      <c r="E54" s="36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6" t="s">
        <v>255</v>
      </c>
      <c r="B55" s="36">
        <v>0</v>
      </c>
      <c r="C55" s="36" t="s">
        <v>238</v>
      </c>
      <c r="D55" s="36">
        <v>0</v>
      </c>
      <c r="E55" s="36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6" t="s">
        <v>55</v>
      </c>
      <c r="B56" s="36">
        <v>0</v>
      </c>
      <c r="C56" s="36" t="s">
        <v>238</v>
      </c>
      <c r="D56" s="36">
        <v>1</v>
      </c>
      <c r="E56" s="36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7" t="s">
        <v>89</v>
      </c>
    </row>
    <row r="59" spans="1:15" x14ac:dyDescent="0.25">
      <c r="A59" s="36" t="s">
        <v>144</v>
      </c>
    </row>
    <row r="60" spans="1:15" x14ac:dyDescent="0.25">
      <c r="A60" s="36" t="s">
        <v>194</v>
      </c>
    </row>
    <row r="62" spans="1:15" x14ac:dyDescent="0.25">
      <c r="A62" s="47" t="s">
        <v>88</v>
      </c>
    </row>
    <row r="63" spans="1:15" x14ac:dyDescent="0.25">
      <c r="A63" s="36" t="s">
        <v>190</v>
      </c>
    </row>
    <row r="64" spans="1:15" x14ac:dyDescent="0.25">
      <c r="A64" s="36" t="s">
        <v>193</v>
      </c>
    </row>
  </sheetData>
  <mergeCells count="19"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2" width="5.7109375" style="37" customWidth="1"/>
    <col min="33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4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1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3</v>
      </c>
      <c r="C10" s="36" t="s">
        <v>238</v>
      </c>
      <c r="D10" s="36">
        <v>2</v>
      </c>
      <c r="E10" s="40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45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1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2</v>
      </c>
      <c r="C13" s="36" t="s">
        <v>238</v>
      </c>
      <c r="D13" s="36">
        <v>4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4</v>
      </c>
      <c r="C16" s="36" t="s">
        <v>238</v>
      </c>
      <c r="D16" s="36">
        <v>2</v>
      </c>
      <c r="E16" s="40" t="s">
        <v>240</v>
      </c>
      <c r="H16" s="36">
        <v>5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3</v>
      </c>
      <c r="C17" s="36" t="s">
        <v>238</v>
      </c>
      <c r="D17" s="36">
        <v>1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3</v>
      </c>
      <c r="C20" s="36" t="s">
        <v>238</v>
      </c>
      <c r="D20" s="36">
        <v>4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1</v>
      </c>
      <c r="E23" s="40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2</v>
      </c>
      <c r="E24" s="40" t="s">
        <v>41</v>
      </c>
      <c r="H24" s="36">
        <v>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2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3</v>
      </c>
      <c r="C28" s="36" t="s">
        <v>238</v>
      </c>
      <c r="D28" s="36">
        <v>3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1</v>
      </c>
      <c r="C30" s="36" t="s">
        <v>238</v>
      </c>
      <c r="D30" s="36">
        <v>0</v>
      </c>
      <c r="E30" s="40" t="s">
        <v>59</v>
      </c>
      <c r="H30" s="36">
        <v>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2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1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1</v>
      </c>
      <c r="E37" s="40" t="s">
        <v>49</v>
      </c>
      <c r="H37" s="36">
        <v>10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2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3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166</v>
      </c>
    </row>
    <row r="62" spans="1:15" x14ac:dyDescent="0.25">
      <c r="A62" s="39" t="s">
        <v>88</v>
      </c>
    </row>
    <row r="63" spans="1:15" x14ac:dyDescent="0.25">
      <c r="A63" s="38" t="s">
        <v>190</v>
      </c>
    </row>
    <row r="64" spans="1:15" x14ac:dyDescent="0.25">
      <c r="A64" s="38" t="s">
        <v>191</v>
      </c>
    </row>
  </sheetData>
  <mergeCells count="19"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40" width="5.7109375" style="37" customWidth="1"/>
    <col min="41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1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0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0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0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0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0</v>
      </c>
      <c r="C9" s="36" t="s">
        <v>238</v>
      </c>
      <c r="D9" s="36">
        <v>1</v>
      </c>
      <c r="E9" s="40" t="s">
        <v>58</v>
      </c>
      <c r="H9" s="36">
        <v>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0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0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60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0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0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0</v>
      </c>
      <c r="C16" s="36" t="s">
        <v>238</v>
      </c>
      <c r="D16" s="36">
        <v>1</v>
      </c>
      <c r="E16" s="40" t="s">
        <v>240</v>
      </c>
      <c r="H16" s="36">
        <v>10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0</v>
      </c>
      <c r="C17" s="36" t="s">
        <v>238</v>
      </c>
      <c r="D17" s="36">
        <v>1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0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0</v>
      </c>
      <c r="C23" s="36" t="s">
        <v>238</v>
      </c>
      <c r="D23" s="36">
        <v>1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0</v>
      </c>
      <c r="C24" s="36" t="s">
        <v>238</v>
      </c>
      <c r="D24" s="36">
        <v>1</v>
      </c>
      <c r="E24" s="40" t="s">
        <v>41</v>
      </c>
      <c r="H24" s="36">
        <v>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0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0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0</v>
      </c>
      <c r="C30" s="36" t="s">
        <v>238</v>
      </c>
      <c r="D30" s="36">
        <v>1</v>
      </c>
      <c r="E30" s="40" t="s">
        <v>59</v>
      </c>
      <c r="H30" s="36">
        <v>10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0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0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1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0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0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0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0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0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0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0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0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0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1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0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0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0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197</v>
      </c>
    </row>
    <row r="60" spans="1:15" x14ac:dyDescent="0.25">
      <c r="A60" s="38" t="s">
        <v>198</v>
      </c>
    </row>
    <row r="62" spans="1:15" x14ac:dyDescent="0.25">
      <c r="A62" s="39" t="s">
        <v>88</v>
      </c>
    </row>
    <row r="63" spans="1:15" x14ac:dyDescent="0.25">
      <c r="A63" s="38" t="s">
        <v>195</v>
      </c>
    </row>
    <row r="64" spans="1:15" x14ac:dyDescent="0.25">
      <c r="A64" s="38" t="s">
        <v>196</v>
      </c>
    </row>
  </sheetData>
  <mergeCells count="19"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</sheetPr>
  <dimension ref="A1:U64"/>
  <sheetViews>
    <sheetView zoomScale="85" zoomScaleNormal="85" workbookViewId="0">
      <selection activeCell="AC21" sqref="AC21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4" width="5.7109375" style="37" customWidth="1"/>
    <col min="35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0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1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1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1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1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1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65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1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1</v>
      </c>
      <c r="C14" s="36" t="s">
        <v>238</v>
      </c>
      <c r="D14" s="36">
        <v>0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1</v>
      </c>
      <c r="C16" s="36" t="s">
        <v>238</v>
      </c>
      <c r="D16" s="36">
        <v>0</v>
      </c>
      <c r="E16" s="40" t="s">
        <v>240</v>
      </c>
      <c r="H16" s="36">
        <v>5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0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0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0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1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0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1</v>
      </c>
      <c r="C30" s="36" t="s">
        <v>238</v>
      </c>
      <c r="D30" s="36">
        <v>0</v>
      </c>
      <c r="E30" s="40" t="s">
        <v>59</v>
      </c>
      <c r="H30" s="36">
        <v>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1</v>
      </c>
      <c r="C31" s="36" t="s">
        <v>238</v>
      </c>
      <c r="D31" s="36">
        <v>0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0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0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0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0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0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1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1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0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0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1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0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0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194</v>
      </c>
    </row>
    <row r="62" spans="1:15" x14ac:dyDescent="0.25">
      <c r="A62" s="39" t="s">
        <v>88</v>
      </c>
    </row>
    <row r="63" spans="1:15" x14ac:dyDescent="0.25">
      <c r="A63" s="38" t="s">
        <v>199</v>
      </c>
    </row>
    <row r="64" spans="1:15" x14ac:dyDescent="0.25">
      <c r="A64" s="38" t="s">
        <v>200</v>
      </c>
    </row>
  </sheetData>
  <mergeCells count="19"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6" width="5.7109375" style="37" customWidth="1"/>
    <col min="37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8" t="s">
        <v>46</v>
      </c>
      <c r="B2" s="36">
        <v>1</v>
      </c>
      <c r="C2" s="36" t="s">
        <v>238</v>
      </c>
      <c r="D2" s="36">
        <v>2</v>
      </c>
      <c r="E2" s="40" t="s">
        <v>51</v>
      </c>
      <c r="H2" s="36">
        <v>15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0</v>
      </c>
      <c r="C4" s="36" t="s">
        <v>238</v>
      </c>
      <c r="D4" s="36">
        <v>13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1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3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ht="15" customHeight="1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80</v>
      </c>
      <c r="R11" s="130"/>
      <c r="S11" s="130"/>
      <c r="T11" s="130"/>
      <c r="U11" s="130"/>
    </row>
    <row r="12" spans="1:21" ht="15" customHeight="1" x14ac:dyDescent="0.25">
      <c r="A12" s="38" t="s">
        <v>57</v>
      </c>
      <c r="B12" s="36">
        <v>1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ht="15" customHeight="1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ht="15" customHeight="1" x14ac:dyDescent="0.25">
      <c r="A14" s="38" t="s">
        <v>71</v>
      </c>
      <c r="B14" s="36">
        <v>2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ht="15" customHeight="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2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2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2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2</v>
      </c>
      <c r="C21" s="36" t="s">
        <v>238</v>
      </c>
      <c r="D21" s="36">
        <v>3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1</v>
      </c>
      <c r="E23" s="40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2</v>
      </c>
      <c r="E24" s="40" t="s">
        <v>41</v>
      </c>
      <c r="H24" s="36">
        <v>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1</v>
      </c>
      <c r="C30" s="36" t="s">
        <v>238</v>
      </c>
      <c r="D30" s="36">
        <v>2</v>
      </c>
      <c r="E30" s="40" t="s">
        <v>59</v>
      </c>
      <c r="H30" s="36">
        <v>25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3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2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2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2</v>
      </c>
      <c r="C37" s="36" t="s">
        <v>238</v>
      </c>
      <c r="D37" s="36">
        <v>1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2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3</v>
      </c>
      <c r="C40" s="36" t="s">
        <v>238</v>
      </c>
      <c r="D40" s="36">
        <v>3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0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4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3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202</v>
      </c>
    </row>
    <row r="62" spans="1:15" x14ac:dyDescent="0.25">
      <c r="A62" s="39" t="s">
        <v>88</v>
      </c>
    </row>
    <row r="63" spans="1:15" x14ac:dyDescent="0.25">
      <c r="A63" s="38" t="s">
        <v>150</v>
      </c>
    </row>
    <row r="64" spans="1:15" x14ac:dyDescent="0.25">
      <c r="A64" s="38" t="s">
        <v>201</v>
      </c>
    </row>
  </sheetData>
  <mergeCells count="18"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8" width="5.7109375" style="37" customWidth="1"/>
    <col min="39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0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1</v>
      </c>
      <c r="C9" s="36" t="s">
        <v>238</v>
      </c>
      <c r="D9" s="36">
        <v>1</v>
      </c>
      <c r="E9" s="40" t="s">
        <v>58</v>
      </c>
      <c r="H9" s="36">
        <v>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2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1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35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1</v>
      </c>
      <c r="C12" s="36" t="s">
        <v>238</v>
      </c>
      <c r="D12" s="36">
        <v>2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2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0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1</v>
      </c>
      <c r="C24" s="36" t="s">
        <v>238</v>
      </c>
      <c r="D24" s="36">
        <v>1</v>
      </c>
      <c r="E24" s="40" t="s">
        <v>41</v>
      </c>
      <c r="H24" s="36">
        <v>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2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3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1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1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0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194</v>
      </c>
    </row>
    <row r="62" spans="1:15" x14ac:dyDescent="0.25">
      <c r="A62" s="39" t="s">
        <v>88</v>
      </c>
    </row>
    <row r="63" spans="1:15" x14ac:dyDescent="0.25">
      <c r="A63" s="38" t="s">
        <v>203</v>
      </c>
    </row>
    <row r="64" spans="1:15" x14ac:dyDescent="0.25">
      <c r="A64" s="38" t="s">
        <v>165</v>
      </c>
    </row>
  </sheetData>
  <mergeCells count="19"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U64"/>
  <sheetViews>
    <sheetView zoomScale="85" zoomScaleNormal="85" workbookViewId="0">
      <selection activeCell="AA16" sqref="AA16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3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0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3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5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2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4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70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3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1</v>
      </c>
      <c r="C13" s="36" t="s">
        <v>238</v>
      </c>
      <c r="D13" s="36">
        <v>2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5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3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3</v>
      </c>
      <c r="C23" s="36" t="s">
        <v>238</v>
      </c>
      <c r="D23" s="36">
        <v>1</v>
      </c>
      <c r="E23" s="40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3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4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4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2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5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3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2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3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4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226</v>
      </c>
    </row>
    <row r="62" spans="1:15" x14ac:dyDescent="0.25">
      <c r="A62" s="39" t="s">
        <v>88</v>
      </c>
    </row>
    <row r="63" spans="1:15" x14ac:dyDescent="0.25">
      <c r="A63" s="38" t="s">
        <v>227</v>
      </c>
    </row>
    <row r="64" spans="1:15" x14ac:dyDescent="0.25">
      <c r="A64" s="38" t="s">
        <v>228</v>
      </c>
    </row>
  </sheetData>
  <mergeCells count="19"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5" width="5.7109375" style="37" customWidth="1"/>
    <col min="36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0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0</v>
      </c>
      <c r="C10" s="36" t="s">
        <v>238</v>
      </c>
      <c r="D10" s="36">
        <v>0</v>
      </c>
      <c r="E10" s="40" t="s">
        <v>71</v>
      </c>
      <c r="H10" s="36">
        <v>10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65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0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3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1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2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0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3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3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3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0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2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1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206</v>
      </c>
    </row>
    <row r="62" spans="1:15" x14ac:dyDescent="0.25">
      <c r="A62" s="39" t="s">
        <v>88</v>
      </c>
    </row>
    <row r="63" spans="1:15" x14ac:dyDescent="0.25">
      <c r="A63" s="38" t="s">
        <v>204</v>
      </c>
    </row>
    <row r="64" spans="1:15" x14ac:dyDescent="0.25">
      <c r="A64" s="38" t="s">
        <v>205</v>
      </c>
    </row>
  </sheetData>
  <mergeCells count="19"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U64"/>
  <sheetViews>
    <sheetView tabSelected="1"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45" width="5.7109375" style="37" customWidth="1"/>
    <col min="46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1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1</v>
      </c>
      <c r="C10" s="36" t="s">
        <v>238</v>
      </c>
      <c r="D10" s="36">
        <v>2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2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60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3</v>
      </c>
      <c r="C12" s="36" t="s">
        <v>238</v>
      </c>
      <c r="D12" s="36">
        <v>2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1</v>
      </c>
      <c r="C13" s="36" t="s">
        <v>238</v>
      </c>
      <c r="D13" s="36">
        <v>2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1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2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3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3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2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2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158</v>
      </c>
    </row>
    <row r="62" spans="1:15" x14ac:dyDescent="0.25">
      <c r="A62" s="39" t="s">
        <v>88</v>
      </c>
    </row>
    <row r="63" spans="1:15" x14ac:dyDescent="0.25">
      <c r="A63" s="38" t="s">
        <v>216</v>
      </c>
    </row>
    <row r="64" spans="1:15" x14ac:dyDescent="0.25">
      <c r="A64" s="38" t="s">
        <v>165</v>
      </c>
    </row>
  </sheetData>
  <mergeCells count="19"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Q9:U10"/>
    <mergeCell ref="Q11:U15"/>
    <mergeCell ref="K15:O15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U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42" width="5.7109375" style="37" customWidth="1"/>
    <col min="43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3" t="s">
        <v>192</v>
      </c>
      <c r="B2" s="133"/>
      <c r="C2" s="133"/>
      <c r="D2" s="133"/>
      <c r="E2" s="133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133" t="s">
        <v>192</v>
      </c>
      <c r="B9" s="133"/>
      <c r="C9" s="133"/>
      <c r="D9" s="133"/>
      <c r="E9" s="133"/>
      <c r="J9" s="37" t="s">
        <v>278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1" t="s">
        <v>252</v>
      </c>
      <c r="R9" s="131"/>
      <c r="S9" s="131"/>
      <c r="T9" s="131"/>
      <c r="U9" s="131"/>
    </row>
    <row r="10" spans="1:21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1"/>
      <c r="R10" s="131"/>
      <c r="S10" s="131"/>
      <c r="T10" s="131"/>
      <c r="U10" s="131"/>
    </row>
    <row r="11" spans="1:21" x14ac:dyDescent="0.25">
      <c r="A11" s="38" t="s">
        <v>71</v>
      </c>
      <c r="B11" s="36">
        <v>1</v>
      </c>
      <c r="C11" s="36" t="s">
        <v>238</v>
      </c>
      <c r="D11" s="36">
        <v>2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0">
        <f>SUM(H2:H56)</f>
        <v>65</v>
      </c>
      <c r="R11" s="130"/>
      <c r="S11" s="130"/>
      <c r="T11" s="130"/>
      <c r="U11" s="130"/>
    </row>
    <row r="12" spans="1:21" x14ac:dyDescent="0.25">
      <c r="A12" s="38" t="s">
        <v>57</v>
      </c>
      <c r="B12" s="36">
        <v>3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0"/>
      <c r="R12" s="130"/>
      <c r="S12" s="130"/>
      <c r="T12" s="130"/>
      <c r="U12" s="130"/>
    </row>
    <row r="13" spans="1:21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0"/>
      <c r="R13" s="130"/>
      <c r="S13" s="130"/>
      <c r="T13" s="130"/>
      <c r="U13" s="130"/>
    </row>
    <row r="14" spans="1:21" x14ac:dyDescent="0.25">
      <c r="A14" s="38" t="s">
        <v>71</v>
      </c>
      <c r="B14" s="36">
        <v>1</v>
      </c>
      <c r="C14" s="36" t="s">
        <v>238</v>
      </c>
      <c r="D14" s="36">
        <v>4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0"/>
      <c r="R14" s="130"/>
      <c r="S14" s="130"/>
      <c r="T14" s="130"/>
      <c r="U14" s="130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30"/>
      <c r="R15" s="130"/>
      <c r="S15" s="130"/>
      <c r="T15" s="130"/>
      <c r="U15" s="130"/>
    </row>
    <row r="16" spans="1:21" x14ac:dyDescent="0.25">
      <c r="A16" s="38" t="s">
        <v>40</v>
      </c>
      <c r="B16" s="36">
        <v>3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2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3</v>
      </c>
      <c r="C30" s="36" t="s">
        <v>238</v>
      </c>
      <c r="D30" s="36">
        <v>1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3</v>
      </c>
      <c r="C31" s="36" t="s">
        <v>238</v>
      </c>
      <c r="D31" s="36">
        <v>2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3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3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3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3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159</v>
      </c>
    </row>
    <row r="62" spans="1:15" x14ac:dyDescent="0.25">
      <c r="A62" s="39" t="s">
        <v>88</v>
      </c>
    </row>
    <row r="63" spans="1:15" x14ac:dyDescent="0.25">
      <c r="A63" s="38" t="s">
        <v>232</v>
      </c>
    </row>
    <row r="64" spans="1:15" x14ac:dyDescent="0.25">
      <c r="A64" s="38" t="s">
        <v>233</v>
      </c>
    </row>
  </sheetData>
  <mergeCells count="20">
    <mergeCell ref="Q11:U15"/>
    <mergeCell ref="Q9:U10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7" t="s">
        <v>105</v>
      </c>
      <c r="B1" s="79" t="s">
        <v>104</v>
      </c>
      <c r="C1" s="79"/>
      <c r="D1" s="79"/>
      <c r="E1" s="80"/>
    </row>
    <row r="2" spans="1:30" x14ac:dyDescent="0.25">
      <c r="A2" s="21" t="s">
        <v>0</v>
      </c>
      <c r="B2" s="22"/>
      <c r="C2" s="22" t="s">
        <v>0</v>
      </c>
      <c r="D2" s="22"/>
      <c r="E2" s="25" t="s">
        <v>0</v>
      </c>
      <c r="H2" s="78" t="str">
        <f>Tabela!A3</f>
        <v>Catar</v>
      </c>
      <c r="I2" s="78"/>
      <c r="J2" s="78"/>
      <c r="K2" s="78"/>
      <c r="L2" s="2">
        <f>Tabela!B3</f>
        <v>0</v>
      </c>
      <c r="M2" s="2" t="s">
        <v>70</v>
      </c>
      <c r="N2" s="2">
        <f>Tabela!D3</f>
        <v>2</v>
      </c>
      <c r="O2" s="78" t="str">
        <f>Tabela!E3</f>
        <v>Equador</v>
      </c>
      <c r="P2" s="78"/>
      <c r="Q2" s="78"/>
      <c r="R2" s="78"/>
      <c r="T2" s="78" t="str">
        <f>Tabela!G3</f>
        <v>Alemanha</v>
      </c>
      <c r="U2" s="78"/>
      <c r="V2" s="78"/>
      <c r="W2" s="78"/>
      <c r="X2">
        <f>Tabela!H3</f>
        <v>1</v>
      </c>
      <c r="Y2" s="2" t="s">
        <v>70</v>
      </c>
      <c r="Z2">
        <f>Tabela!J3</f>
        <v>2</v>
      </c>
      <c r="AA2" s="78" t="str">
        <f>Tabela!K3</f>
        <v>Japão</v>
      </c>
      <c r="AB2" s="78"/>
      <c r="AC2" s="78"/>
      <c r="AD2" s="78"/>
    </row>
    <row r="3" spans="1:30" x14ac:dyDescent="0.25">
      <c r="A3" s="17" t="s">
        <v>1</v>
      </c>
      <c r="B3" s="22"/>
      <c r="C3" s="18" t="s">
        <v>13</v>
      </c>
      <c r="D3" s="22"/>
      <c r="E3" s="19" t="s">
        <v>22</v>
      </c>
      <c r="H3" s="78" t="str">
        <f>Tabela!A4</f>
        <v>Senegal</v>
      </c>
      <c r="I3" s="78"/>
      <c r="J3" s="78"/>
      <c r="K3" s="78"/>
      <c r="L3" s="2">
        <f>Tabela!B4</f>
        <v>0</v>
      </c>
      <c r="M3" s="2" t="s">
        <v>70</v>
      </c>
      <c r="N3" s="2">
        <f>Tabela!D4</f>
        <v>2</v>
      </c>
      <c r="O3" s="78" t="str">
        <f>Tabela!E4</f>
        <v>Holanda</v>
      </c>
      <c r="P3" s="78"/>
      <c r="Q3" s="78"/>
      <c r="R3" s="78"/>
      <c r="T3" s="78" t="str">
        <f>Tabela!G4</f>
        <v>Espanha</v>
      </c>
      <c r="U3" s="78"/>
      <c r="V3" s="78"/>
      <c r="W3" s="78"/>
      <c r="X3">
        <f>Tabela!H4</f>
        <v>0</v>
      </c>
      <c r="Y3" s="2" t="s">
        <v>70</v>
      </c>
      <c r="Z3">
        <f>Tabela!J4</f>
        <v>0</v>
      </c>
      <c r="AA3" s="78" t="str">
        <f>Tabela!K4</f>
        <v>CostaRica</v>
      </c>
      <c r="AB3" s="78"/>
      <c r="AC3" s="78"/>
      <c r="AD3" s="78"/>
    </row>
    <row r="4" spans="1:30" x14ac:dyDescent="0.25">
      <c r="A4" s="21" t="s">
        <v>0</v>
      </c>
      <c r="B4" s="22"/>
      <c r="C4" s="22" t="s">
        <v>0</v>
      </c>
      <c r="D4" s="22"/>
      <c r="E4" s="25" t="s">
        <v>0</v>
      </c>
      <c r="H4" s="78" t="str">
        <f>Tabela!A5</f>
        <v>Catar</v>
      </c>
      <c r="I4" s="78"/>
      <c r="J4" s="78"/>
      <c r="K4" s="78"/>
      <c r="L4" s="2">
        <f>Tabela!B5</f>
        <v>0</v>
      </c>
      <c r="M4" s="2" t="s">
        <v>70</v>
      </c>
      <c r="N4" s="2">
        <f>Tabela!D5</f>
        <v>0</v>
      </c>
      <c r="O4" s="78" t="str">
        <f>Tabela!E5</f>
        <v>Senegal</v>
      </c>
      <c r="P4" s="78"/>
      <c r="Q4" s="78"/>
      <c r="R4" s="78"/>
      <c r="T4" s="78" t="str">
        <f>Tabela!G5</f>
        <v>Japão</v>
      </c>
      <c r="U4" s="78"/>
      <c r="V4" s="78"/>
      <c r="W4" s="78"/>
      <c r="X4">
        <f>Tabela!H5</f>
        <v>0</v>
      </c>
      <c r="Y4" s="2" t="s">
        <v>70</v>
      </c>
      <c r="Z4">
        <f>Tabela!J5</f>
        <v>0</v>
      </c>
      <c r="AA4" s="78" t="str">
        <f>Tabela!K5</f>
        <v>CostaRica</v>
      </c>
      <c r="AB4" s="78"/>
      <c r="AC4" s="78"/>
      <c r="AD4" s="78"/>
    </row>
    <row r="5" spans="1:30" x14ac:dyDescent="0.25">
      <c r="A5" s="21" t="s">
        <v>28</v>
      </c>
      <c r="B5" s="22"/>
      <c r="C5" s="22" t="s">
        <v>14</v>
      </c>
      <c r="D5" s="22"/>
      <c r="E5" s="25" t="s">
        <v>23</v>
      </c>
      <c r="H5" s="78" t="str">
        <f>Tabela!A6</f>
        <v>Holanda</v>
      </c>
      <c r="I5" s="78"/>
      <c r="J5" s="78"/>
      <c r="K5" s="78"/>
      <c r="L5" s="2">
        <f>Tabela!B6</f>
        <v>0</v>
      </c>
      <c r="M5" s="2" t="s">
        <v>70</v>
      </c>
      <c r="N5" s="2">
        <f>Tabela!D6</f>
        <v>0</v>
      </c>
      <c r="O5" s="78" t="str">
        <f>Tabela!E6</f>
        <v>Equador</v>
      </c>
      <c r="P5" s="78"/>
      <c r="Q5" s="78"/>
      <c r="R5" s="78"/>
      <c r="T5" s="78" t="str">
        <f>Tabela!G6</f>
        <v>Espanha</v>
      </c>
      <c r="U5" s="78"/>
      <c r="V5" s="78"/>
      <c r="W5" s="78"/>
      <c r="X5">
        <f>Tabela!H6</f>
        <v>0</v>
      </c>
      <c r="Y5" s="2" t="s">
        <v>70</v>
      </c>
      <c r="Z5">
        <f>Tabela!J6</f>
        <v>0</v>
      </c>
      <c r="AA5" s="78" t="str">
        <f>Tabela!K6</f>
        <v>Alemanha</v>
      </c>
      <c r="AB5" s="78"/>
      <c r="AC5" s="78"/>
      <c r="AD5" s="78"/>
    </row>
    <row r="6" spans="1:30" x14ac:dyDescent="0.25">
      <c r="A6" s="21" t="s">
        <v>2</v>
      </c>
      <c r="B6" s="22"/>
      <c r="C6" s="22" t="s">
        <v>15</v>
      </c>
      <c r="D6" s="22"/>
      <c r="E6" s="25" t="s">
        <v>34</v>
      </c>
      <c r="H6" s="78" t="str">
        <f>Tabela!A7</f>
        <v>Holanda</v>
      </c>
      <c r="I6" s="78"/>
      <c r="J6" s="78"/>
      <c r="K6" s="78"/>
      <c r="L6" s="2">
        <f>Tabela!B7</f>
        <v>0</v>
      </c>
      <c r="M6" s="2" t="s">
        <v>70</v>
      </c>
      <c r="N6" s="2">
        <f>Tabela!D7</f>
        <v>0</v>
      </c>
      <c r="O6" s="78" t="str">
        <f>Tabela!E7</f>
        <v>Catar</v>
      </c>
      <c r="P6" s="78"/>
      <c r="Q6" s="78"/>
      <c r="R6" s="78"/>
      <c r="T6" s="78" t="str">
        <f>Tabela!G7</f>
        <v>Japão</v>
      </c>
      <c r="U6" s="78"/>
      <c r="V6" s="78"/>
      <c r="W6" s="78"/>
      <c r="X6">
        <f>Tabela!H7</f>
        <v>0</v>
      </c>
      <c r="Y6" s="2" t="s">
        <v>70</v>
      </c>
      <c r="Z6">
        <f>Tabela!J7</f>
        <v>0</v>
      </c>
      <c r="AA6" s="78" t="str">
        <f>Tabela!K7</f>
        <v>Espanha</v>
      </c>
      <c r="AB6" s="78"/>
      <c r="AC6" s="78"/>
      <c r="AD6" s="78"/>
    </row>
    <row r="7" spans="1:30" x14ac:dyDescent="0.25">
      <c r="A7" s="21" t="s">
        <v>85</v>
      </c>
      <c r="B7" s="22"/>
      <c r="C7" s="22" t="s">
        <v>92</v>
      </c>
      <c r="D7" s="22"/>
      <c r="E7" s="25" t="s">
        <v>24</v>
      </c>
      <c r="H7" s="78" t="str">
        <f>Tabela!A8</f>
        <v>Equador</v>
      </c>
      <c r="I7" s="78"/>
      <c r="J7" s="78"/>
      <c r="K7" s="78"/>
      <c r="L7" s="2">
        <f>Tabela!B8</f>
        <v>0</v>
      </c>
      <c r="M7" s="2" t="s">
        <v>70</v>
      </c>
      <c r="N7" s="2">
        <f>Tabela!D8</f>
        <v>0</v>
      </c>
      <c r="O7" s="78" t="str">
        <f>Tabela!E8</f>
        <v>Senegal</v>
      </c>
      <c r="P7" s="78"/>
      <c r="Q7" s="78"/>
      <c r="R7" s="78"/>
      <c r="T7" s="78" t="str">
        <f>Tabela!G8</f>
        <v>CostaRica</v>
      </c>
      <c r="U7" s="78"/>
      <c r="V7" s="78"/>
      <c r="W7" s="78"/>
      <c r="X7">
        <f>Tabela!H8</f>
        <v>0</v>
      </c>
      <c r="Y7" s="2" t="s">
        <v>70</v>
      </c>
      <c r="Z7">
        <f>Tabela!J8</f>
        <v>0</v>
      </c>
      <c r="AA7" s="78" t="str">
        <f>Tabela!K8</f>
        <v>Alemanha</v>
      </c>
      <c r="AB7" s="78"/>
      <c r="AC7" s="78"/>
      <c r="AD7" s="78"/>
    </row>
    <row r="8" spans="1:30" x14ac:dyDescent="0.25">
      <c r="A8" s="21" t="s">
        <v>3</v>
      </c>
      <c r="B8" s="22"/>
      <c r="C8" s="22" t="s">
        <v>93</v>
      </c>
      <c r="D8" s="22"/>
      <c r="E8" s="25" t="s">
        <v>25</v>
      </c>
      <c r="H8" s="78" t="str">
        <f>Tabela!A9</f>
        <v>Grupo B</v>
      </c>
      <c r="I8" s="78"/>
      <c r="J8" s="78"/>
      <c r="K8" s="78"/>
      <c r="L8" s="2">
        <f>Tabela!B9</f>
        <v>0</v>
      </c>
      <c r="M8" s="2" t="s">
        <v>70</v>
      </c>
      <c r="N8" s="2">
        <f>Tabela!D9</f>
        <v>0</v>
      </c>
      <c r="O8" s="78">
        <f>Tabela!E9</f>
        <v>0</v>
      </c>
      <c r="P8" s="78"/>
      <c r="Q8" s="78"/>
      <c r="R8" s="78"/>
      <c r="T8" s="78" t="str">
        <f>Tabela!G9</f>
        <v>Grupo F</v>
      </c>
      <c r="U8" s="78"/>
      <c r="V8" s="78"/>
      <c r="W8" s="78"/>
      <c r="X8">
        <f>Tabela!H9</f>
        <v>0</v>
      </c>
      <c r="Y8" s="2" t="s">
        <v>70</v>
      </c>
      <c r="Z8">
        <f>Tabela!J9</f>
        <v>0</v>
      </c>
      <c r="AA8" s="78">
        <f>Tabela!K9</f>
        <v>0</v>
      </c>
      <c r="AB8" s="78"/>
      <c r="AC8" s="78"/>
      <c r="AD8" s="78"/>
    </row>
    <row r="9" spans="1:30" x14ac:dyDescent="0.25">
      <c r="A9" s="21" t="s">
        <v>4</v>
      </c>
      <c r="B9" s="22"/>
      <c r="C9" s="22" t="s">
        <v>94</v>
      </c>
      <c r="D9" s="22"/>
      <c r="E9" s="25" t="s">
        <v>26</v>
      </c>
      <c r="H9" s="78" t="str">
        <f>Tabela!A10</f>
        <v>Inglaterra</v>
      </c>
      <c r="I9" s="78"/>
      <c r="J9" s="78"/>
      <c r="K9" s="78"/>
      <c r="L9" s="2">
        <f>Tabela!B10</f>
        <v>6</v>
      </c>
      <c r="M9" s="2" t="s">
        <v>70</v>
      </c>
      <c r="N9" s="2">
        <f>Tabela!D10</f>
        <v>2</v>
      </c>
      <c r="O9" s="78" t="str">
        <f>Tabela!E10</f>
        <v>Irã</v>
      </c>
      <c r="P9" s="78"/>
      <c r="Q9" s="78"/>
      <c r="R9" s="78"/>
      <c r="T9" s="78" t="str">
        <f>Tabela!G10</f>
        <v>Marrocos</v>
      </c>
      <c r="U9" s="78"/>
      <c r="V9" s="78"/>
      <c r="W9" s="78"/>
      <c r="X9">
        <f>Tabela!H10</f>
        <v>0</v>
      </c>
      <c r="Y9" s="2" t="s">
        <v>70</v>
      </c>
      <c r="Z9">
        <f>Tabela!J10</f>
        <v>0</v>
      </c>
      <c r="AA9" s="78" t="str">
        <f>Tabela!K10</f>
        <v>Croácia</v>
      </c>
      <c r="AB9" s="78"/>
      <c r="AC9" s="78"/>
      <c r="AD9" s="78"/>
    </row>
    <row r="10" spans="1:30" x14ac:dyDescent="0.25">
      <c r="A10" s="21" t="s">
        <v>90</v>
      </c>
      <c r="B10" s="22"/>
      <c r="C10" s="22" t="s">
        <v>95</v>
      </c>
      <c r="D10" s="22"/>
      <c r="E10" s="25" t="s">
        <v>35</v>
      </c>
      <c r="H10" s="78" t="str">
        <f>Tabela!A11</f>
        <v>Estados Unidos</v>
      </c>
      <c r="I10" s="78"/>
      <c r="J10" s="78"/>
      <c r="K10" s="78"/>
      <c r="L10" s="2">
        <f>Tabela!B11</f>
        <v>1</v>
      </c>
      <c r="M10" s="2" t="s">
        <v>70</v>
      </c>
      <c r="N10" s="2">
        <f>Tabela!D11</f>
        <v>1</v>
      </c>
      <c r="O10" s="78" t="str">
        <f>Tabela!E11</f>
        <v>Gales</v>
      </c>
      <c r="P10" s="78"/>
      <c r="Q10" s="78"/>
      <c r="R10" s="78"/>
      <c r="T10" s="78" t="str">
        <f>Tabela!G11</f>
        <v>Bélgica</v>
      </c>
      <c r="U10" s="78"/>
      <c r="V10" s="78"/>
      <c r="W10" s="78"/>
      <c r="X10">
        <f>Tabela!H11</f>
        <v>0</v>
      </c>
      <c r="Y10" s="2" t="s">
        <v>70</v>
      </c>
      <c r="Z10">
        <f>Tabela!J11</f>
        <v>0</v>
      </c>
      <c r="AA10" s="78" t="str">
        <f>Tabela!K11</f>
        <v>Canadá</v>
      </c>
      <c r="AB10" s="78"/>
      <c r="AC10" s="78"/>
      <c r="AD10" s="78"/>
    </row>
    <row r="11" spans="1:30" x14ac:dyDescent="0.25">
      <c r="A11" s="21" t="s">
        <v>0</v>
      </c>
      <c r="B11" s="22"/>
      <c r="C11" s="22" t="s">
        <v>0</v>
      </c>
      <c r="D11" s="22"/>
      <c r="E11" s="25" t="s">
        <v>0</v>
      </c>
      <c r="H11" s="78" t="str">
        <f>Tabela!A12</f>
        <v>Gales</v>
      </c>
      <c r="I11" s="78"/>
      <c r="J11" s="78"/>
      <c r="K11" s="78"/>
      <c r="L11" s="2">
        <f>Tabela!B12</f>
        <v>0</v>
      </c>
      <c r="M11" s="2" t="s">
        <v>70</v>
      </c>
      <c r="N11" s="2">
        <f>Tabela!D12</f>
        <v>0</v>
      </c>
      <c r="O11" s="78" t="str">
        <f>Tabela!E12</f>
        <v>Irã</v>
      </c>
      <c r="P11" s="78"/>
      <c r="Q11" s="78"/>
      <c r="R11" s="78"/>
      <c r="T11" s="78" t="str">
        <f>Tabela!G12</f>
        <v>Bélgica</v>
      </c>
      <c r="U11" s="78"/>
      <c r="V11" s="78"/>
      <c r="W11" s="78"/>
      <c r="X11">
        <f>Tabela!H12</f>
        <v>0</v>
      </c>
      <c r="Y11" s="2" t="s">
        <v>70</v>
      </c>
      <c r="Z11">
        <f>Tabela!J12</f>
        <v>0</v>
      </c>
      <c r="AA11" s="78" t="str">
        <f>Tabela!K12</f>
        <v>Marrocos</v>
      </c>
      <c r="AB11" s="78"/>
      <c r="AC11" s="78"/>
      <c r="AD11" s="78"/>
    </row>
    <row r="12" spans="1:30" x14ac:dyDescent="0.25">
      <c r="A12" s="17" t="s">
        <v>5</v>
      </c>
      <c r="B12" s="22"/>
      <c r="C12" s="18" t="s">
        <v>16</v>
      </c>
      <c r="D12" s="22"/>
      <c r="E12" s="19" t="s">
        <v>27</v>
      </c>
      <c r="H12" s="78" t="str">
        <f>Tabela!A13</f>
        <v>Inglaterra</v>
      </c>
      <c r="I12" s="78"/>
      <c r="J12" s="78"/>
      <c r="K12" s="78"/>
      <c r="L12" s="2">
        <f>Tabela!B13</f>
        <v>0</v>
      </c>
      <c r="M12" s="2" t="s">
        <v>70</v>
      </c>
      <c r="N12" s="2">
        <f>Tabela!D13</f>
        <v>0</v>
      </c>
      <c r="O12" s="78" t="str">
        <f>Tabela!E13</f>
        <v>Estados Unidos</v>
      </c>
      <c r="P12" s="78"/>
      <c r="Q12" s="78"/>
      <c r="R12" s="78"/>
      <c r="T12" s="78" t="str">
        <f>Tabela!G13</f>
        <v>Croácia</v>
      </c>
      <c r="U12" s="78"/>
      <c r="V12" s="78"/>
      <c r="W12" s="78"/>
      <c r="X12">
        <f>Tabela!H13</f>
        <v>0</v>
      </c>
      <c r="Y12" s="2" t="s">
        <v>70</v>
      </c>
      <c r="Z12">
        <f>Tabela!J13</f>
        <v>0</v>
      </c>
      <c r="AA12" s="78" t="str">
        <f>Tabela!K13</f>
        <v>Canadá</v>
      </c>
      <c r="AB12" s="78"/>
      <c r="AC12" s="78"/>
      <c r="AD12" s="78"/>
    </row>
    <row r="13" spans="1:30" x14ac:dyDescent="0.25">
      <c r="A13" s="21" t="s">
        <v>0</v>
      </c>
      <c r="B13" s="22"/>
      <c r="C13" s="22" t="s">
        <v>0</v>
      </c>
      <c r="D13" s="22"/>
      <c r="E13" s="25" t="s">
        <v>0</v>
      </c>
      <c r="H13" s="78" t="str">
        <f>Tabela!A14</f>
        <v>Irã</v>
      </c>
      <c r="I13" s="78"/>
      <c r="J13" s="78"/>
      <c r="K13" s="78"/>
      <c r="L13" s="2">
        <f>Tabela!B14</f>
        <v>0</v>
      </c>
      <c r="M13" s="2" t="s">
        <v>70</v>
      </c>
      <c r="N13" s="2">
        <f>Tabela!D14</f>
        <v>0</v>
      </c>
      <c r="O13" s="78" t="str">
        <f>Tabela!E14</f>
        <v>Estados Unidos</v>
      </c>
      <c r="P13" s="78"/>
      <c r="Q13" s="78"/>
      <c r="R13" s="78"/>
      <c r="T13" s="78" t="str">
        <f>Tabela!G14</f>
        <v>Croácia</v>
      </c>
      <c r="U13" s="78"/>
      <c r="V13" s="78"/>
      <c r="W13" s="78"/>
      <c r="X13">
        <f>Tabela!H14</f>
        <v>0</v>
      </c>
      <c r="Y13" s="2" t="s">
        <v>70</v>
      </c>
      <c r="Z13">
        <f>Tabela!J14</f>
        <v>0</v>
      </c>
      <c r="AA13" s="78" t="str">
        <f>Tabela!K14</f>
        <v>Bélgica</v>
      </c>
      <c r="AB13" s="78"/>
      <c r="AC13" s="78"/>
      <c r="AD13" s="78"/>
    </row>
    <row r="14" spans="1:30" x14ac:dyDescent="0.25">
      <c r="A14" s="21" t="s">
        <v>29</v>
      </c>
      <c r="B14" s="22"/>
      <c r="C14" s="22" t="s">
        <v>31</v>
      </c>
      <c r="D14" s="22"/>
      <c r="E14" s="25" t="s">
        <v>272</v>
      </c>
      <c r="H14" s="78" t="str">
        <f>Tabela!A15</f>
        <v>Gales</v>
      </c>
      <c r="I14" s="78"/>
      <c r="J14" s="78"/>
      <c r="K14" s="78"/>
      <c r="L14" s="2">
        <f>Tabela!B15</f>
        <v>0</v>
      </c>
      <c r="M14" s="2" t="s">
        <v>70</v>
      </c>
      <c r="N14" s="2">
        <f>Tabela!D15</f>
        <v>0</v>
      </c>
      <c r="O14" s="78" t="str">
        <f>Tabela!E15</f>
        <v>Inglaterra</v>
      </c>
      <c r="P14" s="78"/>
      <c r="Q14" s="78"/>
      <c r="R14" s="78"/>
      <c r="T14" s="78" t="str">
        <f>Tabela!G15</f>
        <v>Canadá</v>
      </c>
      <c r="U14" s="78"/>
      <c r="V14" s="78"/>
      <c r="W14" s="78"/>
      <c r="X14">
        <f>Tabela!H15</f>
        <v>0</v>
      </c>
      <c r="Y14" s="2" t="s">
        <v>70</v>
      </c>
      <c r="Z14">
        <f>Tabela!J15</f>
        <v>0</v>
      </c>
      <c r="AA14" s="78" t="str">
        <f>Tabela!K15</f>
        <v>Marrocos</v>
      </c>
      <c r="AB14" s="78"/>
      <c r="AC14" s="78"/>
      <c r="AD14" s="78"/>
    </row>
    <row r="15" spans="1:30" x14ac:dyDescent="0.25">
      <c r="A15" s="21" t="s">
        <v>6</v>
      </c>
      <c r="B15" s="22"/>
      <c r="C15" s="22" t="s">
        <v>268</v>
      </c>
      <c r="D15" s="22"/>
      <c r="E15" s="25" t="s">
        <v>101</v>
      </c>
      <c r="H15" s="78" t="str">
        <f>Tabela!A16</f>
        <v>j</v>
      </c>
      <c r="I15" s="78"/>
      <c r="J15" s="78"/>
      <c r="K15" s="78"/>
      <c r="L15" s="2">
        <f>Tabela!B16</f>
        <v>0</v>
      </c>
      <c r="M15" s="2" t="s">
        <v>70</v>
      </c>
      <c r="N15" s="2">
        <f>Tabela!D16</f>
        <v>0</v>
      </c>
      <c r="O15" s="78">
        <f>Tabela!E16</f>
        <v>0</v>
      </c>
      <c r="P15" s="78"/>
      <c r="Q15" s="78"/>
      <c r="R15" s="78"/>
      <c r="T15" s="78" t="str">
        <f>Tabela!G16</f>
        <v>Grupo G</v>
      </c>
      <c r="U15" s="78"/>
      <c r="V15" s="78"/>
      <c r="W15" s="78"/>
      <c r="X15">
        <f>Tabela!H16</f>
        <v>0</v>
      </c>
      <c r="Y15" s="2" t="s">
        <v>70</v>
      </c>
      <c r="Z15">
        <f>Tabela!J16</f>
        <v>0</v>
      </c>
      <c r="AA15" s="78">
        <f>Tabela!K16</f>
        <v>0</v>
      </c>
      <c r="AB15" s="78"/>
      <c r="AC15" s="78"/>
      <c r="AD15" s="78"/>
    </row>
    <row r="16" spans="1:30" x14ac:dyDescent="0.25">
      <c r="A16" s="21" t="s">
        <v>7</v>
      </c>
      <c r="B16" s="22"/>
      <c r="C16" s="22" t="s">
        <v>263</v>
      </c>
      <c r="D16" s="22"/>
      <c r="E16" s="25" t="s">
        <v>277</v>
      </c>
      <c r="H16" s="78" t="str">
        <f>Tabela!A17</f>
        <v>Argentina</v>
      </c>
      <c r="I16" s="78"/>
      <c r="J16" s="78"/>
      <c r="K16" s="78"/>
      <c r="L16" s="2">
        <f>Tabela!B17</f>
        <v>1</v>
      </c>
      <c r="M16" s="2" t="s">
        <v>70</v>
      </c>
      <c r="N16" s="2">
        <f>Tabela!D17</f>
        <v>2</v>
      </c>
      <c r="O16" s="78" t="str">
        <f>Tabela!E17</f>
        <v>ArábiaSaudita</v>
      </c>
      <c r="P16" s="78"/>
      <c r="Q16" s="78"/>
      <c r="R16" s="78"/>
      <c r="T16" s="78" t="str">
        <f>Tabela!G17</f>
        <v>Suíça</v>
      </c>
      <c r="U16" s="78"/>
      <c r="V16" s="78"/>
      <c r="W16" s="78"/>
      <c r="X16">
        <f>Tabela!H17</f>
        <v>0</v>
      </c>
      <c r="Y16" s="2" t="s">
        <v>70</v>
      </c>
      <c r="Z16">
        <f>Tabela!J17</f>
        <v>0</v>
      </c>
      <c r="AA16" s="78" t="str">
        <f>Tabela!K17</f>
        <v>Camarões</v>
      </c>
      <c r="AB16" s="78"/>
      <c r="AC16" s="78"/>
      <c r="AD16" s="78"/>
    </row>
    <row r="17" spans="1:30" x14ac:dyDescent="0.25">
      <c r="A17" s="21" t="s">
        <v>8</v>
      </c>
      <c r="B17" s="22"/>
      <c r="C17" s="22" t="s">
        <v>17</v>
      </c>
      <c r="D17" s="22"/>
      <c r="E17" s="25" t="s">
        <v>37</v>
      </c>
      <c r="H17" s="78" t="str">
        <f>Tabela!A18</f>
        <v>México</v>
      </c>
      <c r="I17" s="78"/>
      <c r="J17" s="78"/>
      <c r="K17" s="78"/>
      <c r="L17" s="2">
        <f>Tabela!B18</f>
        <v>0</v>
      </c>
      <c r="M17" s="2" t="s">
        <v>70</v>
      </c>
      <c r="N17" s="2">
        <f>Tabela!D18</f>
        <v>0</v>
      </c>
      <c r="O17" s="78" t="str">
        <f>Tabela!E18</f>
        <v>Polônia</v>
      </c>
      <c r="P17" s="78"/>
      <c r="Q17" s="78"/>
      <c r="R17" s="78"/>
      <c r="T17" s="78" t="str">
        <f>Tabela!G18</f>
        <v>Brasil</v>
      </c>
      <c r="U17" s="78"/>
      <c r="V17" s="78"/>
      <c r="W17" s="78"/>
      <c r="X17">
        <f>Tabela!H18</f>
        <v>0</v>
      </c>
      <c r="Y17" s="2" t="s">
        <v>70</v>
      </c>
      <c r="Z17">
        <f>Tabela!J18</f>
        <v>0</v>
      </c>
      <c r="AA17" s="78" t="str">
        <f>Tabela!K18</f>
        <v>Sérvia</v>
      </c>
      <c r="AB17" s="78"/>
      <c r="AC17" s="78"/>
      <c r="AD17" s="78"/>
    </row>
    <row r="18" spans="1:30" x14ac:dyDescent="0.25">
      <c r="A18" s="21" t="s">
        <v>80</v>
      </c>
      <c r="B18" s="22"/>
      <c r="C18" s="22" t="s">
        <v>18</v>
      </c>
      <c r="D18" s="22"/>
      <c r="E18" s="25" t="s">
        <v>276</v>
      </c>
      <c r="H18" s="78" t="str">
        <f>Tabela!A19</f>
        <v>Polônia</v>
      </c>
      <c r="I18" s="78"/>
      <c r="J18" s="78"/>
      <c r="K18" s="78"/>
      <c r="L18" s="2">
        <f>Tabela!B19</f>
        <v>0</v>
      </c>
      <c r="M18" s="2" t="s">
        <v>70</v>
      </c>
      <c r="N18" s="2">
        <f>Tabela!D19</f>
        <v>0</v>
      </c>
      <c r="O18" s="78" t="str">
        <f>Tabela!E19</f>
        <v>ArábiaSaudita</v>
      </c>
      <c r="P18" s="78"/>
      <c r="Q18" s="78"/>
      <c r="R18" s="78"/>
      <c r="T18" s="78" t="str">
        <f>Tabela!G19</f>
        <v>Camarões</v>
      </c>
      <c r="U18" s="78"/>
      <c r="V18" s="78"/>
      <c r="W18" s="78"/>
      <c r="X18">
        <f>Tabela!H19</f>
        <v>0</v>
      </c>
      <c r="Y18" s="2" t="s">
        <v>70</v>
      </c>
      <c r="Z18">
        <f>Tabela!J19</f>
        <v>0</v>
      </c>
      <c r="AA18" s="78" t="str">
        <f>Tabela!K19</f>
        <v>Sérvia</v>
      </c>
      <c r="AB18" s="78"/>
      <c r="AC18" s="78"/>
      <c r="AD18" s="78"/>
    </row>
    <row r="19" spans="1:30" x14ac:dyDescent="0.25">
      <c r="A19" s="21" t="s">
        <v>86</v>
      </c>
      <c r="B19" s="22"/>
      <c r="C19" s="22" t="s">
        <v>269</v>
      </c>
      <c r="D19" s="22"/>
      <c r="E19" s="25" t="s">
        <v>103</v>
      </c>
      <c r="H19" s="78" t="str">
        <f>Tabela!A20</f>
        <v>Argentina</v>
      </c>
      <c r="I19" s="78"/>
      <c r="J19" s="78"/>
      <c r="K19" s="78"/>
      <c r="L19" s="2">
        <f>Tabela!B20</f>
        <v>0</v>
      </c>
      <c r="M19" s="2" t="s">
        <v>70</v>
      </c>
      <c r="N19" s="2">
        <f>Tabela!D20</f>
        <v>0</v>
      </c>
      <c r="O19" s="78" t="str">
        <f>Tabela!E20</f>
        <v>México</v>
      </c>
      <c r="P19" s="78"/>
      <c r="Q19" s="78"/>
      <c r="R19" s="78"/>
      <c r="T19" s="78" t="str">
        <f>Tabela!G20</f>
        <v>Brasil</v>
      </c>
      <c r="U19" s="78"/>
      <c r="V19" s="78"/>
      <c r="W19" s="78"/>
      <c r="X19">
        <f>Tabela!H20</f>
        <v>0</v>
      </c>
      <c r="Y19" s="2" t="s">
        <v>70</v>
      </c>
      <c r="Z19">
        <f>Tabela!J20</f>
        <v>0</v>
      </c>
      <c r="AA19" s="78" t="str">
        <f>Tabela!K20</f>
        <v>Suíça</v>
      </c>
      <c r="AB19" s="78"/>
      <c r="AC19" s="78"/>
      <c r="AD19" s="78"/>
    </row>
    <row r="20" spans="1:30" x14ac:dyDescent="0.25">
      <c r="A20" s="21" t="s">
        <v>0</v>
      </c>
      <c r="B20" s="22"/>
      <c r="C20" s="22" t="s">
        <v>0</v>
      </c>
      <c r="D20" s="22"/>
      <c r="E20" s="25"/>
      <c r="H20" s="78" t="str">
        <f>Tabela!A21</f>
        <v>Polônia</v>
      </c>
      <c r="I20" s="78"/>
      <c r="J20" s="78"/>
      <c r="K20" s="78"/>
      <c r="L20" s="2">
        <f>Tabela!B21</f>
        <v>0</v>
      </c>
      <c r="M20" s="2" t="s">
        <v>70</v>
      </c>
      <c r="N20" s="2">
        <f>Tabela!D21</f>
        <v>0</v>
      </c>
      <c r="O20" s="78" t="str">
        <f>Tabela!E21</f>
        <v>Argentina</v>
      </c>
      <c r="P20" s="78"/>
      <c r="Q20" s="78"/>
      <c r="R20" s="78"/>
      <c r="T20" s="78" t="str">
        <f>Tabela!G21</f>
        <v>Camarões</v>
      </c>
      <c r="U20" s="78"/>
      <c r="V20" s="78"/>
      <c r="W20" s="78"/>
      <c r="X20">
        <f>Tabela!H21</f>
        <v>0</v>
      </c>
      <c r="Y20" s="2" t="s">
        <v>70</v>
      </c>
      <c r="Z20">
        <f>Tabela!J21</f>
        <v>0</v>
      </c>
      <c r="AA20" s="78" t="str">
        <f>Tabela!K21</f>
        <v>Brasil</v>
      </c>
      <c r="AB20" s="78"/>
      <c r="AC20" s="78"/>
      <c r="AD20" s="78"/>
    </row>
    <row r="21" spans="1:30" x14ac:dyDescent="0.25">
      <c r="A21" s="17" t="s">
        <v>9</v>
      </c>
      <c r="B21" s="22"/>
      <c r="C21" s="18" t="s">
        <v>19</v>
      </c>
      <c r="D21" s="22"/>
      <c r="E21" s="20" t="s">
        <v>89</v>
      </c>
      <c r="H21" s="78" t="str">
        <f>Tabela!A22</f>
        <v>ArábiaSaudita</v>
      </c>
      <c r="I21" s="78"/>
      <c r="J21" s="78"/>
      <c r="K21" s="78"/>
      <c r="L21" s="2">
        <f>Tabela!B22</f>
        <v>0</v>
      </c>
      <c r="M21" s="2" t="s">
        <v>70</v>
      </c>
      <c r="N21" s="2">
        <f>Tabela!D22</f>
        <v>0</v>
      </c>
      <c r="O21" s="78" t="str">
        <f>Tabela!E22</f>
        <v>México</v>
      </c>
      <c r="P21" s="78"/>
      <c r="Q21" s="78"/>
      <c r="R21" s="78"/>
      <c r="T21" s="78" t="str">
        <f>Tabela!G22</f>
        <v>Sérvia</v>
      </c>
      <c r="U21" s="78"/>
      <c r="V21" s="78"/>
      <c r="W21" s="78"/>
      <c r="X21">
        <f>Tabela!H22</f>
        <v>0</v>
      </c>
      <c r="Y21" s="2" t="s">
        <v>70</v>
      </c>
      <c r="Z21">
        <f>Tabela!J22</f>
        <v>0</v>
      </c>
      <c r="AA21" s="78" t="str">
        <f>Tabela!K22</f>
        <v>Suíça</v>
      </c>
      <c r="AB21" s="78"/>
      <c r="AC21" s="78"/>
      <c r="AD21" s="78"/>
    </row>
    <row r="22" spans="1:30" x14ac:dyDescent="0.25">
      <c r="A22" s="21" t="s">
        <v>0</v>
      </c>
      <c r="B22" s="22"/>
      <c r="C22" s="22" t="s">
        <v>0</v>
      </c>
      <c r="D22" s="22"/>
      <c r="E22" s="25" t="s">
        <v>144</v>
      </c>
      <c r="H22" s="78" t="str">
        <f>Tabela!A23</f>
        <v>Grupo D</v>
      </c>
      <c r="I22" s="78"/>
      <c r="J22" s="78"/>
      <c r="K22" s="78"/>
      <c r="L22" s="2">
        <f>Tabela!B23</f>
        <v>0</v>
      </c>
      <c r="M22" s="2" t="s">
        <v>70</v>
      </c>
      <c r="N22" s="2">
        <f>Tabela!D23</f>
        <v>0</v>
      </c>
      <c r="O22" s="78">
        <f>Tabela!E23</f>
        <v>0</v>
      </c>
      <c r="P22" s="78"/>
      <c r="Q22" s="78"/>
      <c r="R22" s="78"/>
      <c r="T22" s="78" t="str">
        <f>Tabela!G23</f>
        <v>Grupo H</v>
      </c>
      <c r="U22" s="78"/>
      <c r="V22" s="78"/>
      <c r="W22" s="78"/>
      <c r="X22">
        <f>Tabela!H23</f>
        <v>0</v>
      </c>
      <c r="Y22" s="2" t="s">
        <v>70</v>
      </c>
      <c r="Z22">
        <f>Tabela!J23</f>
        <v>0</v>
      </c>
      <c r="AA22" s="78">
        <f>Tabela!K23</f>
        <v>0</v>
      </c>
      <c r="AB22" s="78"/>
      <c r="AC22" s="78"/>
      <c r="AD22" s="78"/>
    </row>
    <row r="23" spans="1:30" x14ac:dyDescent="0.25">
      <c r="A23" s="21" t="s">
        <v>260</v>
      </c>
      <c r="B23" s="22"/>
      <c r="C23" s="22" t="s">
        <v>98</v>
      </c>
      <c r="D23" s="22"/>
      <c r="E23" s="25" t="s">
        <v>145</v>
      </c>
      <c r="H23" s="78" t="str">
        <f>Tabela!A24</f>
        <v>Dinamarca</v>
      </c>
      <c r="I23" s="78"/>
      <c r="J23" s="78"/>
      <c r="K23" s="78"/>
      <c r="L23" s="2">
        <f>Tabela!B24</f>
        <v>0</v>
      </c>
      <c r="M23" s="2" t="s">
        <v>70</v>
      </c>
      <c r="N23" s="2">
        <f>Tabela!D24</f>
        <v>0</v>
      </c>
      <c r="O23" s="78" t="str">
        <f>Tabela!E24</f>
        <v>Tunísia</v>
      </c>
      <c r="P23" s="78"/>
      <c r="Q23" s="78"/>
      <c r="R23" s="78"/>
      <c r="T23" s="78" t="str">
        <f>Tabela!G24</f>
        <v>Uruguai</v>
      </c>
      <c r="U23" s="78"/>
      <c r="V23" s="78"/>
      <c r="W23" s="78"/>
      <c r="X23">
        <f>Tabela!H24</f>
        <v>0</v>
      </c>
      <c r="Y23" s="2" t="s">
        <v>70</v>
      </c>
      <c r="Z23">
        <f>Tabela!J24</f>
        <v>0</v>
      </c>
      <c r="AA23" s="78" t="str">
        <f>Tabela!K24</f>
        <v>CoreiaDoSul</v>
      </c>
      <c r="AB23" s="78"/>
      <c r="AC23" s="78"/>
      <c r="AD23" s="78"/>
    </row>
    <row r="24" spans="1:30" x14ac:dyDescent="0.25">
      <c r="A24" s="21" t="s">
        <v>10</v>
      </c>
      <c r="B24" s="22"/>
      <c r="C24" s="22" t="s">
        <v>99</v>
      </c>
      <c r="D24" s="22"/>
      <c r="E24" s="25"/>
      <c r="H24" s="78" t="str">
        <f>Tabela!A25</f>
        <v>França</v>
      </c>
      <c r="I24" s="78"/>
      <c r="J24" s="78"/>
      <c r="K24" s="78"/>
      <c r="L24" s="2">
        <f>Tabela!B25</f>
        <v>4</v>
      </c>
      <c r="M24" s="2" t="s">
        <v>70</v>
      </c>
      <c r="N24" s="2">
        <f>Tabela!D25</f>
        <v>1</v>
      </c>
      <c r="O24" s="78" t="str">
        <f>Tabela!E25</f>
        <v>Austrália</v>
      </c>
      <c r="P24" s="78"/>
      <c r="Q24" s="78"/>
      <c r="R24" s="78"/>
      <c r="T24" s="78" t="str">
        <f>Tabela!G25</f>
        <v>Portugal</v>
      </c>
      <c r="U24" s="78"/>
      <c r="V24" s="78"/>
      <c r="W24" s="78"/>
      <c r="X24">
        <f>Tabela!H25</f>
        <v>0</v>
      </c>
      <c r="Y24" s="2" t="s">
        <v>70</v>
      </c>
      <c r="Z24">
        <f>Tabela!J25</f>
        <v>0</v>
      </c>
      <c r="AA24" s="78" t="str">
        <f>Tabela!K25</f>
        <v>Gana</v>
      </c>
      <c r="AB24" s="78"/>
      <c r="AC24" s="78"/>
      <c r="AD24" s="78"/>
    </row>
    <row r="25" spans="1:30" x14ac:dyDescent="0.25">
      <c r="A25" s="21" t="s">
        <v>259</v>
      </c>
      <c r="B25" s="22"/>
      <c r="C25" s="22" t="s">
        <v>83</v>
      </c>
      <c r="D25" s="22"/>
      <c r="E25" s="20" t="s">
        <v>88</v>
      </c>
      <c r="H25" s="78" t="str">
        <f>Tabela!A26</f>
        <v>Tunísia</v>
      </c>
      <c r="I25" s="78"/>
      <c r="J25" s="78"/>
      <c r="K25" s="78"/>
      <c r="L25" s="2">
        <f>Tabela!B26</f>
        <v>0</v>
      </c>
      <c r="M25" s="2" t="s">
        <v>70</v>
      </c>
      <c r="N25" s="2">
        <f>Tabela!D26</f>
        <v>0</v>
      </c>
      <c r="O25" s="78" t="str">
        <f>Tabela!E26</f>
        <v>Austrália</v>
      </c>
      <c r="P25" s="78"/>
      <c r="Q25" s="78"/>
      <c r="R25" s="78"/>
      <c r="T25" s="78" t="str">
        <f>Tabela!G26</f>
        <v>CoreiaDoSul</v>
      </c>
      <c r="U25" s="78"/>
      <c r="V25" s="78"/>
      <c r="W25" s="78"/>
      <c r="X25">
        <f>Tabela!H26</f>
        <v>0</v>
      </c>
      <c r="Y25" s="2" t="s">
        <v>70</v>
      </c>
      <c r="Z25">
        <f>Tabela!J26</f>
        <v>0</v>
      </c>
      <c r="AA25" s="78" t="str">
        <f>Tabela!K26</f>
        <v>Gana</v>
      </c>
      <c r="AB25" s="78"/>
      <c r="AC25" s="78"/>
      <c r="AD25" s="78"/>
    </row>
    <row r="26" spans="1:30" x14ac:dyDescent="0.25">
      <c r="A26" s="21" t="s">
        <v>30</v>
      </c>
      <c r="B26" s="22"/>
      <c r="C26" s="22" t="s">
        <v>20</v>
      </c>
      <c r="D26" s="22"/>
      <c r="E26" s="25" t="s">
        <v>142</v>
      </c>
      <c r="H26" s="78" t="str">
        <f>Tabela!A27</f>
        <v>França</v>
      </c>
      <c r="I26" s="78"/>
      <c r="J26" s="78"/>
      <c r="K26" s="78"/>
      <c r="L26" s="2">
        <f>Tabela!B27</f>
        <v>0</v>
      </c>
      <c r="M26" s="2" t="s">
        <v>70</v>
      </c>
      <c r="N26" s="2">
        <f>Tabela!D27</f>
        <v>0</v>
      </c>
      <c r="O26" s="78" t="str">
        <f>Tabela!E27</f>
        <v>Dinamarca</v>
      </c>
      <c r="P26" s="78"/>
      <c r="Q26" s="78"/>
      <c r="R26" s="78"/>
      <c r="T26" s="78" t="str">
        <f>Tabela!G27</f>
        <v>Portugal</v>
      </c>
      <c r="U26" s="78"/>
      <c r="V26" s="78"/>
      <c r="W26" s="78"/>
      <c r="X26">
        <f>Tabela!H27</f>
        <v>0</v>
      </c>
      <c r="Y26" s="2" t="s">
        <v>70</v>
      </c>
      <c r="Z26">
        <f>Tabela!J27</f>
        <v>0</v>
      </c>
      <c r="AA26" s="78" t="str">
        <f>Tabela!K27</f>
        <v>Uruguai</v>
      </c>
      <c r="AB26" s="78"/>
      <c r="AC26" s="78"/>
      <c r="AD26" s="78"/>
    </row>
    <row r="27" spans="1:30" x14ac:dyDescent="0.25">
      <c r="A27" s="21" t="s">
        <v>11</v>
      </c>
      <c r="B27" s="22"/>
      <c r="C27" s="22" t="s">
        <v>84</v>
      </c>
      <c r="D27" s="22"/>
      <c r="E27" s="25" t="s">
        <v>143</v>
      </c>
      <c r="H27" s="78" t="str">
        <f>Tabela!A28</f>
        <v>Tunísia</v>
      </c>
      <c r="I27" s="78"/>
      <c r="J27" s="78"/>
      <c r="K27" s="78"/>
      <c r="L27" s="2">
        <f>Tabela!B28</f>
        <v>0</v>
      </c>
      <c r="M27" s="2" t="s">
        <v>70</v>
      </c>
      <c r="N27" s="2">
        <f>Tabela!D28</f>
        <v>0</v>
      </c>
      <c r="O27" s="78" t="str">
        <f>Tabela!E28</f>
        <v>França</v>
      </c>
      <c r="P27" s="78"/>
      <c r="Q27" s="78"/>
      <c r="R27" s="78"/>
      <c r="T27" s="78" t="str">
        <f>Tabela!G28</f>
        <v>CoreiaDoSul</v>
      </c>
      <c r="U27" s="78"/>
      <c r="V27" s="78"/>
      <c r="W27" s="78"/>
      <c r="X27">
        <f>Tabela!H28</f>
        <v>0</v>
      </c>
      <c r="Y27" s="2" t="s">
        <v>70</v>
      </c>
      <c r="Z27">
        <f>Tabela!J28</f>
        <v>0</v>
      </c>
      <c r="AA27" s="78" t="str">
        <f>Tabela!K28</f>
        <v>Portugal</v>
      </c>
      <c r="AB27" s="78"/>
      <c r="AC27" s="78"/>
      <c r="AD27" s="78"/>
    </row>
    <row r="28" spans="1:30" ht="15.75" thickBot="1" x14ac:dyDescent="0.3">
      <c r="A28" s="23" t="s">
        <v>256</v>
      </c>
      <c r="B28" s="24"/>
      <c r="C28" s="24" t="s">
        <v>21</v>
      </c>
      <c r="D28" s="24"/>
      <c r="E28" s="26"/>
      <c r="H28" s="78" t="str">
        <f>Tabela!A29</f>
        <v>Austrália</v>
      </c>
      <c r="I28" s="78"/>
      <c r="J28" s="78"/>
      <c r="K28" s="78"/>
      <c r="L28" s="2">
        <f>Tabela!B29</f>
        <v>0</v>
      </c>
      <c r="M28" s="2" t="s">
        <v>70</v>
      </c>
      <c r="N28" s="2">
        <f>Tabela!D29</f>
        <v>0</v>
      </c>
      <c r="O28" s="78" t="str">
        <f>Tabela!E29</f>
        <v>Dinamarca</v>
      </c>
      <c r="P28" s="78"/>
      <c r="Q28" s="78"/>
      <c r="R28" s="78"/>
      <c r="T28" s="78" t="str">
        <f>Tabela!G29</f>
        <v>Gana</v>
      </c>
      <c r="U28" s="78"/>
      <c r="V28" s="78"/>
      <c r="W28" s="78"/>
      <c r="X28">
        <f>Tabela!H29</f>
        <v>0</v>
      </c>
      <c r="Y28" s="2" t="s">
        <v>70</v>
      </c>
      <c r="Z28">
        <f>Tabela!J29</f>
        <v>0</v>
      </c>
      <c r="AA28" s="78" t="str">
        <f>Tabela!K29</f>
        <v>Uruguai</v>
      </c>
      <c r="AB28" s="78"/>
      <c r="AC28" s="78"/>
      <c r="AD28" s="78"/>
    </row>
    <row r="29" spans="1:30" ht="15.75" thickTop="1" x14ac:dyDescent="0.25">
      <c r="O29" s="30"/>
      <c r="P29" s="30"/>
      <c r="Q29" s="30"/>
      <c r="R29" s="30"/>
      <c r="T29" s="30"/>
      <c r="U29" s="30"/>
      <c r="V29" s="30"/>
      <c r="W29" s="30"/>
    </row>
    <row r="30" spans="1:30" x14ac:dyDescent="0.25">
      <c r="O30" s="30"/>
      <c r="P30" s="30"/>
      <c r="Q30" s="30"/>
      <c r="R30" s="30"/>
      <c r="T30" s="30"/>
      <c r="U30" s="30"/>
      <c r="V30" s="30"/>
      <c r="W30" s="30"/>
    </row>
    <row r="31" spans="1:30" x14ac:dyDescent="0.25">
      <c r="O31" s="30"/>
      <c r="P31" s="30"/>
      <c r="Q31" s="30"/>
      <c r="R31" s="30"/>
    </row>
    <row r="32" spans="1:30" x14ac:dyDescent="0.25">
      <c r="O32" s="78"/>
      <c r="P32" s="78"/>
      <c r="Q32" s="78"/>
      <c r="R32" s="78"/>
    </row>
    <row r="33" spans="15:18" x14ac:dyDescent="0.25">
      <c r="O33" s="78"/>
      <c r="P33" s="78"/>
      <c r="Q33" s="78"/>
      <c r="R33" s="78"/>
    </row>
    <row r="34" spans="15:18" x14ac:dyDescent="0.25">
      <c r="O34" s="78"/>
      <c r="P34" s="78"/>
      <c r="Q34" s="78"/>
      <c r="R34" s="78"/>
    </row>
    <row r="35" spans="15:18" x14ac:dyDescent="0.25">
      <c r="O35" s="78"/>
      <c r="P35" s="78"/>
      <c r="Q35" s="78"/>
      <c r="R35" s="78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31</vt:i4>
      </vt:variant>
    </vt:vector>
  </HeadingPairs>
  <TitlesOfParts>
    <vt:vector size="31" baseType="lpstr">
      <vt:lpstr>Ivan (2)</vt:lpstr>
      <vt:lpstr>Seleções</vt:lpstr>
      <vt:lpstr>Jean (2)</vt:lpstr>
      <vt:lpstr>Classificação</vt:lpstr>
      <vt:lpstr>Tabela</vt:lpstr>
      <vt:lpstr>Ivan</vt:lpstr>
      <vt:lpstr>Ivan_2</vt:lpstr>
      <vt:lpstr>Macélio</vt:lpstr>
      <vt:lpstr>BrunoTK</vt:lpstr>
      <vt:lpstr>Luis</vt:lpstr>
      <vt:lpstr>Gabriel</vt:lpstr>
      <vt:lpstr>Juninho1</vt:lpstr>
      <vt:lpstr>Juninho2</vt:lpstr>
      <vt:lpstr>Luana (2)</vt:lpstr>
      <vt:lpstr>Luana</vt:lpstr>
      <vt:lpstr>Mácio (2)</vt:lpstr>
      <vt:lpstr>Mácio</vt:lpstr>
      <vt:lpstr>Alex</vt:lpstr>
      <vt:lpstr>Jean</vt:lpstr>
      <vt:lpstr>Robert</vt:lpstr>
      <vt:lpstr>Roberto</vt:lpstr>
      <vt:lpstr>Andréia</vt:lpstr>
      <vt:lpstr>Joseir1</vt:lpstr>
      <vt:lpstr>Joseir2</vt:lpstr>
      <vt:lpstr>Ivani</vt:lpstr>
      <vt:lpstr>Josimar</vt:lpstr>
      <vt:lpstr>Julio</vt:lpstr>
      <vt:lpstr>Talita</vt:lpstr>
      <vt:lpstr>Anderson</vt:lpstr>
      <vt:lpstr>Cleófaz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2022-11-23T15:20:24Z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2022-11-23T15:20:24Z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f086f444-4d5c-4e02-963c-73d13f8b57dd</vt:lpwstr>
  </property>
  <property fmtid="{D5CDD505-2E9C-101B-9397-08002B2CF9AE}" pid="8" name="MSIP_Label_c06de4a7-0f08-40d9-aeea-6b6c28cbe58e_ContentBits">
    <vt:lpwstr>2</vt:lpwstr>
  </property>
</Properties>
</file>