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EBB98BAC-01AB-427C-9934-06D8A0B96744}" xr6:coauthVersionLast="47" xr6:coauthVersionMax="47" xr10:uidLastSave="{00000000-0000-0000-0000-000000000000}"/>
  <bookViews>
    <workbookView xWindow="-120" yWindow="-120" windowWidth="20730" windowHeight="11160" tabRatio="791" firstSheet="5" activeTab="5" xr2:uid="{779A00DC-359A-4F42-A9CB-BE9275E20E22}"/>
  </bookViews>
  <sheets>
    <sheet name="Ivan (2)" sheetId="36" state="hidden" r:id="rId1"/>
    <sheet name="Seleções" sheetId="4" state="hidden" r:id="rId2"/>
    <sheet name="Jean (2)" sheetId="39" state="hidden" r:id="rId3"/>
    <sheet name="Simulador" sheetId="40" state="hidden" r:id="rId4"/>
    <sheet name="Placar Exato" sheetId="41" r:id="rId5"/>
    <sheet name="Classificação" sheetId="31" r:id="rId6"/>
    <sheet name="Tabela" sheetId="1" r:id="rId7"/>
    <sheet name="Ivan Alex_1" sheetId="3" r:id="rId8"/>
    <sheet name="Ivan Alex_2" sheetId="10" r:id="rId9"/>
    <sheet name="Bruno Flores" sheetId="6" r:id="rId10"/>
    <sheet name="Luis" sheetId="29" r:id="rId11"/>
    <sheet name="Gabriel" sheetId="28" r:id="rId12"/>
    <sheet name="Juninho_1" sheetId="17" r:id="rId13"/>
    <sheet name="Juninho_2" sheetId="18" r:id="rId14"/>
    <sheet name="Luana (2)" sheetId="37" state="hidden" r:id="rId15"/>
    <sheet name="Luana" sheetId="12" r:id="rId16"/>
    <sheet name="Mácio (2)" sheetId="38" state="hidden" r:id="rId17"/>
    <sheet name="Macélio" sheetId="11" r:id="rId18"/>
    <sheet name="Ivani" sheetId="25" r:id="rId19"/>
    <sheet name="Mácio" sheetId="16" r:id="rId20"/>
    <sheet name="Alex" sheetId="13" r:id="rId21"/>
    <sheet name="Jean" sheetId="19" r:id="rId22"/>
    <sheet name="Robert" sheetId="20" r:id="rId23"/>
    <sheet name="Roberto" sheetId="21" r:id="rId24"/>
    <sheet name="Andréia" sheetId="22" r:id="rId25"/>
    <sheet name="Joseir_2" sheetId="24" r:id="rId26"/>
    <sheet name="Joseir_1" sheetId="23" r:id="rId27"/>
    <sheet name="Josimar" sheetId="26" r:id="rId28"/>
    <sheet name="Julio" sheetId="27" r:id="rId29"/>
    <sheet name="Talita" sheetId="30" r:id="rId30"/>
    <sheet name="Anderson" sheetId="32" r:id="rId31"/>
    <sheet name="Cléofaz" sheetId="34" r:id="rId32"/>
    <sheet name="NEW" sheetId="35" state="hidden" r:id="rId3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40" l="1"/>
  <c r="H25" i="40"/>
  <c r="E25" i="40"/>
  <c r="C25" i="40"/>
  <c r="G25" i="40" s="1"/>
  <c r="I24" i="40"/>
  <c r="H24" i="40"/>
  <c r="F24" i="40"/>
  <c r="E24" i="40"/>
  <c r="C24" i="40"/>
  <c r="G24" i="40" s="1"/>
  <c r="F23" i="40"/>
  <c r="C23" i="40"/>
  <c r="I23" i="40" s="1"/>
  <c r="C22" i="40"/>
  <c r="F22" i="40" s="1"/>
  <c r="I21" i="40"/>
  <c r="H21" i="40"/>
  <c r="E21" i="40"/>
  <c r="C21" i="40"/>
  <c r="G21" i="40" s="1"/>
  <c r="I20" i="40"/>
  <c r="H20" i="40"/>
  <c r="F20" i="40"/>
  <c r="E20" i="40"/>
  <c r="C20" i="40"/>
  <c r="G20" i="40" s="1"/>
  <c r="F19" i="40"/>
  <c r="C19" i="40"/>
  <c r="I19" i="40" s="1"/>
  <c r="C18" i="40"/>
  <c r="F18" i="40" s="1"/>
  <c r="I17" i="40"/>
  <c r="H17" i="40"/>
  <c r="E17" i="40"/>
  <c r="C17" i="40"/>
  <c r="G17" i="40" s="1"/>
  <c r="I16" i="40"/>
  <c r="H16" i="40"/>
  <c r="F16" i="40"/>
  <c r="E16" i="40"/>
  <c r="C16" i="40"/>
  <c r="G16" i="40" s="1"/>
  <c r="F15" i="40"/>
  <c r="C15" i="40"/>
  <c r="I15" i="40" s="1"/>
  <c r="C14" i="40"/>
  <c r="F14" i="40" s="1"/>
  <c r="I13" i="40"/>
  <c r="H13" i="40"/>
  <c r="E13" i="40"/>
  <c r="C13" i="40"/>
  <c r="G13" i="40" s="1"/>
  <c r="I12" i="40"/>
  <c r="H12" i="40"/>
  <c r="F12" i="40"/>
  <c r="E12" i="40"/>
  <c r="C12" i="40"/>
  <c r="G12" i="40" s="1"/>
  <c r="F11" i="40"/>
  <c r="C11" i="40"/>
  <c r="I11" i="40" s="1"/>
  <c r="C10" i="40"/>
  <c r="F10" i="40" s="1"/>
  <c r="I9" i="40"/>
  <c r="H9" i="40"/>
  <c r="E9" i="40"/>
  <c r="C9" i="40"/>
  <c r="G9" i="40" s="1"/>
  <c r="I8" i="40"/>
  <c r="H8" i="40"/>
  <c r="F8" i="40"/>
  <c r="E8" i="40"/>
  <c r="C8" i="40"/>
  <c r="G8" i="40" s="1"/>
  <c r="F7" i="40"/>
  <c r="C7" i="40"/>
  <c r="I7" i="40" s="1"/>
  <c r="C6" i="40"/>
  <c r="F6" i="40" s="1"/>
  <c r="I5" i="40"/>
  <c r="H5" i="40"/>
  <c r="E5" i="40"/>
  <c r="C5" i="40"/>
  <c r="G5" i="40" s="1"/>
  <c r="I4" i="40"/>
  <c r="H4" i="40"/>
  <c r="F4" i="40"/>
  <c r="E4" i="40"/>
  <c r="C4" i="40"/>
  <c r="G4" i="40" s="1"/>
  <c r="F3" i="40"/>
  <c r="C3" i="40"/>
  <c r="I3" i="40" s="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Q11" i="18"/>
  <c r="L14" i="31" s="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Q11" i="34"/>
  <c r="L18" i="31" s="1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Q11" i="30"/>
  <c r="L20" i="31" s="1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Q11" i="27"/>
  <c r="P22" i="31" s="1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Q11" i="26"/>
  <c r="L24" i="31" s="1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Q11" i="32"/>
  <c r="P24" i="31" s="1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Q11" i="25"/>
  <c r="L16" i="31" s="1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Q11" i="24"/>
  <c r="P19" i="31" s="1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Q11" i="23"/>
  <c r="L23" i="31" s="1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Q11" i="22"/>
  <c r="P17" i="31" s="1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Q11" i="21"/>
  <c r="L21" i="31" s="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Q11" i="20"/>
  <c r="P15" i="31" s="1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Q11" i="19"/>
  <c r="L15" i="31" s="1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Q11" i="13"/>
  <c r="L4" i="31" s="1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Q11" i="16"/>
  <c r="L8" i="31" s="1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Q11" i="12"/>
  <c r="L9" i="31" s="1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37"/>
  <c r="N56" i="37"/>
  <c r="M56" i="37"/>
  <c r="L56" i="37"/>
  <c r="K56" i="37"/>
  <c r="J56" i="37"/>
  <c r="O55" i="37"/>
  <c r="N55" i="37"/>
  <c r="M55" i="37"/>
  <c r="L55" i="37"/>
  <c r="K55" i="37"/>
  <c r="J55" i="37"/>
  <c r="O54" i="37"/>
  <c r="N54" i="37"/>
  <c r="M54" i="37"/>
  <c r="L54" i="37"/>
  <c r="K54" i="37"/>
  <c r="J54" i="37"/>
  <c r="O53" i="37"/>
  <c r="N53" i="37"/>
  <c r="M53" i="37"/>
  <c r="L53" i="37"/>
  <c r="K53" i="37"/>
  <c r="J53" i="37"/>
  <c r="O52" i="37"/>
  <c r="N52" i="37"/>
  <c r="M52" i="37"/>
  <c r="L52" i="37"/>
  <c r="K52" i="37"/>
  <c r="J52" i="37"/>
  <c r="O51" i="37"/>
  <c r="N51" i="37"/>
  <c r="M51" i="37"/>
  <c r="L51" i="37"/>
  <c r="K51" i="37"/>
  <c r="J51" i="37"/>
  <c r="J50" i="37"/>
  <c r="O49" i="37"/>
  <c r="N49" i="37"/>
  <c r="M49" i="37"/>
  <c r="L49" i="37"/>
  <c r="K49" i="37"/>
  <c r="J49" i="37"/>
  <c r="O48" i="37"/>
  <c r="N48" i="37"/>
  <c r="M48" i="37"/>
  <c r="L48" i="37"/>
  <c r="K48" i="37"/>
  <c r="J48" i="37"/>
  <c r="O47" i="37"/>
  <c r="N47" i="37"/>
  <c r="M47" i="37"/>
  <c r="L47" i="37"/>
  <c r="K47" i="37"/>
  <c r="J47" i="37"/>
  <c r="O46" i="37"/>
  <c r="N46" i="37"/>
  <c r="M46" i="37"/>
  <c r="L46" i="37"/>
  <c r="K46" i="37"/>
  <c r="J46" i="37"/>
  <c r="O45" i="37"/>
  <c r="N45" i="37"/>
  <c r="M45" i="37"/>
  <c r="L45" i="37"/>
  <c r="K45" i="37"/>
  <c r="J45" i="37"/>
  <c r="O44" i="37"/>
  <c r="N44" i="37"/>
  <c r="M44" i="37"/>
  <c r="L44" i="37"/>
  <c r="K44" i="37"/>
  <c r="J44" i="37"/>
  <c r="J43" i="37"/>
  <c r="O42" i="37"/>
  <c r="N42" i="37"/>
  <c r="M42" i="37"/>
  <c r="L42" i="37"/>
  <c r="K42" i="37"/>
  <c r="J42" i="37"/>
  <c r="O41" i="37"/>
  <c r="N41" i="37"/>
  <c r="M41" i="37"/>
  <c r="L41" i="37"/>
  <c r="K41" i="37"/>
  <c r="J41" i="37"/>
  <c r="O40" i="37"/>
  <c r="N40" i="37"/>
  <c r="M40" i="37"/>
  <c r="L40" i="37"/>
  <c r="K40" i="37"/>
  <c r="J40" i="37"/>
  <c r="O39" i="37"/>
  <c r="N39" i="37"/>
  <c r="M39" i="37"/>
  <c r="L39" i="37"/>
  <c r="K39" i="37"/>
  <c r="J39" i="37"/>
  <c r="O38" i="37"/>
  <c r="N38" i="37"/>
  <c r="M38" i="37"/>
  <c r="L38" i="37"/>
  <c r="K38" i="37"/>
  <c r="J38" i="37"/>
  <c r="O37" i="37"/>
  <c r="N37" i="37"/>
  <c r="M37" i="37"/>
  <c r="L37" i="37"/>
  <c r="K37" i="37"/>
  <c r="J37" i="37"/>
  <c r="J36" i="37"/>
  <c r="O35" i="37"/>
  <c r="N35" i="37"/>
  <c r="M35" i="37"/>
  <c r="L35" i="37"/>
  <c r="K35" i="37"/>
  <c r="J35" i="37"/>
  <c r="O34" i="37"/>
  <c r="N34" i="37"/>
  <c r="M34" i="37"/>
  <c r="L34" i="37"/>
  <c r="K34" i="37"/>
  <c r="J34" i="37"/>
  <c r="O33" i="37"/>
  <c r="N33" i="37"/>
  <c r="M33" i="37"/>
  <c r="L33" i="37"/>
  <c r="K33" i="37"/>
  <c r="J33" i="37"/>
  <c r="O32" i="37"/>
  <c r="N32" i="37"/>
  <c r="M32" i="37"/>
  <c r="L32" i="37"/>
  <c r="K32" i="37"/>
  <c r="J32" i="37"/>
  <c r="O31" i="37"/>
  <c r="N31" i="37"/>
  <c r="M31" i="37"/>
  <c r="L31" i="37"/>
  <c r="K31" i="37"/>
  <c r="J31" i="37"/>
  <c r="O30" i="37"/>
  <c r="N30" i="37"/>
  <c r="M30" i="37"/>
  <c r="L30" i="37"/>
  <c r="K30" i="37"/>
  <c r="J30" i="37"/>
  <c r="O28" i="37"/>
  <c r="N28" i="37"/>
  <c r="M28" i="37"/>
  <c r="L28" i="37"/>
  <c r="K28" i="37"/>
  <c r="J28" i="37"/>
  <c r="O27" i="37"/>
  <c r="N27" i="37"/>
  <c r="M27" i="37"/>
  <c r="L27" i="37"/>
  <c r="K27" i="37"/>
  <c r="J27" i="37"/>
  <c r="O26" i="37"/>
  <c r="N26" i="37"/>
  <c r="M26" i="37"/>
  <c r="L26" i="37"/>
  <c r="K26" i="37"/>
  <c r="J26" i="37"/>
  <c r="O25" i="37"/>
  <c r="N25" i="37"/>
  <c r="M25" i="37"/>
  <c r="L25" i="37"/>
  <c r="K25" i="37"/>
  <c r="J25" i="37"/>
  <c r="O24" i="37"/>
  <c r="N24" i="37"/>
  <c r="M24" i="37"/>
  <c r="L24" i="37"/>
  <c r="K24" i="37"/>
  <c r="J24" i="37"/>
  <c r="O23" i="37"/>
  <c r="N23" i="37"/>
  <c r="M23" i="37"/>
  <c r="L23" i="37"/>
  <c r="K23" i="37"/>
  <c r="J23" i="37"/>
  <c r="J22" i="37"/>
  <c r="O21" i="37"/>
  <c r="N21" i="37"/>
  <c r="M21" i="37"/>
  <c r="L21" i="37"/>
  <c r="K21" i="37"/>
  <c r="J21" i="37"/>
  <c r="O20" i="37"/>
  <c r="N20" i="37"/>
  <c r="M20" i="37"/>
  <c r="L20" i="37"/>
  <c r="K20" i="37"/>
  <c r="J20" i="37"/>
  <c r="O19" i="37"/>
  <c r="N19" i="37"/>
  <c r="M19" i="37"/>
  <c r="L19" i="37"/>
  <c r="K19" i="37"/>
  <c r="J19" i="37"/>
  <c r="O18" i="37"/>
  <c r="N18" i="37"/>
  <c r="M18" i="37"/>
  <c r="L18" i="37"/>
  <c r="K18" i="37"/>
  <c r="J18" i="37"/>
  <c r="O17" i="37"/>
  <c r="N17" i="37"/>
  <c r="M17" i="37"/>
  <c r="L17" i="37"/>
  <c r="K17" i="37"/>
  <c r="J17" i="37"/>
  <c r="O16" i="37"/>
  <c r="N16" i="37"/>
  <c r="M16" i="37"/>
  <c r="L16" i="37"/>
  <c r="K16" i="37"/>
  <c r="J16" i="37"/>
  <c r="J15" i="37"/>
  <c r="O14" i="37"/>
  <c r="N14" i="37"/>
  <c r="M14" i="37"/>
  <c r="L14" i="37"/>
  <c r="K14" i="37"/>
  <c r="J14" i="37"/>
  <c r="O13" i="37"/>
  <c r="N13" i="37"/>
  <c r="M13" i="37"/>
  <c r="L13" i="37"/>
  <c r="K13" i="37"/>
  <c r="J13" i="37"/>
  <c r="O12" i="37"/>
  <c r="N12" i="37"/>
  <c r="M12" i="37"/>
  <c r="L12" i="37"/>
  <c r="K12" i="37"/>
  <c r="J12" i="37"/>
  <c r="Q11" i="37"/>
  <c r="O11" i="37"/>
  <c r="N11" i="37"/>
  <c r="M11" i="37"/>
  <c r="L11" i="37"/>
  <c r="K11" i="37"/>
  <c r="J11" i="37"/>
  <c r="O10" i="37"/>
  <c r="N10" i="37"/>
  <c r="M10" i="37"/>
  <c r="L10" i="37"/>
  <c r="K10" i="37"/>
  <c r="J10" i="37"/>
  <c r="O9" i="37"/>
  <c r="N9" i="37"/>
  <c r="M9" i="37"/>
  <c r="L9" i="37"/>
  <c r="K9" i="37"/>
  <c r="J9" i="37"/>
  <c r="J8" i="37"/>
  <c r="O7" i="37"/>
  <c r="N7" i="37"/>
  <c r="M7" i="37"/>
  <c r="L7" i="37"/>
  <c r="K7" i="37"/>
  <c r="J7" i="37"/>
  <c r="O6" i="37"/>
  <c r="N6" i="37"/>
  <c r="M6" i="37"/>
  <c r="L6" i="37"/>
  <c r="K6" i="37"/>
  <c r="J6" i="37"/>
  <c r="O5" i="37"/>
  <c r="N5" i="37"/>
  <c r="M5" i="37"/>
  <c r="L5" i="37"/>
  <c r="K5" i="37"/>
  <c r="J5" i="37"/>
  <c r="O4" i="37"/>
  <c r="N4" i="37"/>
  <c r="M4" i="37"/>
  <c r="L4" i="37"/>
  <c r="K4" i="37"/>
  <c r="J4" i="37"/>
  <c r="O3" i="37"/>
  <c r="N3" i="37"/>
  <c r="M3" i="37"/>
  <c r="L3" i="37"/>
  <c r="K3" i="37"/>
  <c r="J3" i="37"/>
  <c r="O2" i="37"/>
  <c r="N2" i="37"/>
  <c r="M2" i="37"/>
  <c r="L2" i="37"/>
  <c r="K2" i="37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Q11" i="17"/>
  <c r="P9" i="31" s="1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Q11" i="28"/>
  <c r="P7" i="31" s="1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Q11" i="29"/>
  <c r="P8" i="31" s="1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Q11" i="6"/>
  <c r="P5" i="31" s="1"/>
  <c r="Q11" i="11"/>
  <c r="L7" i="31" s="1"/>
  <c r="Q11" i="10"/>
  <c r="P6" i="31" s="1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L19" i="40" l="1"/>
  <c r="P25" i="40"/>
  <c r="D19" i="40" s="1"/>
  <c r="L13" i="40"/>
  <c r="P24" i="40"/>
  <c r="D13" i="40" s="1"/>
  <c r="L21" i="40"/>
  <c r="P23" i="40"/>
  <c r="D21" i="40" s="1"/>
  <c r="L18" i="40"/>
  <c r="P22" i="40"/>
  <c r="D18" i="40" s="1"/>
  <c r="P21" i="40"/>
  <c r="D25" i="40" s="1"/>
  <c r="L25" i="40"/>
  <c r="L8" i="40"/>
  <c r="P20" i="40"/>
  <c r="D8" i="40" s="1"/>
  <c r="P19" i="40"/>
  <c r="D5" i="40" s="1"/>
  <c r="L5" i="40"/>
  <c r="L23" i="40"/>
  <c r="P18" i="40"/>
  <c r="D23" i="40" s="1"/>
  <c r="P17" i="40"/>
  <c r="D24" i="40" s="1"/>
  <c r="L24" i="40"/>
  <c r="P16" i="40"/>
  <c r="D17" i="40" s="1"/>
  <c r="L17" i="40"/>
  <c r="L10" i="40"/>
  <c r="P15" i="40"/>
  <c r="L12" i="40"/>
  <c r="P14" i="40"/>
  <c r="D12" i="40" s="1"/>
  <c r="L4" i="40"/>
  <c r="P13" i="40"/>
  <c r="D4" i="40" s="1"/>
  <c r="P12" i="40"/>
  <c r="D16" i="40" s="1"/>
  <c r="L16" i="40"/>
  <c r="P11" i="40"/>
  <c r="D20" i="40" s="1"/>
  <c r="L20" i="40"/>
  <c r="P10" i="40"/>
  <c r="D15" i="40" s="1"/>
  <c r="L15" i="40"/>
  <c r="L7" i="40"/>
  <c r="P9" i="40"/>
  <c r="D7" i="40" s="1"/>
  <c r="L22" i="40"/>
  <c r="P8" i="40"/>
  <c r="D22" i="40" s="1"/>
  <c r="L14" i="40"/>
  <c r="P7" i="40"/>
  <c r="D14" i="40" s="1"/>
  <c r="P6" i="40"/>
  <c r="D9" i="40" s="1"/>
  <c r="L9" i="40"/>
  <c r="L3" i="40"/>
  <c r="P5" i="40"/>
  <c r="D3" i="40" s="1"/>
  <c r="P3" i="40"/>
  <c r="D6" i="40" s="1"/>
  <c r="L6" i="40"/>
  <c r="G10" i="40"/>
  <c r="G14" i="40"/>
  <c r="G3" i="40"/>
  <c r="H6" i="40"/>
  <c r="G7" i="40"/>
  <c r="D10" i="40"/>
  <c r="H10" i="40"/>
  <c r="G11" i="40"/>
  <c r="H14" i="40"/>
  <c r="G15" i="40"/>
  <c r="H18" i="40"/>
  <c r="G19" i="40"/>
  <c r="H22" i="40"/>
  <c r="G23" i="40"/>
  <c r="G6" i="40"/>
  <c r="G18" i="40"/>
  <c r="G22" i="40"/>
  <c r="H3" i="40"/>
  <c r="F5" i="40"/>
  <c r="E6" i="40"/>
  <c r="I6" i="40"/>
  <c r="H7" i="40"/>
  <c r="F9" i="40"/>
  <c r="E10" i="40"/>
  <c r="I10" i="40"/>
  <c r="H11" i="40"/>
  <c r="F13" i="40"/>
  <c r="E14" i="40"/>
  <c r="I14" i="40"/>
  <c r="H15" i="40"/>
  <c r="F17" i="40"/>
  <c r="E18" i="40"/>
  <c r="I18" i="40"/>
  <c r="H19" i="40"/>
  <c r="F21" i="40"/>
  <c r="E22" i="40"/>
  <c r="I22" i="40"/>
  <c r="H23" i="40"/>
  <c r="F25" i="40"/>
  <c r="E3" i="40"/>
  <c r="E7" i="40"/>
  <c r="E11" i="40"/>
  <c r="E15" i="40"/>
  <c r="E19" i="40"/>
  <c r="E23" i="40"/>
  <c r="H23" i="3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3" i="31"/>
  <c r="P23" i="31"/>
  <c r="L19" i="31"/>
  <c r="P20" i="31"/>
  <c r="L11" i="31"/>
  <c r="P18" i="31"/>
  <c r="L25" i="31"/>
  <c r="P16" i="31"/>
  <c r="L6" i="31"/>
  <c r="P14" i="31"/>
  <c r="P13" i="31"/>
  <c r="P12" i="31"/>
  <c r="P11" i="31"/>
  <c r="P10" i="31"/>
  <c r="L10" i="31"/>
  <c r="L17" i="31"/>
  <c r="L12" i="31"/>
  <c r="L3" i="31"/>
  <c r="L22" i="31"/>
  <c r="P3" i="31"/>
  <c r="Q11" i="3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P4" i="40" l="1"/>
  <c r="D11" i="40" s="1"/>
  <c r="L11" i="40"/>
  <c r="D15" i="31"/>
  <c r="D17" i="31"/>
  <c r="D21" i="31"/>
  <c r="D25" i="31"/>
  <c r="D24" i="31"/>
  <c r="D16" i="31"/>
  <c r="D22" i="31"/>
  <c r="D20" i="31"/>
  <c r="D19" i="31"/>
  <c r="D18" i="31"/>
  <c r="D3" i="31"/>
  <c r="D23" i="31"/>
  <c r="D14" i="31"/>
  <c r="P4" i="31"/>
  <c r="D10" i="31" s="1"/>
  <c r="L5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AX29" i="36"/>
  <c r="AW29" i="36"/>
  <c r="AU29" i="36"/>
  <c r="AQ29" i="36"/>
  <c r="AL29" i="36"/>
  <c r="AK29" i="36"/>
  <c r="AI29" i="36"/>
  <c r="BC29" i="36" s="1"/>
  <c r="AE29" i="36"/>
  <c r="AX28" i="36"/>
  <c r="AW28" i="36"/>
  <c r="AU28" i="36"/>
  <c r="AQ28" i="36"/>
  <c r="AL28" i="36"/>
  <c r="AK28" i="36"/>
  <c r="AI28" i="36"/>
  <c r="BC28" i="36" s="1"/>
  <c r="AE28" i="36"/>
  <c r="AX27" i="36"/>
  <c r="AW27" i="36"/>
  <c r="AU27" i="36"/>
  <c r="AQ27" i="36"/>
  <c r="AL27" i="36"/>
  <c r="AK27" i="36"/>
  <c r="AI27" i="36"/>
  <c r="AE27" i="36"/>
  <c r="AX26" i="36"/>
  <c r="AW26" i="36"/>
  <c r="AU26" i="36"/>
  <c r="AQ26" i="36"/>
  <c r="AL26" i="36"/>
  <c r="AK26" i="36"/>
  <c r="AI26" i="36"/>
  <c r="AE26" i="36"/>
  <c r="AX25" i="36"/>
  <c r="AW25" i="36"/>
  <c r="AU25" i="36"/>
  <c r="AQ25" i="36"/>
  <c r="AL25" i="36"/>
  <c r="AK25" i="36"/>
  <c r="AI25" i="36"/>
  <c r="AE25" i="36"/>
  <c r="AX24" i="36"/>
  <c r="AW24" i="36"/>
  <c r="AU24" i="36"/>
  <c r="AQ24" i="36"/>
  <c r="AL24" i="36"/>
  <c r="AK24" i="36"/>
  <c r="AI24" i="36"/>
  <c r="AE24" i="36"/>
  <c r="AQ23" i="36"/>
  <c r="AE23" i="36"/>
  <c r="BC22" i="36"/>
  <c r="AX22" i="36"/>
  <c r="AW22" i="36"/>
  <c r="AU22" i="36"/>
  <c r="AQ22" i="36"/>
  <c r="AL22" i="36"/>
  <c r="AK22" i="36"/>
  <c r="AI22" i="36"/>
  <c r="AE22" i="36"/>
  <c r="AX21" i="36"/>
  <c r="AW21" i="36"/>
  <c r="AU21" i="36"/>
  <c r="AQ21" i="36"/>
  <c r="AL21" i="36"/>
  <c r="AK21" i="36"/>
  <c r="AI21" i="36"/>
  <c r="AE21" i="36"/>
  <c r="AX20" i="36"/>
  <c r="AW20" i="36"/>
  <c r="AU20" i="36"/>
  <c r="AQ20" i="36"/>
  <c r="AL20" i="36"/>
  <c r="AK20" i="36"/>
  <c r="AI20" i="36"/>
  <c r="AE20" i="36"/>
  <c r="AX19" i="36"/>
  <c r="AW19" i="36"/>
  <c r="AU19" i="36"/>
  <c r="AQ19" i="36"/>
  <c r="AL19" i="36"/>
  <c r="AK19" i="36"/>
  <c r="AI19" i="36"/>
  <c r="AE19" i="36"/>
  <c r="AX18" i="36"/>
  <c r="AW18" i="36"/>
  <c r="AU18" i="36"/>
  <c r="AQ18" i="36"/>
  <c r="AL18" i="36"/>
  <c r="AK18" i="36"/>
  <c r="AI18" i="36"/>
  <c r="AE18" i="36"/>
  <c r="AX17" i="36"/>
  <c r="AW17" i="36"/>
  <c r="AU17" i="36"/>
  <c r="AQ17" i="36"/>
  <c r="AL17" i="36"/>
  <c r="AK17" i="36"/>
  <c r="AI17" i="36"/>
  <c r="AE17" i="36"/>
  <c r="AQ16" i="36"/>
  <c r="AE16" i="36"/>
  <c r="AX15" i="36"/>
  <c r="AW15" i="36"/>
  <c r="AU15" i="36"/>
  <c r="AQ15" i="36"/>
  <c r="AL15" i="36"/>
  <c r="AK15" i="36"/>
  <c r="AI15" i="36"/>
  <c r="BC15" i="36" s="1"/>
  <c r="AE15" i="36"/>
  <c r="AX14" i="36"/>
  <c r="AW14" i="36"/>
  <c r="AU14" i="36"/>
  <c r="AQ14" i="36"/>
  <c r="AL14" i="36"/>
  <c r="AK14" i="36"/>
  <c r="AI14" i="36"/>
  <c r="BC14" i="36" s="1"/>
  <c r="AE14" i="36"/>
  <c r="AX13" i="36"/>
  <c r="AW13" i="36"/>
  <c r="AU13" i="36"/>
  <c r="AQ13" i="36"/>
  <c r="AL13" i="36"/>
  <c r="AK13" i="36"/>
  <c r="AI13" i="36"/>
  <c r="AE13" i="36"/>
  <c r="AX12" i="36"/>
  <c r="AW12" i="36"/>
  <c r="AU12" i="36"/>
  <c r="AQ12" i="36"/>
  <c r="AL12" i="36"/>
  <c r="AK12" i="36"/>
  <c r="AI12" i="36"/>
  <c r="AE12" i="36"/>
  <c r="AX11" i="36"/>
  <c r="AW11" i="36"/>
  <c r="AU11" i="36"/>
  <c r="AQ11" i="36"/>
  <c r="AL11" i="36"/>
  <c r="AK11" i="36"/>
  <c r="AI11" i="36"/>
  <c r="AE11" i="36"/>
  <c r="AX10" i="36"/>
  <c r="AW10" i="36"/>
  <c r="AU10" i="36"/>
  <c r="AQ10" i="36"/>
  <c r="AL10" i="36"/>
  <c r="AK10" i="36"/>
  <c r="AI10" i="36"/>
  <c r="AE10" i="36"/>
  <c r="AQ9" i="36"/>
  <c r="AE9" i="36"/>
  <c r="AX8" i="36"/>
  <c r="AW8" i="36"/>
  <c r="AU8" i="36"/>
  <c r="AQ8" i="36"/>
  <c r="AL8" i="36"/>
  <c r="AK8" i="36"/>
  <c r="AI8" i="36"/>
  <c r="AE8" i="36"/>
  <c r="AX7" i="36"/>
  <c r="AW7" i="36"/>
  <c r="AU7" i="36"/>
  <c r="AQ7" i="36"/>
  <c r="AL7" i="36"/>
  <c r="AK7" i="36"/>
  <c r="AI7" i="36"/>
  <c r="AE7" i="36"/>
  <c r="AX6" i="36"/>
  <c r="AW6" i="36"/>
  <c r="AU6" i="36"/>
  <c r="AQ6" i="36"/>
  <c r="AL6" i="36"/>
  <c r="AK6" i="36"/>
  <c r="AI6" i="36"/>
  <c r="AE6" i="36"/>
  <c r="AX5" i="36"/>
  <c r="AW5" i="36"/>
  <c r="AU5" i="36"/>
  <c r="AQ5" i="36"/>
  <c r="AL5" i="36"/>
  <c r="AK5" i="36"/>
  <c r="AI5" i="36"/>
  <c r="AE5" i="36"/>
  <c r="AX4" i="36"/>
  <c r="AW4" i="36"/>
  <c r="AU4" i="36"/>
  <c r="AQ4" i="36"/>
  <c r="AL4" i="36"/>
  <c r="AK4" i="36"/>
  <c r="AI4" i="36"/>
  <c r="AE4" i="36"/>
  <c r="BC3" i="36"/>
  <c r="AX3" i="36"/>
  <c r="AW3" i="36"/>
  <c r="AU3" i="36"/>
  <c r="AQ3" i="36"/>
  <c r="AL3" i="36"/>
  <c r="AE3" i="36"/>
  <c r="AQ2" i="36"/>
  <c r="AE2" i="36"/>
  <c r="AA28" i="35"/>
  <c r="Z28" i="35"/>
  <c r="X28" i="35"/>
  <c r="T28" i="35"/>
  <c r="O28" i="35"/>
  <c r="N28" i="35"/>
  <c r="L28" i="35"/>
  <c r="H28" i="35"/>
  <c r="AA27" i="35"/>
  <c r="Z27" i="35"/>
  <c r="X27" i="35"/>
  <c r="T27" i="35"/>
  <c r="O27" i="35"/>
  <c r="N27" i="35"/>
  <c r="L27" i="35"/>
  <c r="H27" i="35"/>
  <c r="AA26" i="35"/>
  <c r="Z26" i="35"/>
  <c r="X26" i="35"/>
  <c r="T26" i="35"/>
  <c r="O26" i="35"/>
  <c r="N26" i="35"/>
  <c r="L26" i="35"/>
  <c r="H26" i="35"/>
  <c r="AA25" i="35"/>
  <c r="Z25" i="35"/>
  <c r="X25" i="35"/>
  <c r="T25" i="35"/>
  <c r="O25" i="35"/>
  <c r="N25" i="35"/>
  <c r="L25" i="35"/>
  <c r="H25" i="35"/>
  <c r="AA24" i="35"/>
  <c r="Z24" i="35"/>
  <c r="X24" i="35"/>
  <c r="T24" i="35"/>
  <c r="O24" i="35"/>
  <c r="N24" i="35"/>
  <c r="L24" i="35"/>
  <c r="H24" i="35"/>
  <c r="AA23" i="35"/>
  <c r="Z23" i="35"/>
  <c r="X23" i="35"/>
  <c r="T23" i="35"/>
  <c r="O23" i="35"/>
  <c r="N23" i="35"/>
  <c r="L23" i="35"/>
  <c r="H23" i="35"/>
  <c r="AA22" i="35"/>
  <c r="Z22" i="35"/>
  <c r="X22" i="35"/>
  <c r="T22" i="35"/>
  <c r="O22" i="35"/>
  <c r="N22" i="35"/>
  <c r="L22" i="35"/>
  <c r="H22" i="35"/>
  <c r="AA21" i="35"/>
  <c r="Z21" i="35"/>
  <c r="X21" i="35"/>
  <c r="T21" i="35"/>
  <c r="O21" i="35"/>
  <c r="N21" i="35"/>
  <c r="L21" i="35"/>
  <c r="H21" i="35"/>
  <c r="AA20" i="35"/>
  <c r="Z20" i="35"/>
  <c r="X20" i="35"/>
  <c r="T20" i="35"/>
  <c r="O20" i="35"/>
  <c r="N20" i="35"/>
  <c r="L20" i="35"/>
  <c r="H20" i="35"/>
  <c r="AA19" i="35"/>
  <c r="Z19" i="35"/>
  <c r="X19" i="35"/>
  <c r="T19" i="35"/>
  <c r="O19" i="35"/>
  <c r="N19" i="35"/>
  <c r="L19" i="35"/>
  <c r="H19" i="35"/>
  <c r="AA18" i="35"/>
  <c r="Z18" i="35"/>
  <c r="X18" i="35"/>
  <c r="T18" i="35"/>
  <c r="O18" i="35"/>
  <c r="N18" i="35"/>
  <c r="L18" i="35"/>
  <c r="H18" i="35"/>
  <c r="AA17" i="35"/>
  <c r="Z17" i="35"/>
  <c r="X17" i="35"/>
  <c r="T17" i="35"/>
  <c r="O17" i="35"/>
  <c r="N17" i="35"/>
  <c r="L17" i="35"/>
  <c r="H17" i="35"/>
  <c r="AA16" i="35"/>
  <c r="Z16" i="35"/>
  <c r="X16" i="35"/>
  <c r="T16" i="35"/>
  <c r="O16" i="35"/>
  <c r="N16" i="35"/>
  <c r="L16" i="35"/>
  <c r="H16" i="35"/>
  <c r="AA15" i="35"/>
  <c r="Z15" i="35"/>
  <c r="X15" i="35"/>
  <c r="T15" i="35"/>
  <c r="O15" i="35"/>
  <c r="N15" i="35"/>
  <c r="L15" i="35"/>
  <c r="H15" i="35"/>
  <c r="AA14" i="35"/>
  <c r="Z14" i="35"/>
  <c r="X14" i="35"/>
  <c r="T14" i="35"/>
  <c r="O14" i="35"/>
  <c r="N14" i="35"/>
  <c r="L14" i="35"/>
  <c r="H14" i="35"/>
  <c r="AA13" i="35"/>
  <c r="Z13" i="35"/>
  <c r="X13" i="35"/>
  <c r="T13" i="35"/>
  <c r="O13" i="35"/>
  <c r="N13" i="35"/>
  <c r="L13" i="35"/>
  <c r="H13" i="35"/>
  <c r="AA12" i="35"/>
  <c r="Z12" i="35"/>
  <c r="X12" i="35"/>
  <c r="T12" i="35"/>
  <c r="O12" i="35"/>
  <c r="N12" i="35"/>
  <c r="L12" i="35"/>
  <c r="H12" i="35"/>
  <c r="AA11" i="35"/>
  <c r="Z11" i="35"/>
  <c r="X11" i="35"/>
  <c r="T11" i="35"/>
  <c r="O11" i="35"/>
  <c r="N11" i="35"/>
  <c r="L11" i="35"/>
  <c r="H11" i="35"/>
  <c r="AA10" i="35"/>
  <c r="Z10" i="35"/>
  <c r="X10" i="35"/>
  <c r="T10" i="35"/>
  <c r="O10" i="35"/>
  <c r="N10" i="35"/>
  <c r="L10" i="35"/>
  <c r="H10" i="35"/>
  <c r="AA9" i="35"/>
  <c r="Z9" i="35"/>
  <c r="X9" i="35"/>
  <c r="T9" i="35"/>
  <c r="O9" i="35"/>
  <c r="N9" i="35"/>
  <c r="L9" i="35"/>
  <c r="H9" i="35"/>
  <c r="AA8" i="35"/>
  <c r="Z8" i="35"/>
  <c r="X8" i="35"/>
  <c r="T8" i="35"/>
  <c r="O8" i="35"/>
  <c r="N8" i="35"/>
  <c r="L8" i="35"/>
  <c r="H8" i="35"/>
  <c r="AA7" i="35"/>
  <c r="Z7" i="35"/>
  <c r="X7" i="35"/>
  <c r="T7" i="35"/>
  <c r="O7" i="35"/>
  <c r="N7" i="35"/>
  <c r="L7" i="35"/>
  <c r="H7" i="35"/>
  <c r="AA6" i="35"/>
  <c r="Z6" i="35"/>
  <c r="X6" i="35"/>
  <c r="T6" i="35"/>
  <c r="O6" i="35"/>
  <c r="N6" i="35"/>
  <c r="L6" i="35"/>
  <c r="H6" i="35"/>
  <c r="AA5" i="35"/>
  <c r="Z5" i="35"/>
  <c r="X5" i="35"/>
  <c r="T5" i="35"/>
  <c r="O5" i="35"/>
  <c r="N5" i="35"/>
  <c r="L5" i="35"/>
  <c r="H5" i="35"/>
  <c r="AA4" i="35"/>
  <c r="Z4" i="35"/>
  <c r="X4" i="35"/>
  <c r="T4" i="35"/>
  <c r="O4" i="35"/>
  <c r="N4" i="35"/>
  <c r="L4" i="35"/>
  <c r="H4" i="35"/>
  <c r="AA3" i="35"/>
  <c r="Z3" i="35"/>
  <c r="X3" i="35"/>
  <c r="T3" i="35"/>
  <c r="O3" i="35"/>
  <c r="N3" i="35"/>
  <c r="L3" i="35"/>
  <c r="H3" i="35"/>
  <c r="AA2" i="35"/>
  <c r="Z2" i="35"/>
  <c r="X2" i="35"/>
  <c r="T2" i="35"/>
  <c r="O2" i="35"/>
  <c r="N2" i="35"/>
  <c r="L2" i="35"/>
  <c r="H2" i="35"/>
  <c r="V12" i="1"/>
  <c r="V16" i="1" s="1"/>
  <c r="BC27" i="36" l="1"/>
  <c r="BC26" i="36"/>
  <c r="D4" i="31"/>
  <c r="D12" i="31"/>
  <c r="D13" i="31"/>
  <c r="D11" i="31"/>
  <c r="D7" i="31"/>
  <c r="D9" i="31"/>
  <c r="D6" i="31"/>
  <c r="D8" i="31"/>
  <c r="D5" i="31"/>
  <c r="BC10" i="36"/>
  <c r="BC25" i="36"/>
  <c r="BC20" i="36"/>
  <c r="BC21" i="36"/>
  <c r="BC4" i="36"/>
  <c r="BC19" i="36"/>
  <c r="BC13" i="36"/>
  <c r="BC12" i="36"/>
  <c r="BC8" i="36"/>
  <c r="BC7" i="36"/>
  <c r="BC6" i="36"/>
  <c r="BC5" i="36"/>
  <c r="BC24" i="36"/>
  <c r="BC18" i="36"/>
  <c r="BC17" i="36"/>
  <c r="BC11" i="36"/>
  <c r="R16" i="1"/>
  <c r="R12" i="1"/>
  <c r="R8" i="1"/>
</calcChain>
</file>

<file path=xl/sharedStrings.xml><?xml version="1.0" encoding="utf-8"?>
<sst xmlns="http://schemas.openxmlformats.org/spreadsheetml/2006/main" count="5282" uniqueCount="327">
  <si>
    <t xml:space="preserve">-------------------- </t>
  </si>
  <si>
    <t>Grupo A</t>
  </si>
  <si>
    <t xml:space="preserve">Senegal 1 X 2 Holanda </t>
  </si>
  <si>
    <t xml:space="preserve">Holanda 1 X 1 Equador </t>
  </si>
  <si>
    <t>Holanda 2 X 0 Catar</t>
  </si>
  <si>
    <t>Grupo B</t>
  </si>
  <si>
    <t xml:space="preserve">EUA 1 X 0 Gales </t>
  </si>
  <si>
    <t xml:space="preserve">Gales 1 X 1 Irã </t>
  </si>
  <si>
    <t xml:space="preserve">Inglaterra 2 X 1 EUA </t>
  </si>
  <si>
    <t>Grupo C</t>
  </si>
  <si>
    <t xml:space="preserve">México 1 X 1 Polônia </t>
  </si>
  <si>
    <t>Polônia 1 X 2 Argentina</t>
  </si>
  <si>
    <t>Arábia Saudita 0 X 1 México</t>
  </si>
  <si>
    <t>Grupo D</t>
  </si>
  <si>
    <t>Dinamarca 1 X 1 Tunísia</t>
  </si>
  <si>
    <t>França 2 X 1 Austrália</t>
  </si>
  <si>
    <t xml:space="preserve">Grupo E </t>
  </si>
  <si>
    <t xml:space="preserve">Espanha 2 X 3 Alemanha </t>
  </si>
  <si>
    <t xml:space="preserve">Japão 2 X 2 Espanha </t>
  </si>
  <si>
    <t xml:space="preserve">Grupo F </t>
  </si>
  <si>
    <t xml:space="preserve">Croácia 2 X 1 Canadá </t>
  </si>
  <si>
    <t xml:space="preserve">Canadá 1 X 0 Marrocos </t>
  </si>
  <si>
    <t xml:space="preserve">Grupo G </t>
  </si>
  <si>
    <t xml:space="preserve">Suíça 2 X 1 Camarões </t>
  </si>
  <si>
    <t xml:space="preserve">Camarões 1 X 1 Sérvia </t>
  </si>
  <si>
    <t xml:space="preserve">Brasil 2 X 1 Suíça </t>
  </si>
  <si>
    <t xml:space="preserve">Camarões 0 X 4 Brasil </t>
  </si>
  <si>
    <t xml:space="preserve">Grupo H </t>
  </si>
  <si>
    <t xml:space="preserve">Catar 1 X 2 Equador </t>
  </si>
  <si>
    <t>Inglaterra 2 X 0 Irã</t>
  </si>
  <si>
    <t xml:space="preserve">Argentina 2 X 1 México </t>
  </si>
  <si>
    <t xml:space="preserve">Alemanha 2 X 0 Japão </t>
  </si>
  <si>
    <t xml:space="preserve">Marrocos 1 X 2 Croácia </t>
  </si>
  <si>
    <t xml:space="preserve">Suíça 1 X 0 Camarões </t>
  </si>
  <si>
    <t xml:space="preserve">Brasil 2 X 0 Sérvia </t>
  </si>
  <si>
    <t xml:space="preserve">Sérvia 1 X 2 Suíça </t>
  </si>
  <si>
    <t xml:space="preserve">Coreia do Sul 2 X 1 Gana </t>
  </si>
  <si>
    <t xml:space="preserve">Portugal 2 X 2 Uruguai </t>
  </si>
  <si>
    <t>Alemanha</t>
  </si>
  <si>
    <t>Arábia Saudita</t>
  </si>
  <si>
    <t>Argentina</t>
  </si>
  <si>
    <t>Austrália</t>
  </si>
  <si>
    <t>Bélgica</t>
  </si>
  <si>
    <t>Brasil</t>
  </si>
  <si>
    <t>Camarões</t>
  </si>
  <si>
    <t>Canadá</t>
  </si>
  <si>
    <t>Catar</t>
  </si>
  <si>
    <t>Coreia do Sul</t>
  </si>
  <si>
    <t>Costa Rica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</si>
  <si>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</si>
  <si>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</si>
  <si>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</si>
  <si>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</si>
  <si>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</si>
  <si>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</si>
  <si>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</si>
  <si>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</si>
  <si>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</si>
  <si>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</si>
  <si>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</si>
  <si>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</si>
  <si>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</si>
  <si>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</si>
  <si>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</si>
  <si>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</si>
  <si>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</si>
  <si>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</si>
  <si>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</si>
  <si>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</si>
  <si>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</si>
  <si>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</si>
  <si>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</si>
  <si>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</si>
  <si>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</si>
  <si>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</si>
  <si>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</si>
  <si>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</si>
  <si>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</si>
  <si>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Holanda 2 X 1 Catar</t>
  </si>
  <si>
    <t>Equador 1 X 2 Senegal</t>
  </si>
  <si>
    <t xml:space="preserve">Irã 1 X 1 EUA </t>
  </si>
  <si>
    <t xml:space="preserve">Japão 1 X 0 Costa Rica </t>
  </si>
  <si>
    <t xml:space="preserve">Bélgica 2 X 0 Canadá </t>
  </si>
  <si>
    <t xml:space="preserve">Bélgica 2 X 0 Marrocos </t>
  </si>
  <si>
    <t xml:space="preserve">Croácia 1 X 1 Bélgica </t>
  </si>
  <si>
    <t xml:space="preserve">Catar 1 X 2 Senegal </t>
  </si>
  <si>
    <t>Gales 0 X 3 Inglaterra</t>
  </si>
  <si>
    <t>Polônia 2 X 0 Arábia Saudita</t>
  </si>
  <si>
    <t>ARTILHEIRO:</t>
  </si>
  <si>
    <t>CAMPEÃO:</t>
  </si>
  <si>
    <t>Equador 1 X 0 Senegal</t>
  </si>
  <si>
    <t>Argentina 3 X 0 Arábia Saudita</t>
  </si>
  <si>
    <t>Tunísia 0 X 0 Austrália</t>
  </si>
  <si>
    <t xml:space="preserve">França 2 X 0 Dinamarca </t>
  </si>
  <si>
    <t xml:space="preserve">Tunísia 0 X 3 França </t>
  </si>
  <si>
    <t xml:space="preserve">Austrália 1 X 0 Dinamarca </t>
  </si>
  <si>
    <t xml:space="preserve">Espanha 2 X 1 Costa Rica </t>
  </si>
  <si>
    <t xml:space="preserve">Costa Rica 0 X 4 Alemanha </t>
  </si>
  <si>
    <t xml:space="preserve">Marrocos 1 X 3 Croácia </t>
  </si>
  <si>
    <t xml:space="preserve">Bélgica 2 X 1 Canadá </t>
  </si>
  <si>
    <t xml:space="preserve">Uruguai 2 X 1 Coreia do Sul </t>
  </si>
  <si>
    <t xml:space="preserve">Portugal 1 X 0 Gana </t>
  </si>
  <si>
    <t xml:space="preserve">Coreia do Sul 1 X 1 Portugal </t>
  </si>
  <si>
    <t xml:space="preserve">Gana 1 X 2 Uruguai </t>
  </si>
  <si>
    <t xml:space="preserve"> IVAN ALEX</t>
  </si>
  <si>
    <t xml:space="preserve">NOME: </t>
  </si>
  <si>
    <t xml:space="preserve">EUA 2 X 0 Gales </t>
  </si>
  <si>
    <t xml:space="preserve">Irã 1 X 3 EUA </t>
  </si>
  <si>
    <t>Polônia 1 X 3 Argentina</t>
  </si>
  <si>
    <t xml:space="preserve">Tunísia 1 X 3 França </t>
  </si>
  <si>
    <t xml:space="preserve">Sérvia 1 X 1 Suíça </t>
  </si>
  <si>
    <t xml:space="preserve">Senegal 0 X 3 Holanda </t>
  </si>
  <si>
    <t>Tunísia 1 X 2 Austrália</t>
  </si>
  <si>
    <t>Canadá 1 X 0 Marrocos</t>
  </si>
  <si>
    <t xml:space="preserve">Brasil 3 X 0 Suíça </t>
  </si>
  <si>
    <t xml:space="preserve">Camarões 1 X 2 Sérvia </t>
  </si>
  <si>
    <t xml:space="preserve">Bélgica 2 X 1 Marrocos </t>
  </si>
  <si>
    <t xml:space="preserve">Japão 1 X 2 Espanha </t>
  </si>
  <si>
    <t>França 3 X 1 Austrália</t>
  </si>
  <si>
    <t xml:space="preserve">México 2 X 1 Polônia </t>
  </si>
  <si>
    <t xml:space="preserve">Irã 1 X 2 EUA </t>
  </si>
  <si>
    <t xml:space="preserve">Portugal 2 X 2 Gana </t>
  </si>
  <si>
    <t>Gana 2 X 1 Uruguai</t>
  </si>
  <si>
    <t xml:space="preserve">Camarões 1 X 3 Sérvia </t>
  </si>
  <si>
    <t xml:space="preserve">Camarões 1 X 4 Brasil </t>
  </si>
  <si>
    <t xml:space="preserve">Croácia 3 X 2 Canadá </t>
  </si>
  <si>
    <t xml:space="preserve">Croácia 2 X 3 Bélgica </t>
  </si>
  <si>
    <t>Canadá 2 X 0 Marrocos</t>
  </si>
  <si>
    <t xml:space="preserve">Alemanha 3 X 1 Japão </t>
  </si>
  <si>
    <t>Dinamarca 2 X 1 Tunísia</t>
  </si>
  <si>
    <t>Tunísia 2 X 2 Austrália</t>
  </si>
  <si>
    <t xml:space="preserve">Austrália 2 X 2 Dinamarca </t>
  </si>
  <si>
    <t xml:space="preserve">Argentina 2 X 2 México </t>
  </si>
  <si>
    <t>Polônia 0 X 1 Argentina</t>
  </si>
  <si>
    <t>Inglaterra 3 X 0 Irã</t>
  </si>
  <si>
    <t xml:space="preserve">Gales 1 X 2 Irã </t>
  </si>
  <si>
    <t xml:space="preserve">Inglaterra 2 X 2 EUA </t>
  </si>
  <si>
    <t>Gales 1 X 3 Inglaterra</t>
  </si>
  <si>
    <t xml:space="preserve">Catar 2 X 2 Equador </t>
  </si>
  <si>
    <t xml:space="preserve">Catar 1 X 3 Senegal </t>
  </si>
  <si>
    <t xml:space="preserve">Holanda 3 X 2 Equador </t>
  </si>
  <si>
    <t xml:space="preserve"> MÁCIO</t>
  </si>
  <si>
    <t>1º: Neymar - Brasil</t>
  </si>
  <si>
    <t>2º: Mbappé - França</t>
  </si>
  <si>
    <t xml:space="preserve">1º: Brasil </t>
  </si>
  <si>
    <t xml:space="preserve">2º: Bélgica </t>
  </si>
  <si>
    <t xml:space="preserve">1º: França </t>
  </si>
  <si>
    <t>1º: Mbappe (França)</t>
  </si>
  <si>
    <t>2º: Messi (Argentina)</t>
  </si>
  <si>
    <t xml:space="preserve">2º: Argentina </t>
  </si>
  <si>
    <t>1º: Neymar</t>
  </si>
  <si>
    <t>2º: Pedro</t>
  </si>
  <si>
    <t>1º: Harry Kane / Inglaterra</t>
  </si>
  <si>
    <t>2º: Neymar / Brasil</t>
  </si>
  <si>
    <t xml:space="preserve">1º: Inglaterra </t>
  </si>
  <si>
    <t xml:space="preserve">2º: Brasil </t>
  </si>
  <si>
    <t>1º: Harry Cane / Inglaterra</t>
  </si>
  <si>
    <t>2º: Memphis Depay / Holanda</t>
  </si>
  <si>
    <t xml:space="preserve">2º: França </t>
  </si>
  <si>
    <t xml:space="preserve">2º: Espanha </t>
  </si>
  <si>
    <t>1º: Memphis Depay / Holanda</t>
  </si>
  <si>
    <t>2º: Harry Cane / Inglaterra</t>
  </si>
  <si>
    <t>1º: Messi - Argentina</t>
  </si>
  <si>
    <t>2º: Pedro - Brasil</t>
  </si>
  <si>
    <t>1º: Neymar Brasil</t>
  </si>
  <si>
    <t>2º: Messi Argentina</t>
  </si>
  <si>
    <t>2º: Argentina</t>
  </si>
  <si>
    <t>1º: Richarlyson - Brasil</t>
  </si>
  <si>
    <t>2º: Messi - Argentina</t>
  </si>
  <si>
    <t xml:space="preserve">1º: Mbape França </t>
  </si>
  <si>
    <t>2º: Richarlisson Brasil</t>
  </si>
  <si>
    <t>2º: Alemanha</t>
  </si>
  <si>
    <t xml:space="preserve">Portugal 4 X 0 Gana </t>
  </si>
  <si>
    <t xml:space="preserve">Gana 1 X 4 Uruguai </t>
  </si>
  <si>
    <t xml:space="preserve">Brasil 3 X 1 Sérvia </t>
  </si>
  <si>
    <t xml:space="preserve">Brasil 2 X 0 Suíça </t>
  </si>
  <si>
    <t xml:space="preserve">Sérvia 1 X 3 Suíça </t>
  </si>
  <si>
    <t xml:space="preserve">Croácia 3 X 1 Canadá </t>
  </si>
  <si>
    <t xml:space="preserve">Croácia 1 X 3 Bélgica </t>
  </si>
  <si>
    <t xml:space="preserve">Alemanha 4 X 2 Japão </t>
  </si>
  <si>
    <t xml:space="preserve">Espanha 1 X 3 Alemanha </t>
  </si>
  <si>
    <t>França 4 X 0 Austrália</t>
  </si>
  <si>
    <t xml:space="preserve">França 3 X 1 Dinamarca </t>
  </si>
  <si>
    <t>Austrália 1 X 1 Dinamarca</t>
  </si>
  <si>
    <t xml:space="preserve">Argentina 2 X 3 México </t>
  </si>
  <si>
    <t xml:space="preserve">EUA 4 X 1 Gales </t>
  </si>
  <si>
    <t xml:space="preserve">Inglaterra 2 X 4 EUA </t>
  </si>
  <si>
    <t xml:space="preserve">Holanda 3 X 0 Equador </t>
  </si>
  <si>
    <t>Equador 0 X 1 Senegal</t>
  </si>
  <si>
    <t xml:space="preserve"> JEAN</t>
  </si>
  <si>
    <t>1º: Neymar/Brasil</t>
  </si>
  <si>
    <t>2º: Cristiano Ronaldo/Portugal</t>
  </si>
  <si>
    <t>Catar x Equador - INVÁLIDO</t>
  </si>
  <si>
    <t>2º: Messi/Argentina</t>
  </si>
  <si>
    <t xml:space="preserve">2º: Holanda </t>
  </si>
  <si>
    <t>1º: Neymar BR</t>
  </si>
  <si>
    <t xml:space="preserve">2º: Vinício Jr </t>
  </si>
  <si>
    <t xml:space="preserve">1º: Espanha </t>
  </si>
  <si>
    <t>2º: Austrália</t>
  </si>
  <si>
    <t>1º: Richarlyson BR</t>
  </si>
  <si>
    <t>2º: Messi AG</t>
  </si>
  <si>
    <t>2º: Raphinha</t>
  </si>
  <si>
    <t xml:space="preserve">2º: Estados Unidos </t>
  </si>
  <si>
    <t xml:space="preserve">1º: Neymar Brasil </t>
  </si>
  <si>
    <t>1º: Cristiano Ronaldo/Portugal</t>
  </si>
  <si>
    <t xml:space="preserve">2º: Kylian Mbappé/França </t>
  </si>
  <si>
    <t xml:space="preserve">2º: Portugal </t>
  </si>
  <si>
    <t>1º: Mbappe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</si>
  <si>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</si>
  <si>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</si>
  <si>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</si>
  <si>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</si>
  <si>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</si>
  <si>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</si>
  <si>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</si>
  <si>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</si>
  <si>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 xml:space="preserve">1º: Mbape France </t>
  </si>
  <si>
    <t xml:space="preserve">2º: Mapape França </t>
  </si>
  <si>
    <t>2º: França</t>
  </si>
  <si>
    <t xml:space="preserve">1º: Neymar/Brasil </t>
  </si>
  <si>
    <t xml:space="preserve">2º: Mbappé/França </t>
  </si>
  <si>
    <t>APOSTA</t>
  </si>
  <si>
    <t>RESULTADO</t>
  </si>
  <si>
    <t>TOTAL DE PONTOS</t>
  </si>
  <si>
    <t xml:space="preserve">1º: Harry Kane Inglaterra </t>
  </si>
  <si>
    <t>2º: Leonel Messi Argentina</t>
  </si>
  <si>
    <t>SUA APOSTA</t>
  </si>
  <si>
    <t>RESULTADO FINAL</t>
  </si>
  <si>
    <t>BRASIL</t>
  </si>
  <si>
    <t>SÉRVIA</t>
  </si>
  <si>
    <t>X</t>
  </si>
  <si>
    <t>EUA</t>
  </si>
  <si>
    <t>ArábiaSaudita</t>
  </si>
  <si>
    <t>CostaRica</t>
  </si>
  <si>
    <t>CoreiadoSul</t>
  </si>
  <si>
    <t>Pontos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</si>
  <si>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</si>
  <si>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</si>
  <si>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</si>
  <si>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</si>
  <si>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</si>
  <si>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</si>
  <si>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</si>
  <si>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</si>
  <si>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</si>
  <si>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 xml:space="preserve">Espanha 2 X 0 CostaRica </t>
  </si>
  <si>
    <t>CoreiaDoSul</t>
  </si>
  <si>
    <t>ArábiaSaudita 0 X 1 México</t>
  </si>
  <si>
    <t>Polônia 2 X 1 ArábiaSaudita</t>
  </si>
  <si>
    <t>ArábiaSaudita 1 X 2 México</t>
  </si>
  <si>
    <t>Polônia 2 X 0 ArábiaSaudita</t>
  </si>
  <si>
    <t>Argentina 3 X 0 ArábiaSaudita</t>
  </si>
  <si>
    <t>ArábiaSaudita 1 X 3 México</t>
  </si>
  <si>
    <t>Argentina 4 X 1 ArábiaSaudita</t>
  </si>
  <si>
    <t xml:space="preserve">Japão 1 X 0 CostaRica </t>
  </si>
  <si>
    <t xml:space="preserve">Espanha 3 X 1 CostaRica </t>
  </si>
  <si>
    <t xml:space="preserve">Japão 2 X 2 CostaRica </t>
  </si>
  <si>
    <t>CostaRica 0 X 2 Alemanha</t>
  </si>
  <si>
    <t>CostaRica 2 X 4 Alemanha</t>
  </si>
  <si>
    <t xml:space="preserve">Espanha 2 X 1 CostaRica </t>
  </si>
  <si>
    <t xml:space="preserve">CostaRica 0 X 4 Alemanha </t>
  </si>
  <si>
    <t xml:space="preserve">CoreiaDoSul 1 X 2 Gana </t>
  </si>
  <si>
    <t xml:space="preserve">CoreiaDoSul 0 X 2 Portugal </t>
  </si>
  <si>
    <t xml:space="preserve">Uruguai 2 X 1 CoreiaDoSul </t>
  </si>
  <si>
    <t xml:space="preserve">Uruguai 3 X 1 CoreiaDoSul </t>
  </si>
  <si>
    <t xml:space="preserve">CoreiaDoSul 0 X 2 Gana </t>
  </si>
  <si>
    <t xml:space="preserve">Uruguai 4 X 1 CoreiaDoSul </t>
  </si>
  <si>
    <t xml:space="preserve">CoreiaDoSul 1 X 1 Portugal </t>
  </si>
  <si>
    <t xml:space="preserve">CoreiaDoSul 2 X 1 Gana </t>
  </si>
  <si>
    <t>N</t>
  </si>
  <si>
    <t>Ivan Alex_2</t>
  </si>
  <si>
    <t>Macélio</t>
  </si>
  <si>
    <t>Luis</t>
  </si>
  <si>
    <t>Gabriel</t>
  </si>
  <si>
    <t>Z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</si>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</sst>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40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0" fillId="5" borderId="10" xfId="0" applyFill="1" applyBorder="1"/>
    <xf numFmtId="0" fontId="0" fillId="5" borderId="0" xfId="0" applyFill="1" applyBorder="1"/>
    <xf numFmtId="0" fontId="0" fillId="5" borderId="17" xfId="0" applyFill="1" applyBorder="1"/>
    <xf numFmtId="0" fontId="0" fillId="6" borderId="17" xfId="0" applyFont="1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17" xfId="0" applyFill="1" applyBorder="1"/>
    <xf numFmtId="0" fontId="0" fillId="7" borderId="20" xfId="0" applyFill="1" applyBorder="1"/>
    <xf numFmtId="0" fontId="2" fillId="2" borderId="14" xfId="0" applyFont="1" applyFill="1" applyBorder="1" applyAlignment="1">
      <alignment horizontal="right" vertical="center"/>
    </xf>
    <xf numFmtId="0" fontId="3" fillId="8" borderId="10" xfId="0" applyFont="1" applyFill="1" applyBorder="1"/>
    <xf numFmtId="0" fontId="4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 vertical="center"/>
    </xf>
    <xf numFmtId="0" fontId="12" fillId="18" borderId="5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18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8" fillId="18" borderId="5" xfId="0" applyFont="1" applyFill="1" applyBorder="1" applyAlignment="1">
      <alignment horizontal="center" vertical="center" wrapText="1"/>
    </xf>
    <xf numFmtId="0" fontId="18" fillId="18" borderId="6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9" borderId="4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20" borderId="4" xfId="0" applyFill="1" applyBorder="1" applyAlignment="1">
      <alignment horizontal="center" vertical="center"/>
    </xf>
    <xf numFmtId="0" fontId="0" fillId="20" borderId="5" xfId="0" applyFill="1" applyBorder="1" applyAlignment="1">
      <alignment horizontal="center" vertical="center"/>
    </xf>
    <xf numFmtId="0" fontId="0" fillId="2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15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left" vertical="center"/>
    </xf>
    <xf numFmtId="0" fontId="0" fillId="10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6" fillId="3" borderId="5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13" borderId="29" xfId="0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/>
    </xf>
    <xf numFmtId="0" fontId="8" fillId="7" borderId="32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9" fillId="12" borderId="30" xfId="0" applyFont="1" applyFill="1" applyBorder="1" applyAlignment="1">
      <alignment horizontal="center" vertical="center"/>
    </xf>
    <xf numFmtId="0" fontId="9" fillId="12" borderId="5" xfId="0" applyFont="1" applyFill="1" applyBorder="1" applyAlignment="1">
      <alignment horizontal="center" vertical="center"/>
    </xf>
    <xf numFmtId="0" fontId="9" fillId="12" borderId="29" xfId="0" applyFont="1" applyFill="1" applyBorder="1" applyAlignment="1">
      <alignment horizontal="center" vertical="center"/>
    </xf>
    <xf numFmtId="0" fontId="7" fillId="14" borderId="30" xfId="0" applyFont="1" applyFill="1" applyBorder="1" applyAlignment="1">
      <alignment horizontal="center" vertical="center"/>
    </xf>
    <xf numFmtId="0" fontId="7" fillId="14" borderId="5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39" xfId="0" applyFont="1" applyFill="1" applyBorder="1" applyAlignment="1">
      <alignment horizontal="center" vertical="center"/>
    </xf>
    <xf numFmtId="0" fontId="10" fillId="15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0" fontId="8" fillId="7" borderId="39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5" fillId="0" borderId="24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5" fillId="0" borderId="26" xfId="0" applyNumberFormat="1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center"/>
    </xf>
    <xf numFmtId="164" fontId="5" fillId="0" borderId="28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25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28" xfId="0" applyNumberFormat="1" applyFont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1" fillId="5" borderId="23" xfId="0" applyFont="1" applyFill="1" applyBorder="1" applyAlignment="1">
      <alignment horizontal="center" vertical="center"/>
    </xf>
    <xf numFmtId="0" fontId="2" fillId="11" borderId="21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22" xfId="0" applyFont="1" applyFill="1" applyBorder="1" applyAlignment="1">
      <alignment horizontal="center" vertical="center"/>
    </xf>
    <xf numFmtId="0" fontId="1" fillId="9" borderId="23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30427</xdr:colOff>
      <xdr:row>21</xdr:row>
      <xdr:rowOff>187854</xdr:rowOff>
    </xdr:from>
    <xdr:to>
      <xdr:col>66</xdr:col>
      <xdr:colOff>83343</xdr:colOff>
      <xdr:row>26</xdr:row>
      <xdr:rowOff>119061</xdr:rowOff>
    </xdr:to>
    <xdr:sp macro="[0]!aplicarResulta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CE9553-EB04-4863-9658-416E97FA4D33}"/>
            </a:ext>
          </a:extLst>
        </xdr:cNvPr>
        <xdr:cNvSpPr/>
      </xdr:nvSpPr>
      <xdr:spPr>
        <a:xfrm>
          <a:off x="18194602" y="4235979"/>
          <a:ext cx="2053166" cy="8932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Aplicar Resultado</a:t>
          </a:r>
        </a:p>
      </xdr:txBody>
    </xdr:sp>
    <xdr:clientData/>
  </xdr:twoCellAnchor>
  <xdr:twoCellAnchor>
    <xdr:from>
      <xdr:col>60</xdr:col>
      <xdr:colOff>107156</xdr:colOff>
      <xdr:row>20</xdr:row>
      <xdr:rowOff>23813</xdr:rowOff>
    </xdr:from>
    <xdr:to>
      <xdr:col>61</xdr:col>
      <xdr:colOff>178594</xdr:colOff>
      <xdr:row>21</xdr:row>
      <xdr:rowOff>107156</xdr:rowOff>
    </xdr:to>
    <xdr:sp macro="[0]!zerarPontuacao" textlink="">
      <xdr:nvSpPr>
        <xdr:cNvPr id="3" name="Elipse 2">
          <a:extLst>
            <a:ext uri="{FF2B5EF4-FFF2-40B4-BE49-F238E27FC236}">
              <a16:creationId xmlns:a16="http://schemas.microsoft.com/office/drawing/2014/main" id="{F0C15B29-158C-4F7A-84CA-4D9D687335AB}"/>
            </a:ext>
          </a:extLst>
        </xdr:cNvPr>
        <xdr:cNvSpPr/>
      </xdr:nvSpPr>
      <xdr:spPr>
        <a:xfrm>
          <a:off x="19071431" y="3881438"/>
          <a:ext cx="271463" cy="273843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6CD70C8-2C41-4897-B319-46551FDE5CD1}"/>
            </a:ext>
          </a:extLst>
        </xdr:cNvPr>
        <xdr:cNvSpPr/>
      </xdr:nvSpPr>
      <xdr:spPr>
        <a:xfrm>
          <a:off x="9258368" y="116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31C2B37-E81B-45CC-A1A5-88816A7E8E75}"/>
            </a:ext>
          </a:extLst>
        </xdr:cNvPr>
        <xdr:cNvSpPr/>
      </xdr:nvSpPr>
      <xdr:spPr>
        <a:xfrm>
          <a:off x="9258368" y="136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D0451CC-E9CA-4FB7-92CD-A74340B95FC0}"/>
            </a:ext>
          </a:extLst>
        </xdr:cNvPr>
        <xdr:cNvSpPr/>
      </xdr:nvSpPr>
      <xdr:spPr>
        <a:xfrm>
          <a:off x="9258368" y="155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CD7299C-3AB5-42F9-A02C-0C472599F31D}"/>
            </a:ext>
          </a:extLst>
        </xdr:cNvPr>
        <xdr:cNvSpPr/>
      </xdr:nvSpPr>
      <xdr:spPr>
        <a:xfrm>
          <a:off x="9258368" y="1741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E2BF6F3-C93C-4D2A-9B57-1060162BD669}"/>
            </a:ext>
          </a:extLst>
        </xdr:cNvPr>
        <xdr:cNvSpPr/>
      </xdr:nvSpPr>
      <xdr:spPr>
        <a:xfrm>
          <a:off x="9258368" y="1931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9684938-9E10-4E9E-BE69-BCF39856FA6B}"/>
            </a:ext>
          </a:extLst>
        </xdr:cNvPr>
        <xdr:cNvSpPr/>
      </xdr:nvSpPr>
      <xdr:spPr>
        <a:xfrm>
          <a:off x="9258368" y="2122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F7DE4F5-439F-47EC-8D7A-52A8F87396AA}"/>
            </a:ext>
          </a:extLst>
        </xdr:cNvPr>
        <xdr:cNvSpPr/>
      </xdr:nvSpPr>
      <xdr:spPr>
        <a:xfrm>
          <a:off x="9258368" y="2312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B8AEDAE-4711-47AA-9170-40A6C3654826}"/>
            </a:ext>
          </a:extLst>
        </xdr:cNvPr>
        <xdr:cNvSpPr/>
      </xdr:nvSpPr>
      <xdr:spPr>
        <a:xfrm>
          <a:off x="9258368" y="2503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7C020CF-6774-4889-8624-F5EEB7A5CE38}"/>
            </a:ext>
          </a:extLst>
        </xdr:cNvPr>
        <xdr:cNvSpPr/>
      </xdr:nvSpPr>
      <xdr:spPr>
        <a:xfrm>
          <a:off x="9258368" y="2693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F47F5FE4-6F6A-404C-87C3-A19D7209BB9C}"/>
            </a:ext>
          </a:extLst>
        </xdr:cNvPr>
        <xdr:cNvSpPr/>
      </xdr:nvSpPr>
      <xdr:spPr>
        <a:xfrm>
          <a:off x="9258368" y="2884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E01F245-9D01-4AAD-A9F7-625934AB2DCE}"/>
            </a:ext>
          </a:extLst>
        </xdr:cNvPr>
        <xdr:cNvSpPr/>
      </xdr:nvSpPr>
      <xdr:spPr>
        <a:xfrm>
          <a:off x="9258368" y="3074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7D1F953D-5F39-4AFB-90BA-576D15D260AE}"/>
            </a:ext>
          </a:extLst>
        </xdr:cNvPr>
        <xdr:cNvSpPr/>
      </xdr:nvSpPr>
      <xdr:spPr>
        <a:xfrm>
          <a:off x="9258368" y="3265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6CFBC487-FA71-462F-B825-A52FADDA2545}"/>
            </a:ext>
          </a:extLst>
        </xdr:cNvPr>
        <xdr:cNvSpPr/>
      </xdr:nvSpPr>
      <xdr:spPr>
        <a:xfrm>
          <a:off x="9258368" y="3455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4CB2FBFE-5F06-4E98-927E-B38CB09DAA0B}"/>
            </a:ext>
          </a:extLst>
        </xdr:cNvPr>
        <xdr:cNvSpPr/>
      </xdr:nvSpPr>
      <xdr:spPr>
        <a:xfrm>
          <a:off x="9258368" y="3646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1BF663A-2D23-422F-BDC6-AAAC186A4AC4}"/>
            </a:ext>
          </a:extLst>
        </xdr:cNvPr>
        <xdr:cNvSpPr/>
      </xdr:nvSpPr>
      <xdr:spPr>
        <a:xfrm>
          <a:off x="9258368" y="3836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4B1F6A19-6440-4E6E-89D3-CC27A7453EEC}"/>
            </a:ext>
          </a:extLst>
        </xdr:cNvPr>
        <xdr:cNvSpPr/>
      </xdr:nvSpPr>
      <xdr:spPr>
        <a:xfrm>
          <a:off x="9258368" y="4027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E4566E4B-5609-4C9D-987B-E9FB74002FA4}"/>
            </a:ext>
          </a:extLst>
        </xdr:cNvPr>
        <xdr:cNvSpPr/>
      </xdr:nvSpPr>
      <xdr:spPr>
        <a:xfrm>
          <a:off x="9258368" y="4217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EEA75BD3-B160-4514-AE7F-6416715EFDFB}"/>
            </a:ext>
          </a:extLst>
        </xdr:cNvPr>
        <xdr:cNvSpPr/>
      </xdr:nvSpPr>
      <xdr:spPr>
        <a:xfrm>
          <a:off x="9258368" y="4408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AE93718-5B5B-44F9-8632-76DB960BD295}"/>
            </a:ext>
          </a:extLst>
        </xdr:cNvPr>
        <xdr:cNvSpPr/>
      </xdr:nvSpPr>
      <xdr:spPr>
        <a:xfrm>
          <a:off x="9258368" y="4598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C8760A87-B093-4B78-872D-5B693CA267EB}"/>
            </a:ext>
          </a:extLst>
        </xdr:cNvPr>
        <xdr:cNvSpPr/>
      </xdr:nvSpPr>
      <xdr:spPr>
        <a:xfrm>
          <a:off x="9258368" y="4789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DFFA7652-90CC-4DE5-BF40-E2E3F7A670A8}"/>
            </a:ext>
          </a:extLst>
        </xdr:cNvPr>
        <xdr:cNvSpPr/>
      </xdr:nvSpPr>
      <xdr:spPr>
        <a:xfrm>
          <a:off x="9258368" y="4979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2EE7124-F59E-4B39-B0F6-EF742F209609}"/>
            </a:ext>
          </a:extLst>
        </xdr:cNvPr>
        <xdr:cNvSpPr/>
      </xdr:nvSpPr>
      <xdr:spPr>
        <a:xfrm>
          <a:off x="9258368" y="5170319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3BED155B-2028-488F-84AA-9000C135FA4C}"/>
            </a:ext>
          </a:extLst>
        </xdr:cNvPr>
        <xdr:cNvSpPr/>
      </xdr:nvSpPr>
      <xdr:spPr>
        <a:xfrm>
          <a:off x="9258368" y="5360639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AADCF165-3FD8-4F6D-8C67-D3C6416F8832}"/>
            </a:ext>
          </a:extLst>
        </xdr:cNvPr>
        <xdr:cNvSpPr/>
      </xdr:nvSpPr>
      <xdr:spPr>
        <a:xfrm>
          <a:off x="8956862" y="460003"/>
          <a:ext cx="1778372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06EDA9EE-502D-4627-95ED-BA9B65770A00}"/>
            </a:ext>
          </a:extLst>
        </xdr:cNvPr>
        <xdr:cNvSpPr/>
      </xdr:nvSpPr>
      <xdr:spPr>
        <a:xfrm>
          <a:off x="10869706" y="460001"/>
          <a:ext cx="1822077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212912</xdr:colOff>
      <xdr:row>1</xdr:row>
      <xdr:rowOff>145678</xdr:rowOff>
    </xdr:from>
    <xdr:to>
      <xdr:col>15</xdr:col>
      <xdr:colOff>67234</xdr:colOff>
      <xdr:row>1</xdr:row>
      <xdr:rowOff>705972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10746441" y="459443"/>
          <a:ext cx="1781734" cy="5602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Update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201706</xdr:colOff>
      <xdr:row>1</xdr:row>
      <xdr:rowOff>145676</xdr:rowOff>
    </xdr:from>
    <xdr:to>
      <xdr:col>20</xdr:col>
      <xdr:colOff>347383</xdr:colOff>
      <xdr:row>1</xdr:row>
      <xdr:rowOff>717176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10869706" y="459441"/>
          <a:ext cx="182655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Limpar Simulação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3512F3-896D-4F30-9D2E-168E630C12D4}"/>
            </a:ext>
          </a:extLst>
        </xdr:cNvPr>
        <xdr:cNvSpPr/>
      </xdr:nvSpPr>
      <xdr:spPr>
        <a:xfrm>
          <a:off x="8391525" y="276226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56030</xdr:rowOff>
    </xdr:from>
    <xdr:to>
      <xdr:col>20</xdr:col>
      <xdr:colOff>246529</xdr:colOff>
      <xdr:row>21</xdr:row>
      <xdr:rowOff>11207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2CFAA18-E2F8-48FB-B31A-50AAB0027E77}"/>
            </a:ext>
          </a:extLst>
        </xdr:cNvPr>
        <xdr:cNvSpPr/>
      </xdr:nvSpPr>
      <xdr:spPr>
        <a:xfrm>
          <a:off x="8695765" y="3294530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990860-51BF-4C6D-9734-898F3010BD8B}"/>
            </a:ext>
          </a:extLst>
        </xdr:cNvPr>
        <xdr:cNvSpPr/>
      </xdr:nvSpPr>
      <xdr:spPr>
        <a:xfrm>
          <a:off x="7905750" y="266700"/>
          <a:ext cx="13811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100853</xdr:rowOff>
    </xdr:from>
    <xdr:to>
      <xdr:col>20</xdr:col>
      <xdr:colOff>280146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B312EC7-D4EF-4B63-8F1E-F8A2767EA3CC}"/>
            </a:ext>
          </a:extLst>
        </xdr:cNvPr>
        <xdr:cNvSpPr/>
      </xdr:nvSpPr>
      <xdr:spPr>
        <a:xfrm>
          <a:off x="8729382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F421C38-1FAE-4FE7-AC9C-758DE4C56E79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112059</xdr:rowOff>
    </xdr:from>
    <xdr:to>
      <xdr:col>20</xdr:col>
      <xdr:colOff>280147</xdr:colOff>
      <xdr:row>21</xdr:row>
      <xdr:rowOff>67236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C5E244-AD98-4FB5-9E4D-8A22AC2F2A8A}"/>
            </a:ext>
          </a:extLst>
        </xdr:cNvPr>
        <xdr:cNvSpPr/>
      </xdr:nvSpPr>
      <xdr:spPr>
        <a:xfrm>
          <a:off x="8729383" y="3350559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BE2406-F45A-4DE4-A4F0-3C10CC8A4B0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67236</xdr:rowOff>
    </xdr:from>
    <xdr:to>
      <xdr:col>20</xdr:col>
      <xdr:colOff>291352</xdr:colOff>
      <xdr:row>21</xdr:row>
      <xdr:rowOff>22413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99CF932-F4C3-496E-8773-516032D0C6BE}"/>
            </a:ext>
          </a:extLst>
        </xdr:cNvPr>
        <xdr:cNvSpPr/>
      </xdr:nvSpPr>
      <xdr:spPr>
        <a:xfrm>
          <a:off x="8740588" y="3305736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53C5D3-8B99-4C30-8C56-F3C3D66E88FE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145677</xdr:colOff>
      <xdr:row>17</xdr:row>
      <xdr:rowOff>78441</xdr:rowOff>
    </xdr:from>
    <xdr:to>
      <xdr:col>20</xdr:col>
      <xdr:colOff>268941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21BA85-AA72-497D-8576-D76B28CE0632}"/>
            </a:ext>
          </a:extLst>
        </xdr:cNvPr>
        <xdr:cNvSpPr/>
      </xdr:nvSpPr>
      <xdr:spPr>
        <a:xfrm>
          <a:off x="8718177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06A4513-96E0-4C1A-8017-0207D5BBB58C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78441</xdr:rowOff>
    </xdr:from>
    <xdr:to>
      <xdr:col>20</xdr:col>
      <xdr:colOff>246529</xdr:colOff>
      <xdr:row>21</xdr:row>
      <xdr:rowOff>33618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870CB5-D98C-498B-89FE-9E95230C6C54}"/>
            </a:ext>
          </a:extLst>
        </xdr:cNvPr>
        <xdr:cNvSpPr/>
      </xdr:nvSpPr>
      <xdr:spPr>
        <a:xfrm>
          <a:off x="8695765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D15CFFA-8396-4FD2-9EEC-34CEC0F880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5B05E9C-994A-4A97-A4F5-09F21C939C84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67546DE-9723-4B4E-8959-7D222DD80233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2A7DB25-FF85-4385-A05C-27A2813CC1E4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112058</xdr:rowOff>
    </xdr:from>
    <xdr:to>
      <xdr:col>20</xdr:col>
      <xdr:colOff>246529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A867288-3C59-4517-A1EE-09A3D5D82E89}"/>
            </a:ext>
          </a:extLst>
        </xdr:cNvPr>
        <xdr:cNvSpPr/>
      </xdr:nvSpPr>
      <xdr:spPr>
        <a:xfrm>
          <a:off x="8695765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56</xdr:row>
      <xdr:rowOff>0</xdr:rowOff>
    </xdr:from>
    <xdr:to>
      <xdr:col>17</xdr:col>
      <xdr:colOff>314324</xdr:colOff>
      <xdr:row>57</xdr:row>
      <xdr:rowOff>180975</xdr:rowOff>
    </xdr:to>
    <xdr:sp macro="[0]!copiarUpdates" textlink="">
      <xdr:nvSpPr>
        <xdr:cNvPr id="2" name="Retângulo 1">
          <a:extLst>
            <a:ext uri="{FF2B5EF4-FFF2-40B4-BE49-F238E27FC236}">
              <a16:creationId xmlns:a16="http://schemas.microsoft.com/office/drawing/2014/main" id="{B26BE285-E34F-431E-BA14-C433B2B90A24}"/>
            </a:ext>
          </a:extLst>
        </xdr:cNvPr>
        <xdr:cNvSpPr/>
      </xdr:nvSpPr>
      <xdr:spPr>
        <a:xfrm>
          <a:off x="11811000" y="10706100"/>
          <a:ext cx="1533524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DAB416-AEC7-4CA4-B4F0-92155A872215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100853</xdr:colOff>
      <xdr:row>17</xdr:row>
      <xdr:rowOff>89648</xdr:rowOff>
    </xdr:from>
    <xdr:to>
      <xdr:col>20</xdr:col>
      <xdr:colOff>224117</xdr:colOff>
      <xdr:row>21</xdr:row>
      <xdr:rowOff>44825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AD70AB8-1752-43B9-8872-792F22F18724}"/>
            </a:ext>
          </a:extLst>
        </xdr:cNvPr>
        <xdr:cNvSpPr/>
      </xdr:nvSpPr>
      <xdr:spPr>
        <a:xfrm>
          <a:off x="8673353" y="332814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ECDE99B-5951-4E6B-8A52-986570F52A5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112059</xdr:colOff>
      <xdr:row>17</xdr:row>
      <xdr:rowOff>78441</xdr:rowOff>
    </xdr:from>
    <xdr:to>
      <xdr:col>20</xdr:col>
      <xdr:colOff>235323</xdr:colOff>
      <xdr:row>21</xdr:row>
      <xdr:rowOff>33618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8684559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76200</xdr:rowOff>
    </xdr:from>
    <xdr:to>
      <xdr:col>20</xdr:col>
      <xdr:colOff>200025</xdr:colOff>
      <xdr:row>4</xdr:row>
      <xdr:rowOff>142874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BFC1C10-37FB-49F1-A078-3CD01A6C36E7}"/>
            </a:ext>
          </a:extLst>
        </xdr:cNvPr>
        <xdr:cNvSpPr/>
      </xdr:nvSpPr>
      <xdr:spPr>
        <a:xfrm>
          <a:off x="8667750" y="266700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78441</xdr:rowOff>
    </xdr:from>
    <xdr:to>
      <xdr:col>20</xdr:col>
      <xdr:colOff>257735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2696FDE-93BB-4769-AFC6-77DF2D315946}"/>
            </a:ext>
          </a:extLst>
        </xdr:cNvPr>
        <xdr:cNvSpPr/>
      </xdr:nvSpPr>
      <xdr:spPr>
        <a:xfrm>
          <a:off x="8706971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E03CF08-7253-4BDB-8F6A-AC2D8C83F355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0106F10-69E7-46AE-BD96-B93AC96A5FD2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247650</xdr:colOff>
      <xdr:row>69</xdr:row>
      <xdr:rowOff>114300</xdr:rowOff>
    </xdr:from>
    <xdr:to>
      <xdr:col>30</xdr:col>
      <xdr:colOff>133350</xdr:colOff>
      <xdr:row>71</xdr:row>
      <xdr:rowOff>161925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002C610-31FC-4D07-8BE0-CFFD68341CFB}"/>
            </a:ext>
          </a:extLst>
        </xdr:cNvPr>
        <xdr:cNvSpPr/>
      </xdr:nvSpPr>
      <xdr:spPr>
        <a:xfrm>
          <a:off x="11887200" y="13258800"/>
          <a:ext cx="17907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C8B2289-BE1E-4D0B-9B58-76E06CEC78AC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156882</xdr:colOff>
      <xdr:row>17</xdr:row>
      <xdr:rowOff>78441</xdr:rowOff>
    </xdr:from>
    <xdr:to>
      <xdr:col>20</xdr:col>
      <xdr:colOff>280146</xdr:colOff>
      <xdr:row>21</xdr:row>
      <xdr:rowOff>33618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7AA67F6-ADDB-4263-8EDA-9951E448C13F}"/>
            </a:ext>
          </a:extLst>
        </xdr:cNvPr>
        <xdr:cNvSpPr/>
      </xdr:nvSpPr>
      <xdr:spPr>
        <a:xfrm>
          <a:off x="8729382" y="3316941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82</xdr:row>
      <xdr:rowOff>0</xdr:rowOff>
    </xdr:from>
    <xdr:to>
      <xdr:col>25</xdr:col>
      <xdr:colOff>419100</xdr:colOff>
      <xdr:row>84</xdr:row>
      <xdr:rowOff>47625</xdr:rowOff>
    </xdr:to>
    <xdr:sp macro="[0]!copiarUpdat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BD1EB35-C61E-42DC-8221-81E922DB1131}"/>
            </a:ext>
          </a:extLst>
        </xdr:cNvPr>
        <xdr:cNvSpPr/>
      </xdr:nvSpPr>
      <xdr:spPr>
        <a:xfrm>
          <a:off x="16078200" y="16040100"/>
          <a:ext cx="163830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Copiar Update</a:t>
          </a:r>
        </a:p>
      </xdr:txBody>
    </xdr:sp>
    <xdr:clientData/>
  </xdr:twoCellAnchor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CC010EE-FEEE-4F87-B8A5-35498A641DA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67235</xdr:rowOff>
    </xdr:from>
    <xdr:to>
      <xdr:col>20</xdr:col>
      <xdr:colOff>246528</xdr:colOff>
      <xdr:row>21</xdr:row>
      <xdr:rowOff>22412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3B712E-C38E-4B4B-843D-96D609D9A858}"/>
            </a:ext>
          </a:extLst>
        </xdr:cNvPr>
        <xdr:cNvSpPr/>
      </xdr:nvSpPr>
      <xdr:spPr>
        <a:xfrm>
          <a:off x="8695764" y="330573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B69D6CE-27A7-40F3-A0DE-4A1371712F28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4379F04-3C8D-44AC-872D-6528B28F52CF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AA85180-39A5-4AD3-83EE-F56B4BE91333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168088</xdr:colOff>
      <xdr:row>17</xdr:row>
      <xdr:rowOff>89647</xdr:rowOff>
    </xdr:from>
    <xdr:to>
      <xdr:col>20</xdr:col>
      <xdr:colOff>291352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FE15ADD-0DC7-448C-8DF9-DD5F822748DE}"/>
            </a:ext>
          </a:extLst>
        </xdr:cNvPr>
        <xdr:cNvSpPr/>
      </xdr:nvSpPr>
      <xdr:spPr>
        <a:xfrm>
          <a:off x="8740588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3814591-86E0-460D-89CA-719AF47706B4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156883</xdr:colOff>
      <xdr:row>17</xdr:row>
      <xdr:rowOff>123265</xdr:rowOff>
    </xdr:from>
    <xdr:to>
      <xdr:col>20</xdr:col>
      <xdr:colOff>280147</xdr:colOff>
      <xdr:row>21</xdr:row>
      <xdr:rowOff>78442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EC6F1B8-8EE8-4B14-BCE2-12A0CD0E9B57}"/>
            </a:ext>
          </a:extLst>
        </xdr:cNvPr>
        <xdr:cNvSpPr/>
      </xdr:nvSpPr>
      <xdr:spPr>
        <a:xfrm>
          <a:off x="8729383" y="3361765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1CAAD0-84EA-45E2-8A92-4A7E0687DD5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134470</xdr:colOff>
      <xdr:row>17</xdr:row>
      <xdr:rowOff>89647</xdr:rowOff>
    </xdr:from>
    <xdr:to>
      <xdr:col>20</xdr:col>
      <xdr:colOff>257734</xdr:colOff>
      <xdr:row>21</xdr:row>
      <xdr:rowOff>44824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8DAC84-8FCF-4F58-9593-7612CB128B94}"/>
            </a:ext>
          </a:extLst>
        </xdr:cNvPr>
        <xdr:cNvSpPr/>
      </xdr:nvSpPr>
      <xdr:spPr>
        <a:xfrm>
          <a:off x="8706970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88E4FD8-E3D6-4AA2-A8BD-C5E9FB18C1AD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100853</xdr:rowOff>
    </xdr:from>
    <xdr:to>
      <xdr:col>20</xdr:col>
      <xdr:colOff>246529</xdr:colOff>
      <xdr:row>21</xdr:row>
      <xdr:rowOff>56030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28DDF35-09C1-4BB1-9AA0-17D8A9576226}"/>
            </a:ext>
          </a:extLst>
        </xdr:cNvPr>
        <xdr:cNvSpPr/>
      </xdr:nvSpPr>
      <xdr:spPr>
        <a:xfrm>
          <a:off x="8695765" y="3339353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4C7D42F-2951-49E7-8839-FA5D254A5F4A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134471</xdr:colOff>
      <xdr:row>17</xdr:row>
      <xdr:rowOff>89647</xdr:rowOff>
    </xdr:from>
    <xdr:to>
      <xdr:col>20</xdr:col>
      <xdr:colOff>257735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8170200-0BF8-4F30-971D-90C79B5F1816}"/>
            </a:ext>
          </a:extLst>
        </xdr:cNvPr>
        <xdr:cNvSpPr/>
      </xdr:nvSpPr>
      <xdr:spPr>
        <a:xfrm>
          <a:off x="8706971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06C0EFB-6637-4538-A3EF-A4C08FD426E2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123264</xdr:colOff>
      <xdr:row>17</xdr:row>
      <xdr:rowOff>112058</xdr:rowOff>
    </xdr:from>
    <xdr:to>
      <xdr:col>20</xdr:col>
      <xdr:colOff>246528</xdr:colOff>
      <xdr:row>21</xdr:row>
      <xdr:rowOff>67235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6047B6-0FFD-4036-8EA9-2ECC41D3D866}"/>
            </a:ext>
          </a:extLst>
        </xdr:cNvPr>
        <xdr:cNvSpPr/>
      </xdr:nvSpPr>
      <xdr:spPr>
        <a:xfrm>
          <a:off x="8695764" y="3350558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919286F-FA23-4ADD-A5D7-67707C1162B6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145676</xdr:colOff>
      <xdr:row>17</xdr:row>
      <xdr:rowOff>89647</xdr:rowOff>
    </xdr:from>
    <xdr:to>
      <xdr:col>20</xdr:col>
      <xdr:colOff>268940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5E16833-2F69-41F1-B83F-521F9CAA63B2}"/>
            </a:ext>
          </a:extLst>
        </xdr:cNvPr>
        <xdr:cNvSpPr/>
      </xdr:nvSpPr>
      <xdr:spPr>
        <a:xfrm>
          <a:off x="8718176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66675</xdr:colOff>
      <xdr:row>1</xdr:row>
      <xdr:rowOff>85726</xdr:rowOff>
    </xdr:from>
    <xdr:to>
      <xdr:col>20</xdr:col>
      <xdr:colOff>190500</xdr:colOff>
      <xdr:row>4</xdr:row>
      <xdr:rowOff>152400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912C9ED-D037-47FF-BA8E-E0955BE979EE}"/>
            </a:ext>
          </a:extLst>
        </xdr:cNvPr>
        <xdr:cNvSpPr/>
      </xdr:nvSpPr>
      <xdr:spPr>
        <a:xfrm>
          <a:off x="8658225" y="276226"/>
          <a:ext cx="1647825" cy="6381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16</xdr:col>
      <xdr:colOff>123265</xdr:colOff>
      <xdr:row>17</xdr:row>
      <xdr:rowOff>89647</xdr:rowOff>
    </xdr:from>
    <xdr:to>
      <xdr:col>20</xdr:col>
      <xdr:colOff>246529</xdr:colOff>
      <xdr:row>21</xdr:row>
      <xdr:rowOff>44824</xdr:rowOff>
    </xdr:to>
    <xdr:sp macro="[0]!homeClassific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D43CD55-2AB6-4B9D-938B-2DB59AC9490C}"/>
            </a:ext>
          </a:extLst>
        </xdr:cNvPr>
        <xdr:cNvSpPr/>
      </xdr:nvSpPr>
      <xdr:spPr>
        <a:xfrm>
          <a:off x="8695765" y="3328147"/>
          <a:ext cx="1647264" cy="717177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6C018-1B22-4638-A778-F0BB0C9C64A9}">
  <sheetPr codeName="Planilha28">
    <tabColor rgb="FF00B050"/>
  </sheetPr>
  <dimension ref="A1:ED45"/>
  <sheetViews>
    <sheetView topLeftCell="BC4" zoomScale="85" zoomScaleNormal="85" workbookViewId="0">
      <selection activeCell="DC9" sqref="DC9:DQ14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6" width="3" customWidth="1"/>
    <col min="7" max="10" width="4.28515625" style="31" customWidth="1"/>
    <col min="11" max="13" width="3" style="2" customWidth="1"/>
    <col min="14" max="17" width="4.28515625" style="30" customWidth="1"/>
    <col min="18" max="18" width="1.5703125" customWidth="1"/>
    <col min="19" max="22" width="4.28515625" style="31" customWidth="1"/>
    <col min="23" max="25" width="3" style="2" customWidth="1"/>
    <col min="26" max="29" width="4.28515625" style="30" customWidth="1"/>
    <col min="30" max="30" width="3" customWidth="1"/>
    <col min="31" max="34" width="4" style="31" customWidth="1"/>
    <col min="35" max="37" width="3" customWidth="1"/>
    <col min="38" max="41" width="4" style="30" customWidth="1"/>
    <col min="42" max="42" width="1.5703125" customWidth="1"/>
    <col min="43" max="46" width="4" style="31" customWidth="1"/>
    <col min="47" max="49" width="3" style="2" customWidth="1"/>
    <col min="50" max="53" width="4" style="30" customWidth="1"/>
    <col min="54" max="54" width="3" customWidth="1"/>
    <col min="55" max="65" width="3" style="2" customWidth="1"/>
    <col min="66" max="69" width="3" customWidth="1"/>
    <col min="70" max="121" width="2.140625" customWidth="1"/>
    <col min="122" max="138" width="3" customWidth="1"/>
  </cols>
  <sheetData>
    <row r="1" spans="1:133" ht="15.75" thickBot="1" x14ac:dyDescent="0.3">
      <c r="G1" s="84" t="s">
        <v>221</v>
      </c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E1" s="84" t="s">
        <v>222</v>
      </c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</row>
    <row r="2" spans="1:133" ht="16.5" thickTop="1" x14ac:dyDescent="0.25">
      <c r="A2" s="26" t="s">
        <v>105</v>
      </c>
      <c r="B2" s="85" t="s">
        <v>104</v>
      </c>
      <c r="C2" s="85"/>
      <c r="D2" s="85"/>
      <c r="E2" s="86"/>
      <c r="G2" s="87" t="s">
        <v>1</v>
      </c>
      <c r="H2" s="87"/>
      <c r="I2" s="87"/>
      <c r="J2" s="87"/>
      <c r="K2" s="87"/>
      <c r="L2" s="87"/>
      <c r="M2" s="87"/>
      <c r="N2" s="87"/>
      <c r="O2" s="87"/>
      <c r="P2" s="87"/>
      <c r="Q2" s="87"/>
      <c r="S2" s="87" t="s">
        <v>73</v>
      </c>
      <c r="T2" s="87"/>
      <c r="U2" s="87"/>
      <c r="V2" s="87"/>
      <c r="W2" s="87"/>
      <c r="X2" s="87"/>
      <c r="Y2" s="87"/>
      <c r="Z2" s="87"/>
      <c r="AA2" s="87"/>
      <c r="AB2" s="87"/>
      <c r="AC2" s="87"/>
      <c r="AE2" s="88" t="str">
        <f>Tabela!A2</f>
        <v>Grupo A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Q2" s="88" t="str">
        <f>Tabela!G2</f>
        <v>Grupo E</v>
      </c>
      <c r="AR2" s="88"/>
      <c r="AS2" s="88"/>
      <c r="AT2" s="88"/>
      <c r="AU2" s="88"/>
      <c r="AV2" s="88"/>
      <c r="AW2" s="88"/>
      <c r="AX2" s="88"/>
      <c r="AY2" s="88"/>
      <c r="AZ2" s="88"/>
      <c r="BA2" s="88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</row>
    <row r="3" spans="1:133" x14ac:dyDescent="0.25">
      <c r="A3" s="20" t="s">
        <v>0</v>
      </c>
      <c r="B3" s="21"/>
      <c r="C3" s="21" t="s">
        <v>0</v>
      </c>
      <c r="D3" s="21"/>
      <c r="E3" s="24" t="s">
        <v>0</v>
      </c>
      <c r="G3" s="89" t="s">
        <v>46</v>
      </c>
      <c r="H3" s="89"/>
      <c r="I3" s="89"/>
      <c r="J3" s="89"/>
      <c r="K3" s="2">
        <v>1</v>
      </c>
      <c r="L3" s="2" t="s">
        <v>70</v>
      </c>
      <c r="M3" s="2">
        <v>2</v>
      </c>
      <c r="N3" s="90" t="s">
        <v>51</v>
      </c>
      <c r="O3" s="90"/>
      <c r="P3" s="90"/>
      <c r="Q3" s="90"/>
      <c r="S3" s="89" t="s">
        <v>38</v>
      </c>
      <c r="T3" s="89"/>
      <c r="U3" s="89"/>
      <c r="V3" s="89"/>
      <c r="W3" s="2">
        <v>2</v>
      </c>
      <c r="X3" s="2" t="s">
        <v>70</v>
      </c>
      <c r="Y3" s="2">
        <v>0</v>
      </c>
      <c r="Z3" s="90" t="s">
        <v>59</v>
      </c>
      <c r="AA3" s="90"/>
      <c r="AB3" s="90"/>
      <c r="AC3" s="90"/>
      <c r="AE3" s="89" t="str">
        <f>Tabela!A3</f>
        <v>Catar</v>
      </c>
      <c r="AF3" s="89"/>
      <c r="AG3" s="89"/>
      <c r="AH3" s="89"/>
      <c r="AI3" s="2">
        <v>0</v>
      </c>
      <c r="AJ3" s="2" t="s">
        <v>70</v>
      </c>
      <c r="AK3" s="2">
        <v>2</v>
      </c>
      <c r="AL3" s="90" t="str">
        <f>Tabela!E3</f>
        <v>Equador</v>
      </c>
      <c r="AM3" s="90"/>
      <c r="AN3" s="90"/>
      <c r="AO3" s="90"/>
      <c r="AQ3" s="89" t="str">
        <f>Tabela!G3</f>
        <v>Alemanha</v>
      </c>
      <c r="AR3" s="89"/>
      <c r="AS3" s="89"/>
      <c r="AT3" s="89"/>
      <c r="AU3" s="2">
        <f>Tabela!H3</f>
        <v>1</v>
      </c>
      <c r="AV3" s="2" t="s">
        <v>70</v>
      </c>
      <c r="AW3" s="2">
        <f>Tabela!J3</f>
        <v>2</v>
      </c>
      <c r="AX3" s="90" t="str">
        <f>Tabela!K3</f>
        <v>Japão</v>
      </c>
      <c r="AY3" s="90"/>
      <c r="AZ3" s="90"/>
      <c r="BA3" s="90"/>
      <c r="BC3" s="2">
        <f>IF(AND(AI3=K3,AK3=M3),25,IF(,15,IF(,5,0)))</f>
        <v>0</v>
      </c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</row>
    <row r="4" spans="1:133" x14ac:dyDescent="0.25">
      <c r="A4" s="16" t="s">
        <v>1</v>
      </c>
      <c r="B4" s="21"/>
      <c r="C4" s="17" t="s">
        <v>13</v>
      </c>
      <c r="D4" s="21"/>
      <c r="E4" s="18" t="s">
        <v>22</v>
      </c>
      <c r="G4" s="89" t="s">
        <v>65</v>
      </c>
      <c r="H4" s="89"/>
      <c r="I4" s="89"/>
      <c r="J4" s="89"/>
      <c r="K4" s="2">
        <v>1</v>
      </c>
      <c r="L4" s="2" t="s">
        <v>70</v>
      </c>
      <c r="M4" s="2">
        <v>2</v>
      </c>
      <c r="N4" s="90" t="s">
        <v>56</v>
      </c>
      <c r="O4" s="90"/>
      <c r="P4" s="90"/>
      <c r="Q4" s="90"/>
      <c r="S4" s="89" t="s">
        <v>52</v>
      </c>
      <c r="T4" s="89"/>
      <c r="U4" s="89"/>
      <c r="V4" s="89"/>
      <c r="W4" s="2">
        <v>2</v>
      </c>
      <c r="X4" s="2" t="s">
        <v>70</v>
      </c>
      <c r="Y4" s="2">
        <v>1</v>
      </c>
      <c r="Z4" s="90" t="s">
        <v>48</v>
      </c>
      <c r="AA4" s="90"/>
      <c r="AB4" s="90"/>
      <c r="AC4" s="90"/>
      <c r="AE4" s="89" t="str">
        <f>Tabela!A4</f>
        <v>Senegal</v>
      </c>
      <c r="AF4" s="89"/>
      <c r="AG4" s="89"/>
      <c r="AH4" s="89"/>
      <c r="AI4" s="2">
        <f>Tabela!B4</f>
        <v>0</v>
      </c>
      <c r="AJ4" s="2" t="s">
        <v>70</v>
      </c>
      <c r="AK4" s="2">
        <f>Tabela!D4</f>
        <v>2</v>
      </c>
      <c r="AL4" s="90" t="str">
        <f>Tabela!E4</f>
        <v>Holanda</v>
      </c>
      <c r="AM4" s="90"/>
      <c r="AN4" s="90"/>
      <c r="AO4" s="90"/>
      <c r="AQ4" s="89" t="str">
        <f>Tabela!G4</f>
        <v>Espanha</v>
      </c>
      <c r="AR4" s="89"/>
      <c r="AS4" s="89"/>
      <c r="AT4" s="89"/>
      <c r="AU4" s="2">
        <f>Tabela!H4</f>
        <v>7</v>
      </c>
      <c r="AV4" s="2" t="s">
        <v>70</v>
      </c>
      <c r="AW4" s="2">
        <f>Tabela!J4</f>
        <v>0</v>
      </c>
      <c r="AX4" s="90" t="str">
        <f>Tabela!K4</f>
        <v>CostaRica</v>
      </c>
      <c r="AY4" s="90"/>
      <c r="AZ4" s="90"/>
      <c r="BA4" s="90"/>
      <c r="BC4" s="2">
        <f t="shared" ref="BC4:BC8" si="0">IF(AND(AI4=K4,AK4=M4),25,0)</f>
        <v>0</v>
      </c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</row>
    <row r="5" spans="1:133" x14ac:dyDescent="0.25">
      <c r="A5" s="20" t="s">
        <v>0</v>
      </c>
      <c r="B5" s="21"/>
      <c r="C5" s="21" t="s">
        <v>0</v>
      </c>
      <c r="D5" s="21"/>
      <c r="E5" s="24" t="s">
        <v>0</v>
      </c>
      <c r="G5" s="89" t="s">
        <v>46</v>
      </c>
      <c r="H5" s="89"/>
      <c r="I5" s="89"/>
      <c r="J5" s="89"/>
      <c r="K5" s="2">
        <v>1</v>
      </c>
      <c r="L5" s="2" t="s">
        <v>70</v>
      </c>
      <c r="M5" s="2">
        <v>2</v>
      </c>
      <c r="N5" s="90" t="s">
        <v>65</v>
      </c>
      <c r="O5" s="90"/>
      <c r="P5" s="90"/>
      <c r="Q5" s="90"/>
      <c r="S5" s="89" t="s">
        <v>59</v>
      </c>
      <c r="T5" s="89"/>
      <c r="U5" s="89"/>
      <c r="V5" s="89"/>
      <c r="W5" s="2">
        <v>1</v>
      </c>
      <c r="X5" s="2" t="s">
        <v>70</v>
      </c>
      <c r="Y5" s="2">
        <v>0</v>
      </c>
      <c r="Z5" s="90" t="s">
        <v>48</v>
      </c>
      <c r="AA5" s="90"/>
      <c r="AB5" s="90"/>
      <c r="AC5" s="90"/>
      <c r="AE5" s="89" t="str">
        <f>Tabela!A5</f>
        <v>Catar</v>
      </c>
      <c r="AF5" s="89"/>
      <c r="AG5" s="89"/>
      <c r="AH5" s="89"/>
      <c r="AI5" s="2">
        <f>Tabela!B5</f>
        <v>1</v>
      </c>
      <c r="AJ5" s="2" t="s">
        <v>70</v>
      </c>
      <c r="AK5" s="2">
        <f>Tabela!D5</f>
        <v>3</v>
      </c>
      <c r="AL5" s="90" t="str">
        <f>Tabela!E5</f>
        <v>Senegal</v>
      </c>
      <c r="AM5" s="90"/>
      <c r="AN5" s="90"/>
      <c r="AO5" s="90"/>
      <c r="AQ5" s="89" t="str">
        <f>Tabela!G5</f>
        <v>Japão</v>
      </c>
      <c r="AR5" s="89"/>
      <c r="AS5" s="89"/>
      <c r="AT5" s="89"/>
      <c r="AU5" s="2">
        <f>Tabela!H5</f>
        <v>0</v>
      </c>
      <c r="AV5" s="2" t="s">
        <v>70</v>
      </c>
      <c r="AW5" s="2">
        <f>Tabela!J5</f>
        <v>1</v>
      </c>
      <c r="AX5" s="90" t="str">
        <f>Tabela!K5</f>
        <v>CostaRica</v>
      </c>
      <c r="AY5" s="90"/>
      <c r="AZ5" s="90"/>
      <c r="BA5" s="90"/>
      <c r="BC5" s="2">
        <f t="shared" si="0"/>
        <v>0</v>
      </c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4"/>
      <c r="BO5" s="34"/>
      <c r="BP5" s="34"/>
      <c r="BQ5" s="34"/>
      <c r="BR5" s="91" t="s">
        <v>226</v>
      </c>
      <c r="BS5" s="91"/>
      <c r="BT5" s="91"/>
      <c r="BU5" s="91"/>
      <c r="BV5" s="91"/>
      <c r="BW5" s="91"/>
      <c r="BX5" s="91"/>
      <c r="BY5" s="91"/>
      <c r="BZ5" s="91"/>
      <c r="CA5" s="91"/>
      <c r="CB5" s="91"/>
      <c r="CC5" s="91"/>
      <c r="CD5" s="91"/>
      <c r="CE5" s="91"/>
      <c r="CF5" s="91"/>
      <c r="CG5" s="91"/>
      <c r="CH5" s="91"/>
      <c r="CI5" s="91"/>
      <c r="CJ5" s="91"/>
      <c r="CK5" s="91"/>
      <c r="CL5" s="91"/>
      <c r="CM5" s="91"/>
      <c r="CN5" s="91"/>
      <c r="CO5" s="91"/>
      <c r="CP5" s="91"/>
      <c r="CQ5" s="91"/>
      <c r="CR5" s="91"/>
      <c r="CS5" s="91"/>
      <c r="CT5" s="91"/>
      <c r="CU5" s="91"/>
      <c r="CV5" s="91"/>
      <c r="CW5" s="91"/>
      <c r="CX5" s="91"/>
      <c r="CY5" s="91"/>
      <c r="CZ5" s="91"/>
      <c r="DA5" s="91"/>
      <c r="DB5" s="91"/>
      <c r="DC5" s="91"/>
      <c r="DD5" s="91"/>
      <c r="DE5" s="91"/>
      <c r="DF5" s="91"/>
      <c r="DG5" s="91"/>
      <c r="DH5" s="91"/>
      <c r="DI5" s="91"/>
      <c r="DJ5" s="91"/>
      <c r="DK5" s="91"/>
      <c r="DL5" s="91"/>
      <c r="DM5" s="91"/>
      <c r="DN5" s="91"/>
      <c r="DO5" s="91"/>
      <c r="DP5" s="91"/>
      <c r="DQ5" s="91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</row>
    <row r="6" spans="1:133" x14ac:dyDescent="0.25">
      <c r="A6" s="20" t="s">
        <v>28</v>
      </c>
      <c r="B6" s="21"/>
      <c r="C6" s="21" t="s">
        <v>14</v>
      </c>
      <c r="D6" s="21"/>
      <c r="E6" s="24" t="s">
        <v>23</v>
      </c>
      <c r="G6" s="89" t="s">
        <v>56</v>
      </c>
      <c r="H6" s="89"/>
      <c r="I6" s="89"/>
      <c r="J6" s="89"/>
      <c r="K6" s="2">
        <v>1</v>
      </c>
      <c r="L6" s="2" t="s">
        <v>70</v>
      </c>
      <c r="M6" s="2">
        <v>1</v>
      </c>
      <c r="N6" s="90" t="s">
        <v>51</v>
      </c>
      <c r="O6" s="90"/>
      <c r="P6" s="90"/>
      <c r="Q6" s="90"/>
      <c r="S6" s="89" t="s">
        <v>52</v>
      </c>
      <c r="T6" s="89"/>
      <c r="U6" s="89"/>
      <c r="V6" s="89"/>
      <c r="W6" s="2">
        <v>2</v>
      </c>
      <c r="X6" s="2" t="s">
        <v>70</v>
      </c>
      <c r="Y6" s="2">
        <v>3</v>
      </c>
      <c r="Z6" s="90" t="s">
        <v>38</v>
      </c>
      <c r="AA6" s="90"/>
      <c r="AB6" s="90"/>
      <c r="AC6" s="90"/>
      <c r="AE6" s="89" t="str">
        <f>Tabela!A6</f>
        <v>Holanda</v>
      </c>
      <c r="AF6" s="89"/>
      <c r="AG6" s="89"/>
      <c r="AH6" s="89"/>
      <c r="AI6" s="2">
        <f>Tabela!B6</f>
        <v>1</v>
      </c>
      <c r="AJ6" s="2" t="s">
        <v>70</v>
      </c>
      <c r="AK6" s="2">
        <f>Tabela!D6</f>
        <v>1</v>
      </c>
      <c r="AL6" s="90" t="str">
        <f>Tabela!E6</f>
        <v>Equador</v>
      </c>
      <c r="AM6" s="90"/>
      <c r="AN6" s="90"/>
      <c r="AO6" s="90"/>
      <c r="AQ6" s="89" t="str">
        <f>Tabela!G6</f>
        <v>Espanha</v>
      </c>
      <c r="AR6" s="89"/>
      <c r="AS6" s="89"/>
      <c r="AT6" s="89"/>
      <c r="AU6" s="2">
        <f>Tabela!H6</f>
        <v>0</v>
      </c>
      <c r="AV6" s="2" t="s">
        <v>70</v>
      </c>
      <c r="AW6" s="2">
        <f>Tabela!J6</f>
        <v>0</v>
      </c>
      <c r="AX6" s="90" t="str">
        <f>Tabela!K6</f>
        <v>Alemanha</v>
      </c>
      <c r="AY6" s="90"/>
      <c r="AZ6" s="90"/>
      <c r="BA6" s="90"/>
      <c r="BC6" s="2">
        <f t="shared" si="0"/>
        <v>25</v>
      </c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4"/>
      <c r="BO6" s="34"/>
      <c r="BP6" s="34"/>
      <c r="BQ6" s="34"/>
      <c r="BR6" s="91"/>
      <c r="BS6" s="91"/>
      <c r="BT6" s="91"/>
      <c r="BU6" s="91"/>
      <c r="BV6" s="91"/>
      <c r="BW6" s="91"/>
      <c r="BX6" s="91"/>
      <c r="BY6" s="91"/>
      <c r="BZ6" s="91"/>
      <c r="CA6" s="91"/>
      <c r="CB6" s="91"/>
      <c r="CC6" s="91"/>
      <c r="CD6" s="91"/>
      <c r="CE6" s="91"/>
      <c r="CF6" s="91"/>
      <c r="CG6" s="91"/>
      <c r="CH6" s="91"/>
      <c r="CI6" s="91"/>
      <c r="CJ6" s="91"/>
      <c r="CK6" s="91"/>
      <c r="CL6" s="91"/>
      <c r="CM6" s="91"/>
      <c r="CN6" s="91"/>
      <c r="CO6" s="91"/>
      <c r="CP6" s="91"/>
      <c r="CQ6" s="91"/>
      <c r="CR6" s="91"/>
      <c r="CS6" s="91"/>
      <c r="CT6" s="91"/>
      <c r="CU6" s="91"/>
      <c r="CV6" s="91"/>
      <c r="CW6" s="91"/>
      <c r="CX6" s="91"/>
      <c r="CY6" s="91"/>
      <c r="CZ6" s="91"/>
      <c r="DA6" s="91"/>
      <c r="DB6" s="91"/>
      <c r="DC6" s="91"/>
      <c r="DD6" s="91"/>
      <c r="DE6" s="91"/>
      <c r="DF6" s="91"/>
      <c r="DG6" s="91"/>
      <c r="DH6" s="91"/>
      <c r="DI6" s="91"/>
      <c r="DJ6" s="91"/>
      <c r="DK6" s="91"/>
      <c r="DL6" s="91"/>
      <c r="DM6" s="91"/>
      <c r="DN6" s="91"/>
      <c r="DO6" s="91"/>
      <c r="DP6" s="91"/>
      <c r="DQ6" s="91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</row>
    <row r="7" spans="1:133" x14ac:dyDescent="0.25">
      <c r="A7" s="20" t="s">
        <v>2</v>
      </c>
      <c r="B7" s="21"/>
      <c r="C7" s="21" t="s">
        <v>15</v>
      </c>
      <c r="D7" s="21"/>
      <c r="E7" s="24" t="s">
        <v>34</v>
      </c>
      <c r="G7" s="89" t="s">
        <v>56</v>
      </c>
      <c r="H7" s="89"/>
      <c r="I7" s="89"/>
      <c r="J7" s="89"/>
      <c r="K7" s="2">
        <v>2</v>
      </c>
      <c r="L7" s="2" t="s">
        <v>70</v>
      </c>
      <c r="M7" s="2">
        <v>0</v>
      </c>
      <c r="N7" s="90" t="s">
        <v>46</v>
      </c>
      <c r="O7" s="90"/>
      <c r="P7" s="90"/>
      <c r="Q7" s="90"/>
      <c r="S7" s="89" t="s">
        <v>59</v>
      </c>
      <c r="T7" s="89"/>
      <c r="U7" s="89"/>
      <c r="V7" s="89"/>
      <c r="W7" s="2">
        <v>2</v>
      </c>
      <c r="X7" s="2" t="s">
        <v>70</v>
      </c>
      <c r="Y7" s="2">
        <v>2</v>
      </c>
      <c r="Z7" s="90" t="s">
        <v>52</v>
      </c>
      <c r="AA7" s="90"/>
      <c r="AB7" s="90"/>
      <c r="AC7" s="90"/>
      <c r="AE7" s="89" t="str">
        <f>Tabela!A7</f>
        <v>Holanda</v>
      </c>
      <c r="AF7" s="89"/>
      <c r="AG7" s="89"/>
      <c r="AH7" s="89"/>
      <c r="AI7" s="2">
        <f>Tabela!B7</f>
        <v>0</v>
      </c>
      <c r="AJ7" s="2" t="s">
        <v>70</v>
      </c>
      <c r="AK7" s="2">
        <f>Tabela!D7</f>
        <v>0</v>
      </c>
      <c r="AL7" s="90" t="str">
        <f>Tabela!E7</f>
        <v>Catar</v>
      </c>
      <c r="AM7" s="90"/>
      <c r="AN7" s="90"/>
      <c r="AO7" s="90"/>
      <c r="AQ7" s="89" t="str">
        <f>Tabela!G7</f>
        <v>Japão</v>
      </c>
      <c r="AR7" s="89"/>
      <c r="AS7" s="89"/>
      <c r="AT7" s="89"/>
      <c r="AU7" s="2">
        <f>Tabela!H7</f>
        <v>0</v>
      </c>
      <c r="AV7" s="2" t="s">
        <v>70</v>
      </c>
      <c r="AW7" s="2">
        <f>Tabela!J7</f>
        <v>0</v>
      </c>
      <c r="AX7" s="90" t="str">
        <f>Tabela!K7</f>
        <v>Espanha</v>
      </c>
      <c r="AY7" s="90"/>
      <c r="AZ7" s="90"/>
      <c r="BA7" s="90"/>
      <c r="BC7" s="2">
        <f t="shared" si="0"/>
        <v>0</v>
      </c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4"/>
      <c r="BO7" s="34"/>
      <c r="BP7" s="34"/>
      <c r="BQ7" s="34"/>
      <c r="BR7" s="91"/>
      <c r="BS7" s="91"/>
      <c r="BT7" s="91"/>
      <c r="BU7" s="91"/>
      <c r="BV7" s="91"/>
      <c r="BW7" s="91"/>
      <c r="BX7" s="91"/>
      <c r="BY7" s="91"/>
      <c r="BZ7" s="91"/>
      <c r="CA7" s="91"/>
      <c r="CB7" s="91"/>
      <c r="CC7" s="91"/>
      <c r="CD7" s="91"/>
      <c r="CE7" s="91"/>
      <c r="CF7" s="91"/>
      <c r="CG7" s="91"/>
      <c r="CH7" s="91"/>
      <c r="CI7" s="91"/>
      <c r="CJ7" s="91"/>
      <c r="CK7" s="91"/>
      <c r="CL7" s="91"/>
      <c r="CM7" s="91"/>
      <c r="CN7" s="91"/>
      <c r="CO7" s="91"/>
      <c r="CP7" s="91"/>
      <c r="CQ7" s="91"/>
      <c r="CR7" s="91"/>
      <c r="CS7" s="91"/>
      <c r="CT7" s="91"/>
      <c r="CU7" s="91"/>
      <c r="CV7" s="91"/>
      <c r="CW7" s="91"/>
      <c r="CX7" s="91"/>
      <c r="CY7" s="91"/>
      <c r="CZ7" s="91"/>
      <c r="DA7" s="91"/>
      <c r="DB7" s="91"/>
      <c r="DC7" s="91"/>
      <c r="DD7" s="91"/>
      <c r="DE7" s="91"/>
      <c r="DF7" s="91"/>
      <c r="DG7" s="91"/>
      <c r="DH7" s="91"/>
      <c r="DI7" s="91"/>
      <c r="DJ7" s="91"/>
      <c r="DK7" s="91"/>
      <c r="DL7" s="91"/>
      <c r="DM7" s="91"/>
      <c r="DN7" s="91"/>
      <c r="DO7" s="91"/>
      <c r="DP7" s="91"/>
      <c r="DQ7" s="91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</row>
    <row r="8" spans="1:133" ht="15.75" thickBot="1" x14ac:dyDescent="0.3">
      <c r="A8" s="20" t="s">
        <v>85</v>
      </c>
      <c r="B8" s="21"/>
      <c r="C8" s="21" t="s">
        <v>92</v>
      </c>
      <c r="D8" s="21"/>
      <c r="E8" s="24" t="s">
        <v>24</v>
      </c>
      <c r="G8" s="89" t="s">
        <v>51</v>
      </c>
      <c r="H8" s="89"/>
      <c r="I8" s="89"/>
      <c r="J8" s="89"/>
      <c r="K8" s="2">
        <v>1</v>
      </c>
      <c r="L8" s="2" t="s">
        <v>70</v>
      </c>
      <c r="M8" s="2">
        <v>0</v>
      </c>
      <c r="N8" s="90" t="s">
        <v>65</v>
      </c>
      <c r="O8" s="90"/>
      <c r="P8" s="90"/>
      <c r="Q8" s="90"/>
      <c r="S8" s="89" t="s">
        <v>48</v>
      </c>
      <c r="T8" s="89"/>
      <c r="U8" s="89"/>
      <c r="V8" s="89"/>
      <c r="W8" s="2">
        <v>0</v>
      </c>
      <c r="X8" s="2" t="s">
        <v>70</v>
      </c>
      <c r="Y8" s="2">
        <v>4</v>
      </c>
      <c r="Z8" s="90" t="s">
        <v>38</v>
      </c>
      <c r="AA8" s="90"/>
      <c r="AB8" s="90"/>
      <c r="AC8" s="90"/>
      <c r="AE8" s="89" t="str">
        <f>Tabela!A8</f>
        <v>Equador</v>
      </c>
      <c r="AF8" s="89"/>
      <c r="AG8" s="89"/>
      <c r="AH8" s="89"/>
      <c r="AI8" s="2">
        <f>Tabela!B8</f>
        <v>0</v>
      </c>
      <c r="AJ8" s="2" t="s">
        <v>70</v>
      </c>
      <c r="AK8" s="2">
        <f>Tabela!D8</f>
        <v>0</v>
      </c>
      <c r="AL8" s="90" t="str">
        <f>Tabela!E8</f>
        <v>Senegal</v>
      </c>
      <c r="AM8" s="90"/>
      <c r="AN8" s="90"/>
      <c r="AO8" s="90"/>
      <c r="AQ8" s="89" t="str">
        <f>Tabela!G8</f>
        <v>CostaRica</v>
      </c>
      <c r="AR8" s="89"/>
      <c r="AS8" s="89"/>
      <c r="AT8" s="89"/>
      <c r="AU8" s="2">
        <f>Tabela!H8</f>
        <v>0</v>
      </c>
      <c r="AV8" s="2" t="s">
        <v>70</v>
      </c>
      <c r="AW8" s="2">
        <f>Tabela!J8</f>
        <v>0</v>
      </c>
      <c r="AX8" s="90" t="str">
        <f>Tabela!K8</f>
        <v>Alemanha</v>
      </c>
      <c r="AY8" s="90"/>
      <c r="AZ8" s="90"/>
      <c r="BA8" s="90"/>
      <c r="BC8" s="2">
        <f t="shared" si="0"/>
        <v>0</v>
      </c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4"/>
      <c r="BO8" s="34"/>
      <c r="BP8" s="34"/>
      <c r="BQ8" s="34"/>
      <c r="BR8" s="91"/>
      <c r="BS8" s="91"/>
      <c r="BT8" s="91"/>
      <c r="BU8" s="91"/>
      <c r="BV8" s="91"/>
      <c r="BW8" s="91"/>
      <c r="BX8" s="91"/>
      <c r="BY8" s="91"/>
      <c r="BZ8" s="91"/>
      <c r="CA8" s="91"/>
      <c r="CB8" s="91"/>
      <c r="CC8" s="91"/>
      <c r="CD8" s="91"/>
      <c r="CE8" s="91"/>
      <c r="CF8" s="91"/>
      <c r="CG8" s="92"/>
      <c r="CH8" s="92"/>
      <c r="CI8" s="92"/>
      <c r="CJ8" s="92"/>
      <c r="CK8" s="92"/>
      <c r="CL8" s="92"/>
      <c r="CM8" s="92"/>
      <c r="CN8" s="92"/>
      <c r="CO8" s="91"/>
      <c r="CP8" s="91"/>
      <c r="CQ8" s="91"/>
      <c r="CR8" s="91"/>
      <c r="CS8" s="91"/>
      <c r="CT8" s="91"/>
      <c r="CU8" s="92"/>
      <c r="CV8" s="92"/>
      <c r="CW8" s="92"/>
      <c r="CX8" s="92"/>
      <c r="CY8" s="92"/>
      <c r="CZ8" s="92"/>
      <c r="DA8" s="92"/>
      <c r="DB8" s="92"/>
      <c r="DC8" s="91"/>
      <c r="DD8" s="91"/>
      <c r="DE8" s="91"/>
      <c r="DF8" s="91"/>
      <c r="DG8" s="91"/>
      <c r="DH8" s="91"/>
      <c r="DI8" s="91"/>
      <c r="DJ8" s="91"/>
      <c r="DK8" s="91"/>
      <c r="DL8" s="91"/>
      <c r="DM8" s="91"/>
      <c r="DN8" s="91"/>
      <c r="DO8" s="91"/>
      <c r="DP8" s="91"/>
      <c r="DQ8" s="91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</row>
    <row r="9" spans="1:133" x14ac:dyDescent="0.25">
      <c r="A9" s="20" t="s">
        <v>3</v>
      </c>
      <c r="B9" s="21"/>
      <c r="C9" s="21" t="s">
        <v>93</v>
      </c>
      <c r="D9" s="21"/>
      <c r="E9" s="24" t="s">
        <v>25</v>
      </c>
      <c r="G9" s="87" t="s">
        <v>5</v>
      </c>
      <c r="H9" s="87"/>
      <c r="I9" s="87"/>
      <c r="J9" s="87"/>
      <c r="K9" s="87"/>
      <c r="L9" s="87"/>
      <c r="M9" s="87"/>
      <c r="N9" s="87"/>
      <c r="O9" s="87"/>
      <c r="P9" s="87"/>
      <c r="Q9" s="87"/>
      <c r="S9" s="87" t="s">
        <v>74</v>
      </c>
      <c r="T9" s="87"/>
      <c r="U9" s="87"/>
      <c r="V9" s="87"/>
      <c r="W9" s="87"/>
      <c r="X9" s="87"/>
      <c r="Y9" s="87"/>
      <c r="Z9" s="87"/>
      <c r="AA9" s="87"/>
      <c r="AB9" s="87"/>
      <c r="AC9" s="87"/>
      <c r="AE9" s="88" t="str">
        <f>Tabela!A9</f>
        <v>Grupo B</v>
      </c>
      <c r="AF9" s="88"/>
      <c r="AG9" s="88"/>
      <c r="AH9" s="88"/>
      <c r="AI9" s="88"/>
      <c r="AJ9" s="88"/>
      <c r="AK9" s="88"/>
      <c r="AL9" s="88"/>
      <c r="AM9" s="88"/>
      <c r="AN9" s="88"/>
      <c r="AO9" s="88"/>
      <c r="AQ9" s="88" t="str">
        <f>Tabela!G9</f>
        <v>Grupo F</v>
      </c>
      <c r="AR9" s="88"/>
      <c r="AS9" s="88"/>
      <c r="AT9" s="88"/>
      <c r="AU9" s="88"/>
      <c r="AV9" s="88"/>
      <c r="AW9" s="88"/>
      <c r="AX9" s="88"/>
      <c r="AY9" s="88"/>
      <c r="AZ9" s="88"/>
      <c r="BA9" s="88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4"/>
      <c r="BO9" s="34"/>
      <c r="BP9" s="34"/>
      <c r="BQ9" s="34"/>
      <c r="BR9" s="93" t="s">
        <v>228</v>
      </c>
      <c r="BS9" s="93"/>
      <c r="BT9" s="93"/>
      <c r="BU9" s="93"/>
      <c r="BV9" s="93"/>
      <c r="BW9" s="93"/>
      <c r="BX9" s="93"/>
      <c r="BY9" s="93"/>
      <c r="BZ9" s="93"/>
      <c r="CA9" s="93"/>
      <c r="CB9" s="93"/>
      <c r="CC9" s="93"/>
      <c r="CD9" s="93"/>
      <c r="CE9" s="93"/>
      <c r="CF9" s="94"/>
      <c r="CG9" s="95">
        <v>0</v>
      </c>
      <c r="CH9" s="96"/>
      <c r="CI9" s="96"/>
      <c r="CJ9" s="96"/>
      <c r="CK9" s="96"/>
      <c r="CL9" s="96"/>
      <c r="CM9" s="96"/>
      <c r="CN9" s="97"/>
      <c r="CO9" s="104" t="s">
        <v>230</v>
      </c>
      <c r="CP9" s="105"/>
      <c r="CQ9" s="105"/>
      <c r="CR9" s="105"/>
      <c r="CS9" s="105"/>
      <c r="CT9" s="106"/>
      <c r="CU9" s="95">
        <v>0</v>
      </c>
      <c r="CV9" s="96"/>
      <c r="CW9" s="96"/>
      <c r="CX9" s="96"/>
      <c r="CY9" s="96"/>
      <c r="CZ9" s="96"/>
      <c r="DA9" s="96"/>
      <c r="DB9" s="97"/>
      <c r="DC9" s="107" t="s">
        <v>229</v>
      </c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</row>
    <row r="10" spans="1:133" x14ac:dyDescent="0.25">
      <c r="A10" s="20" t="s">
        <v>4</v>
      </c>
      <c r="B10" s="21"/>
      <c r="C10" s="21" t="s">
        <v>94</v>
      </c>
      <c r="D10" s="21"/>
      <c r="E10" s="24" t="s">
        <v>26</v>
      </c>
      <c r="G10" s="89" t="s">
        <v>57</v>
      </c>
      <c r="H10" s="89"/>
      <c r="I10" s="89"/>
      <c r="J10" s="89"/>
      <c r="K10" s="2">
        <v>2</v>
      </c>
      <c r="L10" s="2" t="s">
        <v>70</v>
      </c>
      <c r="M10" s="2">
        <v>0</v>
      </c>
      <c r="N10" s="90" t="s">
        <v>58</v>
      </c>
      <c r="O10" s="90"/>
      <c r="P10" s="90"/>
      <c r="Q10" s="90"/>
      <c r="S10" s="89" t="s">
        <v>60</v>
      </c>
      <c r="T10" s="89"/>
      <c r="U10" s="89"/>
      <c r="V10" s="89"/>
      <c r="W10" s="2">
        <v>1</v>
      </c>
      <c r="X10" s="2" t="s">
        <v>70</v>
      </c>
      <c r="Y10" s="2">
        <v>3</v>
      </c>
      <c r="Z10" s="90" t="s">
        <v>49</v>
      </c>
      <c r="AA10" s="90"/>
      <c r="AB10" s="90"/>
      <c r="AC10" s="90"/>
      <c r="AE10" s="89" t="str">
        <f>Tabela!A10</f>
        <v>Inglaterra</v>
      </c>
      <c r="AF10" s="89"/>
      <c r="AG10" s="89"/>
      <c r="AH10" s="89"/>
      <c r="AI10" s="2">
        <f>Tabela!B10</f>
        <v>6</v>
      </c>
      <c r="AJ10" s="2" t="s">
        <v>70</v>
      </c>
      <c r="AK10" s="2">
        <f>Tabela!D10</f>
        <v>2</v>
      </c>
      <c r="AL10" s="90" t="str">
        <f>Tabela!E10</f>
        <v>Irã</v>
      </c>
      <c r="AM10" s="90"/>
      <c r="AN10" s="90"/>
      <c r="AO10" s="90"/>
      <c r="AQ10" s="89" t="str">
        <f>Tabela!G10</f>
        <v>Marrocos</v>
      </c>
      <c r="AR10" s="89"/>
      <c r="AS10" s="89"/>
      <c r="AT10" s="89"/>
      <c r="AU10" s="2">
        <f>Tabela!H10</f>
        <v>0</v>
      </c>
      <c r="AV10" s="2" t="s">
        <v>70</v>
      </c>
      <c r="AW10" s="2">
        <f>Tabela!J10</f>
        <v>0</v>
      </c>
      <c r="AX10" s="90" t="str">
        <f>Tabela!K10</f>
        <v>Croácia</v>
      </c>
      <c r="AY10" s="90"/>
      <c r="AZ10" s="90"/>
      <c r="BA10" s="90"/>
      <c r="BC10" s="2">
        <f t="shared" ref="BC10:BC29" si="1">IF(AND(AI10=K10,AK10=M10),25,0)</f>
        <v>0</v>
      </c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4"/>
      <c r="BO10" s="34"/>
      <c r="BP10" s="34"/>
      <c r="BQ10" s="34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3"/>
      <c r="CC10" s="93"/>
      <c r="CD10" s="93"/>
      <c r="CE10" s="93"/>
      <c r="CF10" s="94"/>
      <c r="CG10" s="98"/>
      <c r="CH10" s="99"/>
      <c r="CI10" s="99"/>
      <c r="CJ10" s="99"/>
      <c r="CK10" s="99"/>
      <c r="CL10" s="99"/>
      <c r="CM10" s="99"/>
      <c r="CN10" s="100"/>
      <c r="CO10" s="104"/>
      <c r="CP10" s="105"/>
      <c r="CQ10" s="105"/>
      <c r="CR10" s="105"/>
      <c r="CS10" s="105"/>
      <c r="CT10" s="106"/>
      <c r="CU10" s="98"/>
      <c r="CV10" s="99"/>
      <c r="CW10" s="99"/>
      <c r="CX10" s="99"/>
      <c r="CY10" s="99"/>
      <c r="CZ10" s="99"/>
      <c r="DA10" s="99"/>
      <c r="DB10" s="100"/>
      <c r="DC10" s="107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</row>
    <row r="11" spans="1:133" x14ac:dyDescent="0.25">
      <c r="A11" s="20" t="s">
        <v>90</v>
      </c>
      <c r="B11" s="21"/>
      <c r="C11" s="21" t="s">
        <v>95</v>
      </c>
      <c r="D11" s="21"/>
      <c r="E11" s="24" t="s">
        <v>35</v>
      </c>
      <c r="G11" s="89" t="s">
        <v>53</v>
      </c>
      <c r="H11" s="89"/>
      <c r="I11" s="89"/>
      <c r="J11" s="89"/>
      <c r="K11" s="2">
        <v>1</v>
      </c>
      <c r="L11" s="2" t="s">
        <v>70</v>
      </c>
      <c r="M11" s="2">
        <v>0</v>
      </c>
      <c r="N11" s="90" t="s">
        <v>71</v>
      </c>
      <c r="O11" s="90"/>
      <c r="P11" s="90"/>
      <c r="Q11" s="90"/>
      <c r="S11" s="89" t="s">
        <v>42</v>
      </c>
      <c r="T11" s="89"/>
      <c r="U11" s="89"/>
      <c r="V11" s="89"/>
      <c r="W11" s="2">
        <v>2</v>
      </c>
      <c r="X11" s="2" t="s">
        <v>70</v>
      </c>
      <c r="Y11" s="2">
        <v>1</v>
      </c>
      <c r="Z11" s="90" t="s">
        <v>45</v>
      </c>
      <c r="AA11" s="90"/>
      <c r="AB11" s="90"/>
      <c r="AC11" s="90"/>
      <c r="AE11" s="89" t="str">
        <f>Tabela!A11</f>
        <v>Estados Unidos</v>
      </c>
      <c r="AF11" s="89"/>
      <c r="AG11" s="89"/>
      <c r="AH11" s="89"/>
      <c r="AI11" s="2">
        <f>Tabela!B11</f>
        <v>1</v>
      </c>
      <c r="AJ11" s="2" t="s">
        <v>70</v>
      </c>
      <c r="AK11" s="2">
        <f>Tabela!D11</f>
        <v>1</v>
      </c>
      <c r="AL11" s="90" t="str">
        <f>Tabela!E11</f>
        <v>Gales</v>
      </c>
      <c r="AM11" s="90"/>
      <c r="AN11" s="90"/>
      <c r="AO11" s="90"/>
      <c r="AQ11" s="89" t="str">
        <f>Tabela!G11</f>
        <v>Bélgica</v>
      </c>
      <c r="AR11" s="89"/>
      <c r="AS11" s="89"/>
      <c r="AT11" s="89"/>
      <c r="AU11" s="2">
        <f>Tabela!H11</f>
        <v>1</v>
      </c>
      <c r="AV11" s="2" t="s">
        <v>70</v>
      </c>
      <c r="AW11" s="2">
        <f>Tabela!J11</f>
        <v>0</v>
      </c>
      <c r="AX11" s="90" t="str">
        <f>Tabela!K11</f>
        <v>Canadá</v>
      </c>
      <c r="AY11" s="90"/>
      <c r="AZ11" s="90"/>
      <c r="BA11" s="90"/>
      <c r="BC11" s="2">
        <f t="shared" si="1"/>
        <v>0</v>
      </c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4"/>
      <c r="BO11" s="34"/>
      <c r="BP11" s="34"/>
      <c r="BQ11" s="34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4"/>
      <c r="CG11" s="98"/>
      <c r="CH11" s="99"/>
      <c r="CI11" s="99"/>
      <c r="CJ11" s="99"/>
      <c r="CK11" s="99"/>
      <c r="CL11" s="99"/>
      <c r="CM11" s="99"/>
      <c r="CN11" s="100"/>
      <c r="CO11" s="104"/>
      <c r="CP11" s="105"/>
      <c r="CQ11" s="105"/>
      <c r="CR11" s="105"/>
      <c r="CS11" s="105"/>
      <c r="CT11" s="106"/>
      <c r="CU11" s="98"/>
      <c r="CV11" s="99"/>
      <c r="CW11" s="99"/>
      <c r="CX11" s="99"/>
      <c r="CY11" s="99"/>
      <c r="CZ11" s="99"/>
      <c r="DA11" s="99"/>
      <c r="DB11" s="100"/>
      <c r="DC11" s="107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</row>
    <row r="12" spans="1:133" x14ac:dyDescent="0.25">
      <c r="A12" s="20" t="s">
        <v>0</v>
      </c>
      <c r="B12" s="21"/>
      <c r="C12" s="21" t="s">
        <v>0</v>
      </c>
      <c r="D12" s="21"/>
      <c r="E12" s="24" t="s">
        <v>0</v>
      </c>
      <c r="G12" s="89" t="s">
        <v>71</v>
      </c>
      <c r="H12" s="89"/>
      <c r="I12" s="89"/>
      <c r="J12" s="89"/>
      <c r="K12" s="2">
        <v>1</v>
      </c>
      <c r="L12" s="2" t="s">
        <v>70</v>
      </c>
      <c r="M12" s="2">
        <v>1</v>
      </c>
      <c r="N12" s="90" t="s">
        <v>58</v>
      </c>
      <c r="O12" s="90"/>
      <c r="P12" s="90"/>
      <c r="Q12" s="90"/>
      <c r="S12" s="89" t="s">
        <v>42</v>
      </c>
      <c r="T12" s="89"/>
      <c r="U12" s="89"/>
      <c r="V12" s="89"/>
      <c r="W12" s="2">
        <v>2</v>
      </c>
      <c r="X12" s="2" t="s">
        <v>70</v>
      </c>
      <c r="Y12" s="2">
        <v>0</v>
      </c>
      <c r="Z12" s="90" t="s">
        <v>60</v>
      </c>
      <c r="AA12" s="90"/>
      <c r="AB12" s="90"/>
      <c r="AC12" s="90"/>
      <c r="AE12" s="89" t="str">
        <f>Tabela!A12</f>
        <v>Gales</v>
      </c>
      <c r="AF12" s="89"/>
      <c r="AG12" s="89"/>
      <c r="AH12" s="89"/>
      <c r="AI12" s="2">
        <f>Tabela!B12</f>
        <v>0</v>
      </c>
      <c r="AJ12" s="2" t="s">
        <v>70</v>
      </c>
      <c r="AK12" s="2">
        <f>Tabela!D12</f>
        <v>2</v>
      </c>
      <c r="AL12" s="90" t="str">
        <f>Tabela!E12</f>
        <v>Irã</v>
      </c>
      <c r="AM12" s="90"/>
      <c r="AN12" s="90"/>
      <c r="AO12" s="90"/>
      <c r="AQ12" s="89" t="str">
        <f>Tabela!G12</f>
        <v>Bélgica</v>
      </c>
      <c r="AR12" s="89"/>
      <c r="AS12" s="89"/>
      <c r="AT12" s="89"/>
      <c r="AU12" s="2">
        <f>Tabela!H12</f>
        <v>0</v>
      </c>
      <c r="AV12" s="2" t="s">
        <v>70</v>
      </c>
      <c r="AW12" s="2">
        <f>Tabela!J12</f>
        <v>2</v>
      </c>
      <c r="AX12" s="90" t="str">
        <f>Tabela!K12</f>
        <v>Marrocos</v>
      </c>
      <c r="AY12" s="90"/>
      <c r="AZ12" s="90"/>
      <c r="BA12" s="90"/>
      <c r="BC12" s="2">
        <f t="shared" si="1"/>
        <v>0</v>
      </c>
      <c r="BD12" s="33"/>
      <c r="BE12" s="109" t="s">
        <v>223</v>
      </c>
      <c r="BF12" s="110"/>
      <c r="BG12" s="110"/>
      <c r="BH12" s="110"/>
      <c r="BI12" s="110"/>
      <c r="BJ12" s="110"/>
      <c r="BK12" s="110"/>
      <c r="BL12" s="110"/>
      <c r="BM12" s="110"/>
      <c r="BN12" s="110"/>
      <c r="BO12" s="111"/>
      <c r="BP12" s="34"/>
      <c r="BQ12" s="34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4"/>
      <c r="CG12" s="98"/>
      <c r="CH12" s="99"/>
      <c r="CI12" s="99"/>
      <c r="CJ12" s="99"/>
      <c r="CK12" s="99"/>
      <c r="CL12" s="99"/>
      <c r="CM12" s="99"/>
      <c r="CN12" s="100"/>
      <c r="CO12" s="104"/>
      <c r="CP12" s="105"/>
      <c r="CQ12" s="105"/>
      <c r="CR12" s="105"/>
      <c r="CS12" s="105"/>
      <c r="CT12" s="106"/>
      <c r="CU12" s="98"/>
      <c r="CV12" s="99"/>
      <c r="CW12" s="99"/>
      <c r="CX12" s="99"/>
      <c r="CY12" s="99"/>
      <c r="CZ12" s="99"/>
      <c r="DA12" s="99"/>
      <c r="DB12" s="100"/>
      <c r="DC12" s="107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</row>
    <row r="13" spans="1:133" x14ac:dyDescent="0.25">
      <c r="A13" s="16" t="s">
        <v>5</v>
      </c>
      <c r="B13" s="21"/>
      <c r="C13" s="17" t="s">
        <v>16</v>
      </c>
      <c r="D13" s="21"/>
      <c r="E13" s="18" t="s">
        <v>27</v>
      </c>
      <c r="G13" s="89" t="s">
        <v>57</v>
      </c>
      <c r="H13" s="89"/>
      <c r="I13" s="89"/>
      <c r="J13" s="89"/>
      <c r="K13" s="2">
        <v>2</v>
      </c>
      <c r="L13" s="2" t="s">
        <v>70</v>
      </c>
      <c r="M13" s="2">
        <v>1</v>
      </c>
      <c r="N13" s="90" t="s">
        <v>53</v>
      </c>
      <c r="O13" s="90"/>
      <c r="P13" s="90"/>
      <c r="Q13" s="90"/>
      <c r="S13" s="89" t="s">
        <v>49</v>
      </c>
      <c r="T13" s="89"/>
      <c r="U13" s="89"/>
      <c r="V13" s="89"/>
      <c r="W13" s="2">
        <v>2</v>
      </c>
      <c r="X13" s="2" t="s">
        <v>70</v>
      </c>
      <c r="Y13" s="2">
        <v>1</v>
      </c>
      <c r="Z13" s="90" t="s">
        <v>45</v>
      </c>
      <c r="AA13" s="90"/>
      <c r="AB13" s="90"/>
      <c r="AC13" s="90"/>
      <c r="AE13" s="89" t="str">
        <f>Tabela!A13</f>
        <v>Inglaterra</v>
      </c>
      <c r="AF13" s="89"/>
      <c r="AG13" s="89"/>
      <c r="AH13" s="89"/>
      <c r="AI13" s="2">
        <f>Tabela!B13</f>
        <v>0</v>
      </c>
      <c r="AJ13" s="2" t="s">
        <v>70</v>
      </c>
      <c r="AK13" s="2">
        <f>Tabela!D13</f>
        <v>0</v>
      </c>
      <c r="AL13" s="90" t="str">
        <f>Tabela!E13</f>
        <v>Estados Unidos</v>
      </c>
      <c r="AM13" s="90"/>
      <c r="AN13" s="90"/>
      <c r="AO13" s="90"/>
      <c r="AQ13" s="89" t="str">
        <f>Tabela!G13</f>
        <v>Croácia</v>
      </c>
      <c r="AR13" s="89"/>
      <c r="AS13" s="89"/>
      <c r="AT13" s="89"/>
      <c r="AU13" s="2">
        <f>Tabela!H13</f>
        <v>0</v>
      </c>
      <c r="AV13" s="2" t="s">
        <v>70</v>
      </c>
      <c r="AW13" s="2">
        <f>Tabela!J13</f>
        <v>0</v>
      </c>
      <c r="AX13" s="90" t="str">
        <f>Tabela!K13</f>
        <v>Canadá</v>
      </c>
      <c r="AY13" s="90"/>
      <c r="AZ13" s="90"/>
      <c r="BA13" s="90"/>
      <c r="BC13" s="2">
        <f t="shared" si="1"/>
        <v>0</v>
      </c>
      <c r="BD13" s="33"/>
      <c r="BE13" s="109"/>
      <c r="BF13" s="110"/>
      <c r="BG13" s="110"/>
      <c r="BH13" s="110"/>
      <c r="BI13" s="110"/>
      <c r="BJ13" s="110"/>
      <c r="BK13" s="110"/>
      <c r="BL13" s="110"/>
      <c r="BM13" s="110"/>
      <c r="BN13" s="110"/>
      <c r="BO13" s="111"/>
      <c r="BP13" s="34"/>
      <c r="BQ13" s="34"/>
      <c r="BR13" s="93"/>
      <c r="BS13" s="93"/>
      <c r="BT13" s="93"/>
      <c r="BU13" s="93"/>
      <c r="BV13" s="93"/>
      <c r="BW13" s="93"/>
      <c r="BX13" s="93"/>
      <c r="BY13" s="93"/>
      <c r="BZ13" s="93"/>
      <c r="CA13" s="93"/>
      <c r="CB13" s="93"/>
      <c r="CC13" s="93"/>
      <c r="CD13" s="93"/>
      <c r="CE13" s="93"/>
      <c r="CF13" s="94"/>
      <c r="CG13" s="98"/>
      <c r="CH13" s="99"/>
      <c r="CI13" s="99"/>
      <c r="CJ13" s="99"/>
      <c r="CK13" s="99"/>
      <c r="CL13" s="99"/>
      <c r="CM13" s="99"/>
      <c r="CN13" s="100"/>
      <c r="CO13" s="104"/>
      <c r="CP13" s="105"/>
      <c r="CQ13" s="105"/>
      <c r="CR13" s="105"/>
      <c r="CS13" s="105"/>
      <c r="CT13" s="106"/>
      <c r="CU13" s="98"/>
      <c r="CV13" s="99"/>
      <c r="CW13" s="99"/>
      <c r="CX13" s="99"/>
      <c r="CY13" s="99"/>
      <c r="CZ13" s="99"/>
      <c r="DA13" s="99"/>
      <c r="DB13" s="100"/>
      <c r="DC13" s="107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</row>
    <row r="14" spans="1:133" ht="15.75" thickBot="1" x14ac:dyDescent="0.3">
      <c r="A14" s="20" t="s">
        <v>0</v>
      </c>
      <c r="B14" s="21"/>
      <c r="C14" s="21" t="s">
        <v>0</v>
      </c>
      <c r="D14" s="21"/>
      <c r="E14" s="24" t="s">
        <v>0</v>
      </c>
      <c r="G14" s="89" t="s">
        <v>58</v>
      </c>
      <c r="H14" s="89"/>
      <c r="I14" s="89"/>
      <c r="J14" s="89"/>
      <c r="K14" s="2">
        <v>1</v>
      </c>
      <c r="L14" s="2" t="s">
        <v>70</v>
      </c>
      <c r="M14" s="2">
        <v>1</v>
      </c>
      <c r="N14" s="90" t="s">
        <v>53</v>
      </c>
      <c r="O14" s="90"/>
      <c r="P14" s="90"/>
      <c r="Q14" s="90"/>
      <c r="S14" s="89" t="s">
        <v>49</v>
      </c>
      <c r="T14" s="89"/>
      <c r="U14" s="89"/>
      <c r="V14" s="89"/>
      <c r="W14" s="2">
        <v>1</v>
      </c>
      <c r="X14" s="2" t="s">
        <v>70</v>
      </c>
      <c r="Y14" s="2">
        <v>1</v>
      </c>
      <c r="Z14" s="90" t="s">
        <v>42</v>
      </c>
      <c r="AA14" s="90"/>
      <c r="AB14" s="90"/>
      <c r="AC14" s="90"/>
      <c r="AE14" s="89" t="str">
        <f>Tabela!A14</f>
        <v>Irã</v>
      </c>
      <c r="AF14" s="89"/>
      <c r="AG14" s="89"/>
      <c r="AH14" s="89"/>
      <c r="AI14" s="2">
        <f>Tabela!B14</f>
        <v>0</v>
      </c>
      <c r="AJ14" s="2" t="s">
        <v>70</v>
      </c>
      <c r="AK14" s="2">
        <f>Tabela!D14</f>
        <v>0</v>
      </c>
      <c r="AL14" s="90" t="str">
        <f>Tabela!E14</f>
        <v>Estados Unidos</v>
      </c>
      <c r="AM14" s="90"/>
      <c r="AN14" s="90"/>
      <c r="AO14" s="90"/>
      <c r="AQ14" s="89" t="str">
        <f>Tabela!G14</f>
        <v>Croácia</v>
      </c>
      <c r="AR14" s="89"/>
      <c r="AS14" s="89"/>
      <c r="AT14" s="89"/>
      <c r="AU14" s="2">
        <f>Tabela!H14</f>
        <v>0</v>
      </c>
      <c r="AV14" s="2" t="s">
        <v>70</v>
      </c>
      <c r="AW14" s="2">
        <f>Tabela!J14</f>
        <v>0</v>
      </c>
      <c r="AX14" s="90" t="str">
        <f>Tabela!K14</f>
        <v>Bélgica</v>
      </c>
      <c r="AY14" s="90"/>
      <c r="AZ14" s="90"/>
      <c r="BA14" s="90"/>
      <c r="BC14" s="2">
        <f t="shared" si="1"/>
        <v>0</v>
      </c>
      <c r="BD14" s="33"/>
      <c r="BE14" s="112">
        <v>10</v>
      </c>
      <c r="BF14" s="113"/>
      <c r="BG14" s="113"/>
      <c r="BH14" s="113"/>
      <c r="BI14" s="113"/>
      <c r="BJ14" s="113"/>
      <c r="BK14" s="113"/>
      <c r="BL14" s="113"/>
      <c r="BM14" s="113"/>
      <c r="BN14" s="113"/>
      <c r="BO14" s="114"/>
      <c r="BP14" s="34"/>
      <c r="BQ14" s="34"/>
      <c r="BR14" s="93"/>
      <c r="BS14" s="93"/>
      <c r="BT14" s="93"/>
      <c r="BU14" s="93"/>
      <c r="BV14" s="93"/>
      <c r="BW14" s="93"/>
      <c r="BX14" s="93"/>
      <c r="BY14" s="93"/>
      <c r="BZ14" s="93"/>
      <c r="CA14" s="93"/>
      <c r="CB14" s="93"/>
      <c r="CC14" s="93"/>
      <c r="CD14" s="93"/>
      <c r="CE14" s="93"/>
      <c r="CF14" s="94"/>
      <c r="CG14" s="101"/>
      <c r="CH14" s="102"/>
      <c r="CI14" s="102"/>
      <c r="CJ14" s="102"/>
      <c r="CK14" s="102"/>
      <c r="CL14" s="102"/>
      <c r="CM14" s="102"/>
      <c r="CN14" s="103"/>
      <c r="CO14" s="104"/>
      <c r="CP14" s="105"/>
      <c r="CQ14" s="105"/>
      <c r="CR14" s="105"/>
      <c r="CS14" s="105"/>
      <c r="CT14" s="106"/>
      <c r="CU14" s="101"/>
      <c r="CV14" s="102"/>
      <c r="CW14" s="102"/>
      <c r="CX14" s="102"/>
      <c r="CY14" s="102"/>
      <c r="CZ14" s="102"/>
      <c r="DA14" s="102"/>
      <c r="DB14" s="103"/>
      <c r="DC14" s="107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</row>
    <row r="15" spans="1:133" x14ac:dyDescent="0.25">
      <c r="A15" s="20" t="s">
        <v>29</v>
      </c>
      <c r="B15" s="21"/>
      <c r="C15" s="21" t="s">
        <v>31</v>
      </c>
      <c r="D15" s="21"/>
      <c r="E15" s="24" t="s">
        <v>100</v>
      </c>
      <c r="G15" s="89" t="s">
        <v>71</v>
      </c>
      <c r="H15" s="89"/>
      <c r="I15" s="89"/>
      <c r="J15" s="89"/>
      <c r="K15" s="2">
        <v>0</v>
      </c>
      <c r="L15" s="2" t="s">
        <v>70</v>
      </c>
      <c r="M15" s="2">
        <v>3</v>
      </c>
      <c r="N15" s="90" t="s">
        <v>57</v>
      </c>
      <c r="O15" s="90"/>
      <c r="P15" s="90"/>
      <c r="Q15" s="90"/>
      <c r="S15" s="89" t="s">
        <v>45</v>
      </c>
      <c r="T15" s="89"/>
      <c r="U15" s="89"/>
      <c r="V15" s="89"/>
      <c r="W15" s="2">
        <v>1</v>
      </c>
      <c r="X15" s="2" t="s">
        <v>70</v>
      </c>
      <c r="Y15" s="2">
        <v>0</v>
      </c>
      <c r="Z15" s="90" t="s">
        <v>60</v>
      </c>
      <c r="AA15" s="90"/>
      <c r="AB15" s="90"/>
      <c r="AC15" s="90"/>
      <c r="AE15" s="89" t="str">
        <f>Tabela!A15</f>
        <v>Gales</v>
      </c>
      <c r="AF15" s="89"/>
      <c r="AG15" s="89"/>
      <c r="AH15" s="89"/>
      <c r="AI15" s="2">
        <f>Tabela!B15</f>
        <v>0</v>
      </c>
      <c r="AJ15" s="2" t="s">
        <v>70</v>
      </c>
      <c r="AK15" s="2">
        <f>Tabela!D15</f>
        <v>0</v>
      </c>
      <c r="AL15" s="90" t="str">
        <f>Tabela!E15</f>
        <v>Inglaterra</v>
      </c>
      <c r="AM15" s="90"/>
      <c r="AN15" s="90"/>
      <c r="AO15" s="90"/>
      <c r="AQ15" s="89" t="str">
        <f>Tabela!G15</f>
        <v>Canadá</v>
      </c>
      <c r="AR15" s="89"/>
      <c r="AS15" s="89"/>
      <c r="AT15" s="89"/>
      <c r="AU15" s="2">
        <f>Tabela!H15</f>
        <v>0</v>
      </c>
      <c r="AV15" s="2" t="s">
        <v>70</v>
      </c>
      <c r="AW15" s="2">
        <f>Tabela!J15</f>
        <v>0</v>
      </c>
      <c r="AX15" s="90" t="str">
        <f>Tabela!K15</f>
        <v>Marrocos</v>
      </c>
      <c r="AY15" s="90"/>
      <c r="AZ15" s="90"/>
      <c r="BA15" s="90"/>
      <c r="BC15" s="2">
        <f t="shared" si="1"/>
        <v>0</v>
      </c>
      <c r="BD15" s="33"/>
      <c r="BE15" s="112"/>
      <c r="BF15" s="113"/>
      <c r="BG15" s="113"/>
      <c r="BH15" s="113"/>
      <c r="BI15" s="113"/>
      <c r="BJ15" s="113"/>
      <c r="BK15" s="113"/>
      <c r="BL15" s="113"/>
      <c r="BM15" s="113"/>
      <c r="BN15" s="113"/>
      <c r="BO15" s="114"/>
      <c r="BP15" s="34"/>
      <c r="BQ15" s="34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  <c r="DI15" s="33"/>
      <c r="DJ15" s="33"/>
      <c r="DK15" s="33"/>
      <c r="DL15" s="33"/>
      <c r="DM15" s="33"/>
      <c r="DN15" s="33"/>
      <c r="DO15" s="33"/>
      <c r="DP15" s="33"/>
      <c r="DQ15" s="33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</row>
    <row r="16" spans="1:133" x14ac:dyDescent="0.25">
      <c r="A16" s="20" t="s">
        <v>6</v>
      </c>
      <c r="B16" s="21"/>
      <c r="C16" s="21" t="s">
        <v>96</v>
      </c>
      <c r="D16" s="21"/>
      <c r="E16" s="24" t="s">
        <v>101</v>
      </c>
      <c r="G16" s="87" t="s">
        <v>9</v>
      </c>
      <c r="H16" s="87"/>
      <c r="I16" s="87"/>
      <c r="J16" s="87"/>
      <c r="K16" s="87"/>
      <c r="L16" s="87"/>
      <c r="M16" s="87"/>
      <c r="N16" s="87"/>
      <c r="O16" s="87"/>
      <c r="P16" s="87"/>
      <c r="Q16" s="87"/>
      <c r="S16" s="87" t="s">
        <v>75</v>
      </c>
      <c r="T16" s="87"/>
      <c r="U16" s="87"/>
      <c r="V16" s="87"/>
      <c r="W16" s="87"/>
      <c r="X16" s="87"/>
      <c r="Y16" s="87"/>
      <c r="Z16" s="87"/>
      <c r="AA16" s="87"/>
      <c r="AB16" s="87"/>
      <c r="AC16" s="87"/>
      <c r="AE16" s="88" t="str">
        <f>Tabela!A16</f>
        <v>Grupo C</v>
      </c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Q16" s="88" t="str">
        <f>Tabela!G16</f>
        <v>Grupo G</v>
      </c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D16" s="33"/>
      <c r="BE16" s="112"/>
      <c r="BF16" s="113"/>
      <c r="BG16" s="113"/>
      <c r="BH16" s="113"/>
      <c r="BI16" s="113"/>
      <c r="BJ16" s="113"/>
      <c r="BK16" s="113"/>
      <c r="BL16" s="113"/>
      <c r="BM16" s="113"/>
      <c r="BN16" s="113"/>
      <c r="BO16" s="114"/>
      <c r="BP16" s="34"/>
      <c r="BQ16" s="34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  <c r="DI16" s="33"/>
      <c r="DJ16" s="33"/>
      <c r="DK16" s="33"/>
      <c r="DL16" s="33"/>
      <c r="DM16" s="33"/>
      <c r="DN16" s="33"/>
      <c r="DO16" s="33"/>
      <c r="DP16" s="33"/>
      <c r="DQ16" s="33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</row>
    <row r="17" spans="1:134" x14ac:dyDescent="0.25">
      <c r="A17" s="20" t="s">
        <v>7</v>
      </c>
      <c r="B17" s="21"/>
      <c r="C17" s="21" t="s">
        <v>81</v>
      </c>
      <c r="D17" s="21"/>
      <c r="E17" s="24" t="s">
        <v>36</v>
      </c>
      <c r="G17" s="89" t="s">
        <v>40</v>
      </c>
      <c r="H17" s="89"/>
      <c r="I17" s="89"/>
      <c r="J17" s="89"/>
      <c r="K17" s="2">
        <v>3</v>
      </c>
      <c r="L17" s="2" t="s">
        <v>70</v>
      </c>
      <c r="M17" s="2">
        <v>0</v>
      </c>
      <c r="N17" s="90" t="s">
        <v>39</v>
      </c>
      <c r="O17" s="90"/>
      <c r="P17" s="90"/>
      <c r="Q17" s="90"/>
      <c r="S17" s="89" t="s">
        <v>67</v>
      </c>
      <c r="T17" s="89"/>
      <c r="U17" s="89"/>
      <c r="V17" s="89"/>
      <c r="W17" s="2">
        <v>2</v>
      </c>
      <c r="X17" s="2" t="s">
        <v>70</v>
      </c>
      <c r="Y17" s="2">
        <v>1</v>
      </c>
      <c r="Z17" s="90" t="s">
        <v>44</v>
      </c>
      <c r="AA17" s="90"/>
      <c r="AB17" s="90"/>
      <c r="AC17" s="90"/>
      <c r="AE17" s="89" t="str">
        <f>Tabela!A17</f>
        <v>Argentina</v>
      </c>
      <c r="AF17" s="89"/>
      <c r="AG17" s="89"/>
      <c r="AH17" s="89"/>
      <c r="AI17" s="2">
        <f>Tabela!B17</f>
        <v>1</v>
      </c>
      <c r="AJ17" s="2" t="s">
        <v>70</v>
      </c>
      <c r="AK17" s="2">
        <f>Tabela!D17</f>
        <v>2</v>
      </c>
      <c r="AL17" s="90" t="str">
        <f>Tabela!E17</f>
        <v>ArábiaSaudita</v>
      </c>
      <c r="AM17" s="90"/>
      <c r="AN17" s="90"/>
      <c r="AO17" s="90"/>
      <c r="AQ17" s="89" t="str">
        <f>Tabela!G17</f>
        <v>Suíça</v>
      </c>
      <c r="AR17" s="89"/>
      <c r="AS17" s="89"/>
      <c r="AT17" s="89"/>
      <c r="AU17" s="2">
        <f>Tabela!H17</f>
        <v>1</v>
      </c>
      <c r="AV17" s="2" t="s">
        <v>70</v>
      </c>
      <c r="AW17" s="2">
        <f>Tabela!J17</f>
        <v>0</v>
      </c>
      <c r="AX17" s="90" t="str">
        <f>Tabela!K17</f>
        <v>Camarões</v>
      </c>
      <c r="AY17" s="90"/>
      <c r="AZ17" s="90"/>
      <c r="BA17" s="90"/>
      <c r="BC17" s="2">
        <f t="shared" si="1"/>
        <v>0</v>
      </c>
      <c r="BD17" s="33"/>
      <c r="BE17" s="112"/>
      <c r="BF17" s="113"/>
      <c r="BG17" s="113"/>
      <c r="BH17" s="113"/>
      <c r="BI17" s="113"/>
      <c r="BJ17" s="113"/>
      <c r="BK17" s="113"/>
      <c r="BL17" s="113"/>
      <c r="BM17" s="113"/>
      <c r="BN17" s="113"/>
      <c r="BO17" s="114"/>
      <c r="BP17" s="34"/>
      <c r="BQ17" s="34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</row>
    <row r="18" spans="1:134" x14ac:dyDescent="0.25">
      <c r="A18" s="20" t="s">
        <v>8</v>
      </c>
      <c r="B18" s="21"/>
      <c r="C18" s="21" t="s">
        <v>17</v>
      </c>
      <c r="D18" s="21"/>
      <c r="E18" s="24" t="s">
        <v>37</v>
      </c>
      <c r="G18" s="89" t="s">
        <v>61</v>
      </c>
      <c r="H18" s="89"/>
      <c r="I18" s="89"/>
      <c r="J18" s="89"/>
      <c r="K18" s="2">
        <v>1</v>
      </c>
      <c r="L18" s="2" t="s">
        <v>70</v>
      </c>
      <c r="M18" s="2">
        <v>1</v>
      </c>
      <c r="N18" s="90" t="s">
        <v>63</v>
      </c>
      <c r="O18" s="90"/>
      <c r="P18" s="90"/>
      <c r="Q18" s="90"/>
      <c r="S18" s="89" t="s">
        <v>43</v>
      </c>
      <c r="T18" s="89"/>
      <c r="U18" s="89"/>
      <c r="V18" s="89"/>
      <c r="W18" s="2">
        <v>2</v>
      </c>
      <c r="X18" s="2" t="s">
        <v>70</v>
      </c>
      <c r="Y18" s="2">
        <v>0</v>
      </c>
      <c r="Z18" s="90" t="s">
        <v>66</v>
      </c>
      <c r="AA18" s="90"/>
      <c r="AB18" s="90"/>
      <c r="AC18" s="90"/>
      <c r="AE18" s="89" t="str">
        <f>Tabela!A18</f>
        <v>México</v>
      </c>
      <c r="AF18" s="89"/>
      <c r="AG18" s="89"/>
      <c r="AH18" s="89"/>
      <c r="AI18" s="2">
        <f>Tabela!B18</f>
        <v>0</v>
      </c>
      <c r="AJ18" s="2" t="s">
        <v>70</v>
      </c>
      <c r="AK18" s="2">
        <f>Tabela!D18</f>
        <v>0</v>
      </c>
      <c r="AL18" s="90" t="str">
        <f>Tabela!E18</f>
        <v>Polônia</v>
      </c>
      <c r="AM18" s="90"/>
      <c r="AN18" s="90"/>
      <c r="AO18" s="90"/>
      <c r="AQ18" s="89" t="str">
        <f>Tabela!G18</f>
        <v>Brasil</v>
      </c>
      <c r="AR18" s="89"/>
      <c r="AS18" s="89"/>
      <c r="AT18" s="89"/>
      <c r="AU18" s="2">
        <f>Tabela!H18</f>
        <v>2</v>
      </c>
      <c r="AV18" s="2" t="s">
        <v>70</v>
      </c>
      <c r="AW18" s="2">
        <f>Tabela!J18</f>
        <v>0</v>
      </c>
      <c r="AX18" s="90" t="str">
        <f>Tabela!K18</f>
        <v>Sérvia</v>
      </c>
      <c r="AY18" s="90"/>
      <c r="AZ18" s="90"/>
      <c r="BA18" s="90"/>
      <c r="BC18" s="2">
        <f t="shared" si="1"/>
        <v>0</v>
      </c>
      <c r="BD18" s="33"/>
      <c r="BE18" s="112"/>
      <c r="BF18" s="113"/>
      <c r="BG18" s="113"/>
      <c r="BH18" s="113"/>
      <c r="BI18" s="113"/>
      <c r="BJ18" s="113"/>
      <c r="BK18" s="113"/>
      <c r="BL18" s="113"/>
      <c r="BM18" s="113"/>
      <c r="BN18" s="113"/>
      <c r="BO18" s="114"/>
      <c r="BP18" s="34"/>
      <c r="BQ18" s="34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</row>
    <row r="19" spans="1:134" x14ac:dyDescent="0.25">
      <c r="A19" s="20" t="s">
        <v>80</v>
      </c>
      <c r="B19" s="21"/>
      <c r="C19" s="21" t="s">
        <v>18</v>
      </c>
      <c r="D19" s="21"/>
      <c r="E19" s="24" t="s">
        <v>102</v>
      </c>
      <c r="G19" s="89" t="s">
        <v>63</v>
      </c>
      <c r="H19" s="89"/>
      <c r="I19" s="89"/>
      <c r="J19" s="89"/>
      <c r="K19" s="2">
        <v>2</v>
      </c>
      <c r="L19" s="2" t="s">
        <v>70</v>
      </c>
      <c r="M19" s="2">
        <v>0</v>
      </c>
      <c r="N19" s="90" t="s">
        <v>39</v>
      </c>
      <c r="O19" s="90"/>
      <c r="P19" s="90"/>
      <c r="Q19" s="90"/>
      <c r="S19" s="89" t="s">
        <v>44</v>
      </c>
      <c r="T19" s="89"/>
      <c r="U19" s="89"/>
      <c r="V19" s="89"/>
      <c r="W19" s="2">
        <v>1</v>
      </c>
      <c r="X19" s="2" t="s">
        <v>70</v>
      </c>
      <c r="Y19" s="2">
        <v>1</v>
      </c>
      <c r="Z19" s="90" t="s">
        <v>66</v>
      </c>
      <c r="AA19" s="90"/>
      <c r="AB19" s="90"/>
      <c r="AC19" s="90"/>
      <c r="AE19" s="89" t="str">
        <f>Tabela!A19</f>
        <v>Polônia</v>
      </c>
      <c r="AF19" s="89"/>
      <c r="AG19" s="89"/>
      <c r="AH19" s="89"/>
      <c r="AI19" s="2">
        <f>Tabela!B19</f>
        <v>2</v>
      </c>
      <c r="AJ19" s="2" t="s">
        <v>70</v>
      </c>
      <c r="AK19" s="2">
        <f>Tabela!D19</f>
        <v>0</v>
      </c>
      <c r="AL19" s="90" t="str">
        <f>Tabela!E19</f>
        <v>ArábiaSaudita</v>
      </c>
      <c r="AM19" s="90"/>
      <c r="AN19" s="90"/>
      <c r="AO19" s="90"/>
      <c r="AQ19" s="89" t="str">
        <f>Tabela!G19</f>
        <v>Camarões</v>
      </c>
      <c r="AR19" s="89"/>
      <c r="AS19" s="89"/>
      <c r="AT19" s="89"/>
      <c r="AU19" s="2">
        <f>Tabela!H19</f>
        <v>0</v>
      </c>
      <c r="AV19" s="2" t="s">
        <v>70</v>
      </c>
      <c r="AW19" s="2">
        <f>Tabela!J19</f>
        <v>0</v>
      </c>
      <c r="AX19" s="90" t="str">
        <f>Tabela!K19</f>
        <v>Sérvia</v>
      </c>
      <c r="AY19" s="90"/>
      <c r="AZ19" s="90"/>
      <c r="BA19" s="90"/>
      <c r="BC19" s="2">
        <f t="shared" si="1"/>
        <v>25</v>
      </c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4"/>
      <c r="BO19" s="34"/>
      <c r="BP19" s="34"/>
      <c r="BQ19" s="34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  <c r="DI19" s="33"/>
      <c r="DJ19" s="33"/>
      <c r="DK19" s="33"/>
      <c r="DL19" s="33"/>
      <c r="DM19" s="33"/>
      <c r="DN19" s="33"/>
      <c r="DO19" s="33"/>
      <c r="DP19" s="33"/>
      <c r="DQ19" s="33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</row>
    <row r="20" spans="1:134" x14ac:dyDescent="0.25">
      <c r="A20" s="20" t="s">
        <v>86</v>
      </c>
      <c r="B20" s="21"/>
      <c r="C20" s="21" t="s">
        <v>97</v>
      </c>
      <c r="D20" s="21"/>
      <c r="E20" s="24" t="s">
        <v>103</v>
      </c>
      <c r="G20" s="89" t="s">
        <v>40</v>
      </c>
      <c r="H20" s="89"/>
      <c r="I20" s="89"/>
      <c r="J20" s="89"/>
      <c r="K20" s="2">
        <v>2</v>
      </c>
      <c r="L20" s="2" t="s">
        <v>70</v>
      </c>
      <c r="M20" s="2">
        <v>1</v>
      </c>
      <c r="N20" s="90" t="s">
        <v>61</v>
      </c>
      <c r="O20" s="90"/>
      <c r="P20" s="90"/>
      <c r="Q20" s="90"/>
      <c r="S20" s="89" t="s">
        <v>43</v>
      </c>
      <c r="T20" s="89"/>
      <c r="U20" s="89"/>
      <c r="V20" s="89"/>
      <c r="W20" s="2">
        <v>2</v>
      </c>
      <c r="X20" s="2" t="s">
        <v>70</v>
      </c>
      <c r="Y20" s="2">
        <v>1</v>
      </c>
      <c r="Z20" s="90" t="s">
        <v>67</v>
      </c>
      <c r="AA20" s="90"/>
      <c r="AB20" s="90"/>
      <c r="AC20" s="90"/>
      <c r="AE20" s="89" t="str">
        <f>Tabela!A20</f>
        <v>Argentina</v>
      </c>
      <c r="AF20" s="89"/>
      <c r="AG20" s="89"/>
      <c r="AH20" s="89"/>
      <c r="AI20" s="2">
        <f>Tabela!B20</f>
        <v>2</v>
      </c>
      <c r="AJ20" s="2" t="s">
        <v>70</v>
      </c>
      <c r="AK20" s="2">
        <f>Tabela!D20</f>
        <v>0</v>
      </c>
      <c r="AL20" s="90" t="str">
        <f>Tabela!E20</f>
        <v>México</v>
      </c>
      <c r="AM20" s="90"/>
      <c r="AN20" s="90"/>
      <c r="AO20" s="90"/>
      <c r="AQ20" s="89" t="str">
        <f>Tabela!G20</f>
        <v>Brasil</v>
      </c>
      <c r="AR20" s="89"/>
      <c r="AS20" s="89"/>
      <c r="AT20" s="89"/>
      <c r="AU20" s="2">
        <f>Tabela!H20</f>
        <v>0</v>
      </c>
      <c r="AV20" s="2" t="s">
        <v>70</v>
      </c>
      <c r="AW20" s="2">
        <f>Tabela!J20</f>
        <v>0</v>
      </c>
      <c r="AX20" s="90" t="str">
        <f>Tabela!K20</f>
        <v>Suíça</v>
      </c>
      <c r="AY20" s="90"/>
      <c r="AZ20" s="90"/>
      <c r="BA20" s="90"/>
      <c r="BC20" s="2">
        <f t="shared" si="1"/>
        <v>0</v>
      </c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4"/>
      <c r="BO20" s="34"/>
      <c r="BP20" s="34"/>
      <c r="BQ20" s="34"/>
      <c r="BR20" s="115" t="s">
        <v>227</v>
      </c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</row>
    <row r="21" spans="1:134" x14ac:dyDescent="0.25">
      <c r="A21" s="20" t="s">
        <v>0</v>
      </c>
      <c r="B21" s="21"/>
      <c r="C21" s="21" t="s">
        <v>0</v>
      </c>
      <c r="D21" s="21"/>
      <c r="E21" s="24"/>
      <c r="G21" s="89" t="s">
        <v>63</v>
      </c>
      <c r="H21" s="89"/>
      <c r="I21" s="89"/>
      <c r="J21" s="89"/>
      <c r="K21" s="2">
        <v>1</v>
      </c>
      <c r="L21" s="2" t="s">
        <v>70</v>
      </c>
      <c r="M21" s="2">
        <v>2</v>
      </c>
      <c r="N21" s="90" t="s">
        <v>40</v>
      </c>
      <c r="O21" s="90"/>
      <c r="P21" s="90"/>
      <c r="Q21" s="90"/>
      <c r="S21" s="89" t="s">
        <v>44</v>
      </c>
      <c r="T21" s="89"/>
      <c r="U21" s="89"/>
      <c r="V21" s="89"/>
      <c r="W21" s="2">
        <v>0</v>
      </c>
      <c r="X21" s="2" t="s">
        <v>70</v>
      </c>
      <c r="Y21" s="2">
        <v>4</v>
      </c>
      <c r="Z21" s="90" t="s">
        <v>43</v>
      </c>
      <c r="AA21" s="90"/>
      <c r="AB21" s="90"/>
      <c r="AC21" s="90"/>
      <c r="AE21" s="89" t="str">
        <f>Tabela!A21</f>
        <v>Polônia</v>
      </c>
      <c r="AF21" s="89"/>
      <c r="AG21" s="89"/>
      <c r="AH21" s="89"/>
      <c r="AI21" s="2">
        <f>Tabela!B21</f>
        <v>0</v>
      </c>
      <c r="AJ21" s="2" t="s">
        <v>70</v>
      </c>
      <c r="AK21" s="2">
        <f>Tabela!D21</f>
        <v>0</v>
      </c>
      <c r="AL21" s="90" t="str">
        <f>Tabela!E21</f>
        <v>Argentina</v>
      </c>
      <c r="AM21" s="90"/>
      <c r="AN21" s="90"/>
      <c r="AO21" s="90"/>
      <c r="AQ21" s="89" t="str">
        <f>Tabela!G21</f>
        <v>Camarões</v>
      </c>
      <c r="AR21" s="89"/>
      <c r="AS21" s="89"/>
      <c r="AT21" s="89"/>
      <c r="AU21" s="2">
        <f>Tabela!H21</f>
        <v>0</v>
      </c>
      <c r="AV21" s="2" t="s">
        <v>70</v>
      </c>
      <c r="AW21" s="2">
        <f>Tabela!J21</f>
        <v>0</v>
      </c>
      <c r="AX21" s="90" t="str">
        <f>Tabela!K21</f>
        <v>Brasil</v>
      </c>
      <c r="AY21" s="90"/>
      <c r="AZ21" s="90"/>
      <c r="BA21" s="90"/>
      <c r="BC21" s="2">
        <f t="shared" si="1"/>
        <v>0</v>
      </c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4"/>
      <c r="BO21" s="34"/>
      <c r="BP21" s="34"/>
      <c r="BQ21" s="34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/>
      <c r="DC21" s="115"/>
      <c r="DD21" s="115"/>
      <c r="DE21" s="115"/>
      <c r="DF21" s="115"/>
      <c r="DG21" s="115"/>
      <c r="DH21" s="115"/>
      <c r="DI21" s="115"/>
      <c r="DJ21" s="115"/>
      <c r="DK21" s="115"/>
      <c r="DL21" s="115"/>
      <c r="DM21" s="115"/>
      <c r="DN21" s="115"/>
      <c r="DO21" s="115"/>
      <c r="DP21" s="115"/>
      <c r="DQ21" s="115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</row>
    <row r="22" spans="1:134" x14ac:dyDescent="0.25">
      <c r="A22" s="16" t="s">
        <v>9</v>
      </c>
      <c r="B22" s="21"/>
      <c r="C22" s="17" t="s">
        <v>19</v>
      </c>
      <c r="D22" s="21"/>
      <c r="E22" s="19" t="s">
        <v>89</v>
      </c>
      <c r="G22" s="89" t="s">
        <v>39</v>
      </c>
      <c r="H22" s="89"/>
      <c r="I22" s="89"/>
      <c r="J22" s="89"/>
      <c r="K22" s="2">
        <v>0</v>
      </c>
      <c r="L22" s="2" t="s">
        <v>70</v>
      </c>
      <c r="M22" s="2">
        <v>1</v>
      </c>
      <c r="N22" s="90" t="s">
        <v>61</v>
      </c>
      <c r="O22" s="90"/>
      <c r="P22" s="90"/>
      <c r="Q22" s="90"/>
      <c r="S22" s="89" t="s">
        <v>66</v>
      </c>
      <c r="T22" s="89"/>
      <c r="U22" s="89"/>
      <c r="V22" s="89"/>
      <c r="W22" s="2">
        <v>1</v>
      </c>
      <c r="X22" s="2" t="s">
        <v>70</v>
      </c>
      <c r="Y22" s="2">
        <v>2</v>
      </c>
      <c r="Z22" s="90" t="s">
        <v>67</v>
      </c>
      <c r="AA22" s="90"/>
      <c r="AB22" s="90"/>
      <c r="AC22" s="90"/>
      <c r="AE22" s="89" t="str">
        <f>Tabela!A22</f>
        <v>ArábiaSaudita</v>
      </c>
      <c r="AF22" s="89"/>
      <c r="AG22" s="89"/>
      <c r="AH22" s="89"/>
      <c r="AI22" s="2">
        <f>Tabela!B22</f>
        <v>0</v>
      </c>
      <c r="AJ22" s="2" t="s">
        <v>70</v>
      </c>
      <c r="AK22" s="2">
        <f>Tabela!D22</f>
        <v>0</v>
      </c>
      <c r="AL22" s="90" t="str">
        <f>Tabela!E22</f>
        <v>México</v>
      </c>
      <c r="AM22" s="90"/>
      <c r="AN22" s="90"/>
      <c r="AO22" s="90"/>
      <c r="AQ22" s="89" t="str">
        <f>Tabela!G22</f>
        <v>Sérvia</v>
      </c>
      <c r="AR22" s="89"/>
      <c r="AS22" s="89"/>
      <c r="AT22" s="89"/>
      <c r="AU22" s="2">
        <f>Tabela!H22</f>
        <v>0</v>
      </c>
      <c r="AV22" s="2" t="s">
        <v>70</v>
      </c>
      <c r="AW22" s="2">
        <f>Tabela!J22</f>
        <v>0</v>
      </c>
      <c r="AX22" s="90" t="str">
        <f>Tabela!K22</f>
        <v>Suíça</v>
      </c>
      <c r="AY22" s="90"/>
      <c r="AZ22" s="90"/>
      <c r="BA22" s="90"/>
      <c r="BC22" s="2">
        <f t="shared" si="1"/>
        <v>0</v>
      </c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4"/>
      <c r="BO22" s="34"/>
      <c r="BP22" s="34"/>
      <c r="BQ22" s="34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/>
      <c r="DC22" s="115"/>
      <c r="DD22" s="115"/>
      <c r="DE22" s="115"/>
      <c r="DF22" s="115"/>
      <c r="DG22" s="115"/>
      <c r="DH22" s="115"/>
      <c r="DI22" s="115"/>
      <c r="DJ22" s="115"/>
      <c r="DK22" s="115"/>
      <c r="DL22" s="115"/>
      <c r="DM22" s="115"/>
      <c r="DN22" s="115"/>
      <c r="DO22" s="115"/>
      <c r="DP22" s="115"/>
      <c r="DQ22" s="115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</row>
    <row r="23" spans="1:134" ht="15.75" thickBot="1" x14ac:dyDescent="0.3">
      <c r="A23" s="20" t="s">
        <v>0</v>
      </c>
      <c r="B23" s="21"/>
      <c r="C23" s="21" t="s">
        <v>0</v>
      </c>
      <c r="D23" s="21"/>
      <c r="E23" s="24" t="s">
        <v>144</v>
      </c>
      <c r="G23" s="87" t="s">
        <v>13</v>
      </c>
      <c r="H23" s="87"/>
      <c r="I23" s="87"/>
      <c r="J23" s="87"/>
      <c r="K23" s="87"/>
      <c r="L23" s="87"/>
      <c r="M23" s="87"/>
      <c r="N23" s="87"/>
      <c r="O23" s="87"/>
      <c r="P23" s="87"/>
      <c r="Q23" s="87"/>
      <c r="S23" s="87" t="s">
        <v>76</v>
      </c>
      <c r="T23" s="87"/>
      <c r="U23" s="87"/>
      <c r="V23" s="87"/>
      <c r="W23" s="87"/>
      <c r="X23" s="87"/>
      <c r="Y23" s="87"/>
      <c r="Z23" s="87"/>
      <c r="AA23" s="87"/>
      <c r="AB23" s="87"/>
      <c r="AC23" s="87"/>
      <c r="AE23" s="88" t="str">
        <f>Tabela!A23</f>
        <v>Grupo D</v>
      </c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Q23" s="88" t="str">
        <f>Tabela!G23</f>
        <v>Grupo H</v>
      </c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4"/>
      <c r="BO23" s="34"/>
      <c r="BP23" s="34"/>
      <c r="BQ23" s="34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6"/>
      <c r="CH23" s="116"/>
      <c r="CI23" s="116"/>
      <c r="CJ23" s="116"/>
      <c r="CK23" s="116"/>
      <c r="CL23" s="116"/>
      <c r="CM23" s="116"/>
      <c r="CN23" s="116"/>
      <c r="CO23" s="115"/>
      <c r="CP23" s="115"/>
      <c r="CQ23" s="115"/>
      <c r="CR23" s="115"/>
      <c r="CS23" s="115"/>
      <c r="CT23" s="115"/>
      <c r="CU23" s="116"/>
      <c r="CV23" s="116"/>
      <c r="CW23" s="116"/>
      <c r="CX23" s="116"/>
      <c r="CY23" s="116"/>
      <c r="CZ23" s="116"/>
      <c r="DA23" s="116"/>
      <c r="DB23" s="116"/>
      <c r="DC23" s="115"/>
      <c r="DD23" s="115"/>
      <c r="DE23" s="115"/>
      <c r="DF23" s="115"/>
      <c r="DG23" s="115"/>
      <c r="DH23" s="115"/>
      <c r="DI23" s="115"/>
      <c r="DJ23" s="115"/>
      <c r="DK23" s="115"/>
      <c r="DL23" s="115"/>
      <c r="DM23" s="115"/>
      <c r="DN23" s="115"/>
      <c r="DO23" s="115"/>
      <c r="DP23" s="115"/>
      <c r="DQ23" s="115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</row>
    <row r="24" spans="1:134" x14ac:dyDescent="0.25">
      <c r="A24" s="20" t="s">
        <v>91</v>
      </c>
      <c r="B24" s="21"/>
      <c r="C24" s="21" t="s">
        <v>98</v>
      </c>
      <c r="D24" s="21"/>
      <c r="E24" s="24" t="s">
        <v>145</v>
      </c>
      <c r="G24" s="89" t="s">
        <v>50</v>
      </c>
      <c r="H24" s="89"/>
      <c r="I24" s="89"/>
      <c r="J24" s="89"/>
      <c r="K24" s="2">
        <v>1</v>
      </c>
      <c r="L24" s="2" t="s">
        <v>70</v>
      </c>
      <c r="M24" s="2">
        <v>1</v>
      </c>
      <c r="N24" s="90" t="s">
        <v>68</v>
      </c>
      <c r="O24" s="90"/>
      <c r="P24" s="90"/>
      <c r="Q24" s="90"/>
      <c r="S24" s="89" t="s">
        <v>69</v>
      </c>
      <c r="T24" s="89"/>
      <c r="U24" s="89"/>
      <c r="V24" s="89"/>
      <c r="W24" s="2">
        <v>2</v>
      </c>
      <c r="X24" s="2" t="s">
        <v>70</v>
      </c>
      <c r="Y24" s="2">
        <v>1</v>
      </c>
      <c r="Z24" s="90" t="s">
        <v>47</v>
      </c>
      <c r="AA24" s="90"/>
      <c r="AB24" s="90"/>
      <c r="AC24" s="90"/>
      <c r="AE24" s="89" t="str">
        <f>Tabela!A24</f>
        <v>Dinamarca</v>
      </c>
      <c r="AF24" s="89"/>
      <c r="AG24" s="89"/>
      <c r="AH24" s="89"/>
      <c r="AI24" s="2">
        <f>Tabela!B24</f>
        <v>0</v>
      </c>
      <c r="AJ24" s="2" t="s">
        <v>70</v>
      </c>
      <c r="AK24" s="2">
        <f>Tabela!D24</f>
        <v>0</v>
      </c>
      <c r="AL24" s="90" t="str">
        <f>Tabela!E24</f>
        <v>Tunísia</v>
      </c>
      <c r="AM24" s="90"/>
      <c r="AN24" s="90"/>
      <c r="AO24" s="90"/>
      <c r="AQ24" s="89" t="str">
        <f>Tabela!G24</f>
        <v>Uruguai</v>
      </c>
      <c r="AR24" s="89"/>
      <c r="AS24" s="89"/>
      <c r="AT24" s="89"/>
      <c r="AU24" s="2">
        <f>Tabela!H24</f>
        <v>0</v>
      </c>
      <c r="AV24" s="2" t="s">
        <v>70</v>
      </c>
      <c r="AW24" s="2">
        <f>Tabela!J24</f>
        <v>0</v>
      </c>
      <c r="AX24" s="90" t="str">
        <f>Tabela!K24</f>
        <v>CoreiaDoSul</v>
      </c>
      <c r="AY24" s="90"/>
      <c r="AZ24" s="90"/>
      <c r="BA24" s="90"/>
      <c r="BC24" s="2">
        <f t="shared" si="1"/>
        <v>0</v>
      </c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4"/>
      <c r="BO24" s="34"/>
      <c r="BP24" s="34"/>
      <c r="BQ24" s="34"/>
      <c r="BR24" s="93" t="s">
        <v>228</v>
      </c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4"/>
      <c r="CG24" s="95">
        <v>1</v>
      </c>
      <c r="CH24" s="96"/>
      <c r="CI24" s="96"/>
      <c r="CJ24" s="96"/>
      <c r="CK24" s="96"/>
      <c r="CL24" s="96"/>
      <c r="CM24" s="96"/>
      <c r="CN24" s="97"/>
      <c r="CO24" s="104" t="s">
        <v>230</v>
      </c>
      <c r="CP24" s="105"/>
      <c r="CQ24" s="105"/>
      <c r="CR24" s="105"/>
      <c r="CS24" s="105"/>
      <c r="CT24" s="106"/>
      <c r="CU24" s="95">
        <v>1</v>
      </c>
      <c r="CV24" s="96"/>
      <c r="CW24" s="96"/>
      <c r="CX24" s="96"/>
      <c r="CY24" s="96"/>
      <c r="CZ24" s="96"/>
      <c r="DA24" s="96"/>
      <c r="DB24" s="97"/>
      <c r="DC24" s="107" t="s">
        <v>229</v>
      </c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</row>
    <row r="25" spans="1:134" x14ac:dyDescent="0.25">
      <c r="A25" s="20" t="s">
        <v>10</v>
      </c>
      <c r="B25" s="21"/>
      <c r="C25" s="21" t="s">
        <v>99</v>
      </c>
      <c r="D25" s="21"/>
      <c r="E25" s="24"/>
      <c r="G25" s="89" t="s">
        <v>54</v>
      </c>
      <c r="H25" s="89"/>
      <c r="I25" s="89"/>
      <c r="J25" s="89"/>
      <c r="K25" s="2">
        <v>2</v>
      </c>
      <c r="L25" s="2" t="s">
        <v>70</v>
      </c>
      <c r="M25" s="2">
        <v>1</v>
      </c>
      <c r="N25" s="90" t="s">
        <v>41</v>
      </c>
      <c r="O25" s="90"/>
      <c r="P25" s="90"/>
      <c r="Q25" s="90"/>
      <c r="S25" s="89" t="s">
        <v>64</v>
      </c>
      <c r="T25" s="89"/>
      <c r="U25" s="89"/>
      <c r="V25" s="89"/>
      <c r="W25" s="2">
        <v>1</v>
      </c>
      <c r="X25" s="2" t="s">
        <v>70</v>
      </c>
      <c r="Y25" s="2">
        <v>0</v>
      </c>
      <c r="Z25" s="90" t="s">
        <v>55</v>
      </c>
      <c r="AA25" s="90"/>
      <c r="AB25" s="90"/>
      <c r="AC25" s="90"/>
      <c r="AE25" s="89" t="str">
        <f>Tabela!A25</f>
        <v>França</v>
      </c>
      <c r="AF25" s="89"/>
      <c r="AG25" s="89"/>
      <c r="AH25" s="89"/>
      <c r="AI25" s="2">
        <f>Tabela!B25</f>
        <v>4</v>
      </c>
      <c r="AJ25" s="2" t="s">
        <v>70</v>
      </c>
      <c r="AK25" s="2">
        <f>Tabela!D25</f>
        <v>1</v>
      </c>
      <c r="AL25" s="90" t="str">
        <f>Tabela!E25</f>
        <v>Austrália</v>
      </c>
      <c r="AM25" s="90"/>
      <c r="AN25" s="90"/>
      <c r="AO25" s="90"/>
      <c r="AQ25" s="89" t="str">
        <f>Tabela!G25</f>
        <v>Portugal</v>
      </c>
      <c r="AR25" s="89"/>
      <c r="AS25" s="89"/>
      <c r="AT25" s="89"/>
      <c r="AU25" s="2">
        <f>Tabela!H25</f>
        <v>3</v>
      </c>
      <c r="AV25" s="2" t="s">
        <v>70</v>
      </c>
      <c r="AW25" s="2">
        <f>Tabela!J25</f>
        <v>2</v>
      </c>
      <c r="AX25" s="90" t="str">
        <f>Tabela!K25</f>
        <v>Gana</v>
      </c>
      <c r="AY25" s="90"/>
      <c r="AZ25" s="90"/>
      <c r="BA25" s="90"/>
      <c r="BC25" s="2">
        <f t="shared" si="1"/>
        <v>0</v>
      </c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4"/>
      <c r="BO25" s="34"/>
      <c r="BP25" s="34"/>
      <c r="BQ25" s="34"/>
      <c r="BR25" s="93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3"/>
      <c r="CE25" s="93"/>
      <c r="CF25" s="94"/>
      <c r="CG25" s="98"/>
      <c r="CH25" s="99"/>
      <c r="CI25" s="99"/>
      <c r="CJ25" s="99"/>
      <c r="CK25" s="99"/>
      <c r="CL25" s="99"/>
      <c r="CM25" s="99"/>
      <c r="CN25" s="100"/>
      <c r="CO25" s="104"/>
      <c r="CP25" s="105"/>
      <c r="CQ25" s="105"/>
      <c r="CR25" s="105"/>
      <c r="CS25" s="105"/>
      <c r="CT25" s="106"/>
      <c r="CU25" s="98"/>
      <c r="CV25" s="99"/>
      <c r="CW25" s="99"/>
      <c r="CX25" s="99"/>
      <c r="CY25" s="99"/>
      <c r="CZ25" s="99"/>
      <c r="DA25" s="99"/>
      <c r="DB25" s="100"/>
      <c r="DC25" s="107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</row>
    <row r="26" spans="1:134" x14ac:dyDescent="0.25">
      <c r="A26" s="20" t="s">
        <v>87</v>
      </c>
      <c r="B26" s="21"/>
      <c r="C26" s="21" t="s">
        <v>83</v>
      </c>
      <c r="D26" s="21"/>
      <c r="E26" s="19" t="s">
        <v>88</v>
      </c>
      <c r="G26" s="89" t="s">
        <v>68</v>
      </c>
      <c r="H26" s="89"/>
      <c r="I26" s="89"/>
      <c r="J26" s="89"/>
      <c r="K26" s="2">
        <v>0</v>
      </c>
      <c r="L26" s="2" t="s">
        <v>70</v>
      </c>
      <c r="M26" s="2">
        <v>0</v>
      </c>
      <c r="N26" s="90" t="s">
        <v>41</v>
      </c>
      <c r="O26" s="90"/>
      <c r="P26" s="90"/>
      <c r="Q26" s="90"/>
      <c r="S26" s="89" t="s">
        <v>47</v>
      </c>
      <c r="T26" s="89"/>
      <c r="U26" s="89"/>
      <c r="V26" s="89"/>
      <c r="W26" s="2">
        <v>2</v>
      </c>
      <c r="X26" s="2" t="s">
        <v>70</v>
      </c>
      <c r="Y26" s="2">
        <v>1</v>
      </c>
      <c r="Z26" s="90" t="s">
        <v>55</v>
      </c>
      <c r="AA26" s="90"/>
      <c r="AB26" s="90"/>
      <c r="AC26" s="90"/>
      <c r="AE26" s="89" t="str">
        <f>Tabela!A26</f>
        <v>Tunísia</v>
      </c>
      <c r="AF26" s="89"/>
      <c r="AG26" s="89"/>
      <c r="AH26" s="89"/>
      <c r="AI26" s="2">
        <f>Tabela!B26</f>
        <v>0</v>
      </c>
      <c r="AJ26" s="2" t="s">
        <v>70</v>
      </c>
      <c r="AK26" s="2">
        <f>Tabela!D26</f>
        <v>1</v>
      </c>
      <c r="AL26" s="90" t="str">
        <f>Tabela!E26</f>
        <v>Austrália</v>
      </c>
      <c r="AM26" s="90"/>
      <c r="AN26" s="90"/>
      <c r="AO26" s="90"/>
      <c r="AQ26" s="89" t="str">
        <f>Tabela!G26</f>
        <v>CoreiaDoSul</v>
      </c>
      <c r="AR26" s="89"/>
      <c r="AS26" s="89"/>
      <c r="AT26" s="89"/>
      <c r="AU26" s="2">
        <f>Tabela!H26</f>
        <v>0</v>
      </c>
      <c r="AV26" s="2" t="s">
        <v>70</v>
      </c>
      <c r="AW26" s="2">
        <f>Tabela!J26</f>
        <v>0</v>
      </c>
      <c r="AX26" s="90" t="str">
        <f>Tabela!K26</f>
        <v>Gana</v>
      </c>
      <c r="AY26" s="90"/>
      <c r="AZ26" s="90"/>
      <c r="BA26" s="90"/>
      <c r="BC26" s="2">
        <f t="shared" si="1"/>
        <v>0</v>
      </c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4"/>
      <c r="BO26" s="34"/>
      <c r="BP26" s="34"/>
      <c r="BQ26" s="34"/>
      <c r="BR26" s="93"/>
      <c r="BS26" s="93"/>
      <c r="BT26" s="93"/>
      <c r="BU26" s="93"/>
      <c r="BV26" s="93"/>
      <c r="BW26" s="93"/>
      <c r="BX26" s="93"/>
      <c r="BY26" s="93"/>
      <c r="BZ26" s="93"/>
      <c r="CA26" s="93"/>
      <c r="CB26" s="93"/>
      <c r="CC26" s="93"/>
      <c r="CD26" s="93"/>
      <c r="CE26" s="93"/>
      <c r="CF26" s="94"/>
      <c r="CG26" s="98"/>
      <c r="CH26" s="99"/>
      <c r="CI26" s="99"/>
      <c r="CJ26" s="99"/>
      <c r="CK26" s="99"/>
      <c r="CL26" s="99"/>
      <c r="CM26" s="99"/>
      <c r="CN26" s="100"/>
      <c r="CO26" s="104"/>
      <c r="CP26" s="105"/>
      <c r="CQ26" s="105"/>
      <c r="CR26" s="105"/>
      <c r="CS26" s="105"/>
      <c r="CT26" s="106"/>
      <c r="CU26" s="98"/>
      <c r="CV26" s="99"/>
      <c r="CW26" s="99"/>
      <c r="CX26" s="99"/>
      <c r="CY26" s="99"/>
      <c r="CZ26" s="99"/>
      <c r="DA26" s="99"/>
      <c r="DB26" s="100"/>
      <c r="DC26" s="107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</row>
    <row r="27" spans="1:134" x14ac:dyDescent="0.25">
      <c r="A27" s="20" t="s">
        <v>30</v>
      </c>
      <c r="B27" s="21"/>
      <c r="C27" s="21" t="s">
        <v>20</v>
      </c>
      <c r="D27" s="21"/>
      <c r="E27" s="24" t="s">
        <v>142</v>
      </c>
      <c r="G27" s="89" t="s">
        <v>54</v>
      </c>
      <c r="H27" s="89"/>
      <c r="I27" s="89"/>
      <c r="J27" s="89"/>
      <c r="K27" s="2">
        <v>2</v>
      </c>
      <c r="L27" s="2" t="s">
        <v>70</v>
      </c>
      <c r="M27" s="2">
        <v>0</v>
      </c>
      <c r="N27" s="90" t="s">
        <v>50</v>
      </c>
      <c r="O27" s="90"/>
      <c r="P27" s="90"/>
      <c r="Q27" s="90"/>
      <c r="S27" s="89" t="s">
        <v>64</v>
      </c>
      <c r="T27" s="89"/>
      <c r="U27" s="89"/>
      <c r="V27" s="89"/>
      <c r="W27" s="2">
        <v>2</v>
      </c>
      <c r="X27" s="2" t="s">
        <v>70</v>
      </c>
      <c r="Y27" s="2">
        <v>2</v>
      </c>
      <c r="Z27" s="90" t="s">
        <v>69</v>
      </c>
      <c r="AA27" s="90"/>
      <c r="AB27" s="90"/>
      <c r="AC27" s="90"/>
      <c r="AE27" s="89" t="str">
        <f>Tabela!A27</f>
        <v>França</v>
      </c>
      <c r="AF27" s="89"/>
      <c r="AG27" s="89"/>
      <c r="AH27" s="89"/>
      <c r="AI27" s="2">
        <f>Tabela!B27</f>
        <v>2</v>
      </c>
      <c r="AJ27" s="2" t="s">
        <v>70</v>
      </c>
      <c r="AK27" s="2">
        <f>Tabela!D27</f>
        <v>1</v>
      </c>
      <c r="AL27" s="90" t="str">
        <f>Tabela!E27</f>
        <v>Dinamarca</v>
      </c>
      <c r="AM27" s="90"/>
      <c r="AN27" s="90"/>
      <c r="AO27" s="90"/>
      <c r="AQ27" s="89" t="str">
        <f>Tabela!G27</f>
        <v>Portugal</v>
      </c>
      <c r="AR27" s="89"/>
      <c r="AS27" s="89"/>
      <c r="AT27" s="89"/>
      <c r="AU27" s="2">
        <f>Tabela!H27</f>
        <v>0</v>
      </c>
      <c r="AV27" s="2" t="s">
        <v>70</v>
      </c>
      <c r="AW27" s="2">
        <f>Tabela!J27</f>
        <v>0</v>
      </c>
      <c r="AX27" s="90" t="str">
        <f>Tabela!K27</f>
        <v>Uruguai</v>
      </c>
      <c r="AY27" s="90"/>
      <c r="AZ27" s="90"/>
      <c r="BA27" s="90"/>
      <c r="BC27" s="2">
        <f t="shared" si="1"/>
        <v>0</v>
      </c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4"/>
      <c r="BO27" s="34"/>
      <c r="BP27" s="34"/>
      <c r="BQ27" s="34"/>
      <c r="BR27" s="93"/>
      <c r="BS27" s="93"/>
      <c r="BT27" s="93"/>
      <c r="BU27" s="93"/>
      <c r="BV27" s="93"/>
      <c r="BW27" s="93"/>
      <c r="BX27" s="93"/>
      <c r="BY27" s="93"/>
      <c r="BZ27" s="93"/>
      <c r="CA27" s="93"/>
      <c r="CB27" s="93"/>
      <c r="CC27" s="93"/>
      <c r="CD27" s="93"/>
      <c r="CE27" s="93"/>
      <c r="CF27" s="94"/>
      <c r="CG27" s="98"/>
      <c r="CH27" s="99"/>
      <c r="CI27" s="99"/>
      <c r="CJ27" s="99"/>
      <c r="CK27" s="99"/>
      <c r="CL27" s="99"/>
      <c r="CM27" s="99"/>
      <c r="CN27" s="100"/>
      <c r="CO27" s="104"/>
      <c r="CP27" s="105"/>
      <c r="CQ27" s="105"/>
      <c r="CR27" s="105"/>
      <c r="CS27" s="105"/>
      <c r="CT27" s="106"/>
      <c r="CU27" s="98"/>
      <c r="CV27" s="99"/>
      <c r="CW27" s="99"/>
      <c r="CX27" s="99"/>
      <c r="CY27" s="99"/>
      <c r="CZ27" s="99"/>
      <c r="DA27" s="99"/>
      <c r="DB27" s="100"/>
      <c r="DC27" s="107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</row>
    <row r="28" spans="1:134" x14ac:dyDescent="0.25">
      <c r="A28" s="20" t="s">
        <v>11</v>
      </c>
      <c r="B28" s="21"/>
      <c r="C28" s="21" t="s">
        <v>84</v>
      </c>
      <c r="D28" s="21"/>
      <c r="E28" s="24" t="s">
        <v>143</v>
      </c>
      <c r="G28" s="89" t="s">
        <v>68</v>
      </c>
      <c r="H28" s="89"/>
      <c r="I28" s="89"/>
      <c r="J28" s="89"/>
      <c r="K28" s="2">
        <v>0</v>
      </c>
      <c r="L28" s="2" t="s">
        <v>70</v>
      </c>
      <c r="M28" s="2">
        <v>3</v>
      </c>
      <c r="N28" s="90" t="s">
        <v>54</v>
      </c>
      <c r="O28" s="90"/>
      <c r="P28" s="90"/>
      <c r="Q28" s="90"/>
      <c r="S28" s="89" t="s">
        <v>47</v>
      </c>
      <c r="T28" s="89"/>
      <c r="U28" s="89"/>
      <c r="V28" s="89"/>
      <c r="W28" s="2">
        <v>1</v>
      </c>
      <c r="X28" s="2" t="s">
        <v>70</v>
      </c>
      <c r="Y28" s="2">
        <v>1</v>
      </c>
      <c r="Z28" s="90" t="s">
        <v>64</v>
      </c>
      <c r="AA28" s="90"/>
      <c r="AB28" s="90"/>
      <c r="AC28" s="90"/>
      <c r="AE28" s="89" t="str">
        <f>Tabela!A28</f>
        <v>Tunísia</v>
      </c>
      <c r="AF28" s="89"/>
      <c r="AG28" s="89"/>
      <c r="AH28" s="89"/>
      <c r="AI28" s="2">
        <f>Tabela!B28</f>
        <v>0</v>
      </c>
      <c r="AJ28" s="2" t="s">
        <v>70</v>
      </c>
      <c r="AK28" s="2">
        <f>Tabela!D28</f>
        <v>0</v>
      </c>
      <c r="AL28" s="90" t="str">
        <f>Tabela!E28</f>
        <v>França</v>
      </c>
      <c r="AM28" s="90"/>
      <c r="AN28" s="90"/>
      <c r="AO28" s="90"/>
      <c r="AQ28" s="89" t="str">
        <f>Tabela!G28</f>
        <v>CoreiaDoSul</v>
      </c>
      <c r="AR28" s="89"/>
      <c r="AS28" s="89"/>
      <c r="AT28" s="89"/>
      <c r="AU28" s="2">
        <f>Tabela!H28</f>
        <v>0</v>
      </c>
      <c r="AV28" s="2" t="s">
        <v>70</v>
      </c>
      <c r="AW28" s="2">
        <f>Tabela!J28</f>
        <v>0</v>
      </c>
      <c r="AX28" s="90" t="str">
        <f>Tabela!K28</f>
        <v>Portugal</v>
      </c>
      <c r="AY28" s="90"/>
      <c r="AZ28" s="90"/>
      <c r="BA28" s="90"/>
      <c r="BC28" s="2">
        <f t="shared" si="1"/>
        <v>0</v>
      </c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4"/>
      <c r="BO28" s="34"/>
      <c r="BP28" s="34"/>
      <c r="BQ28" s="34"/>
      <c r="BR28" s="93"/>
      <c r="BS28" s="93"/>
      <c r="BT28" s="93"/>
      <c r="BU28" s="93"/>
      <c r="BV28" s="93"/>
      <c r="BW28" s="93"/>
      <c r="BX28" s="93"/>
      <c r="BY28" s="93"/>
      <c r="BZ28" s="93"/>
      <c r="CA28" s="93"/>
      <c r="CB28" s="93"/>
      <c r="CC28" s="93"/>
      <c r="CD28" s="93"/>
      <c r="CE28" s="93"/>
      <c r="CF28" s="94"/>
      <c r="CG28" s="98"/>
      <c r="CH28" s="99"/>
      <c r="CI28" s="99"/>
      <c r="CJ28" s="99"/>
      <c r="CK28" s="99"/>
      <c r="CL28" s="99"/>
      <c r="CM28" s="99"/>
      <c r="CN28" s="100"/>
      <c r="CO28" s="104"/>
      <c r="CP28" s="105"/>
      <c r="CQ28" s="105"/>
      <c r="CR28" s="105"/>
      <c r="CS28" s="105"/>
      <c r="CT28" s="106"/>
      <c r="CU28" s="98"/>
      <c r="CV28" s="99"/>
      <c r="CW28" s="99"/>
      <c r="CX28" s="99"/>
      <c r="CY28" s="99"/>
      <c r="CZ28" s="99"/>
      <c r="DA28" s="99"/>
      <c r="DB28" s="100"/>
      <c r="DC28" s="107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</row>
    <row r="29" spans="1:134" ht="15.75" thickBot="1" x14ac:dyDescent="0.3">
      <c r="A29" s="22" t="s">
        <v>12</v>
      </c>
      <c r="B29" s="23"/>
      <c r="C29" s="23" t="s">
        <v>21</v>
      </c>
      <c r="D29" s="23"/>
      <c r="E29" s="25"/>
      <c r="G29" s="89" t="s">
        <v>41</v>
      </c>
      <c r="H29" s="89"/>
      <c r="I29" s="89"/>
      <c r="J29" s="89"/>
      <c r="K29" s="2">
        <v>1</v>
      </c>
      <c r="L29" s="2" t="s">
        <v>70</v>
      </c>
      <c r="M29" s="2">
        <v>0</v>
      </c>
      <c r="N29" s="90" t="s">
        <v>50</v>
      </c>
      <c r="O29" s="90"/>
      <c r="P29" s="90"/>
      <c r="Q29" s="90"/>
      <c r="S29" s="89" t="s">
        <v>55</v>
      </c>
      <c r="T29" s="89"/>
      <c r="U29" s="89"/>
      <c r="V29" s="89"/>
      <c r="W29" s="2">
        <v>1</v>
      </c>
      <c r="X29" s="2" t="s">
        <v>70</v>
      </c>
      <c r="Y29" s="2">
        <v>2</v>
      </c>
      <c r="Z29" s="90" t="s">
        <v>69</v>
      </c>
      <c r="AA29" s="90"/>
      <c r="AB29" s="90"/>
      <c r="AC29" s="90"/>
      <c r="AE29" s="89" t="str">
        <f>Tabela!A29</f>
        <v>Austrália</v>
      </c>
      <c r="AF29" s="89"/>
      <c r="AG29" s="89"/>
      <c r="AH29" s="89"/>
      <c r="AI29" s="2">
        <f>Tabela!B29</f>
        <v>0</v>
      </c>
      <c r="AJ29" s="2" t="s">
        <v>70</v>
      </c>
      <c r="AK29" s="2">
        <f>Tabela!D29</f>
        <v>0</v>
      </c>
      <c r="AL29" s="90" t="str">
        <f>Tabela!E29</f>
        <v>Dinamarca</v>
      </c>
      <c r="AM29" s="90"/>
      <c r="AN29" s="90"/>
      <c r="AO29" s="90"/>
      <c r="AQ29" s="89" t="str">
        <f>Tabela!G29</f>
        <v>Gana</v>
      </c>
      <c r="AR29" s="89"/>
      <c r="AS29" s="89"/>
      <c r="AT29" s="89"/>
      <c r="AU29" s="2">
        <f>Tabela!H29</f>
        <v>0</v>
      </c>
      <c r="AV29" s="2" t="s">
        <v>70</v>
      </c>
      <c r="AW29" s="2">
        <f>Tabela!J29</f>
        <v>0</v>
      </c>
      <c r="AX29" s="90" t="str">
        <f>Tabela!K29</f>
        <v>Uruguai</v>
      </c>
      <c r="AY29" s="90"/>
      <c r="AZ29" s="90"/>
      <c r="BA29" s="90"/>
      <c r="BC29" s="2">
        <f t="shared" si="1"/>
        <v>0</v>
      </c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4"/>
      <c r="BO29" s="34"/>
      <c r="BP29" s="34"/>
      <c r="BQ29" s="34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4"/>
      <c r="CG29" s="101"/>
      <c r="CH29" s="102"/>
      <c r="CI29" s="102"/>
      <c r="CJ29" s="102"/>
      <c r="CK29" s="102"/>
      <c r="CL29" s="102"/>
      <c r="CM29" s="102"/>
      <c r="CN29" s="103"/>
      <c r="CO29" s="104"/>
      <c r="CP29" s="105"/>
      <c r="CQ29" s="105"/>
      <c r="CR29" s="105"/>
      <c r="CS29" s="105"/>
      <c r="CT29" s="106"/>
      <c r="CU29" s="101"/>
      <c r="CV29" s="102"/>
      <c r="CW29" s="102"/>
      <c r="CX29" s="102"/>
      <c r="CY29" s="102"/>
      <c r="CZ29" s="102"/>
      <c r="DA29" s="102"/>
      <c r="DB29" s="103"/>
      <c r="DC29" s="107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</row>
    <row r="30" spans="1:134" ht="15.75" thickTop="1" x14ac:dyDescent="0.25"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</row>
    <row r="31" spans="1:134" x14ac:dyDescent="0.25"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</row>
    <row r="32" spans="1:134" x14ac:dyDescent="0.25"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</row>
    <row r="33" spans="38:134" x14ac:dyDescent="0.25">
      <c r="AL33" s="90"/>
      <c r="AM33" s="90"/>
      <c r="AN33" s="90"/>
      <c r="AO33" s="90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</row>
    <row r="34" spans="38:134" x14ac:dyDescent="0.25">
      <c r="AL34" s="90"/>
      <c r="AM34" s="90"/>
      <c r="AN34" s="90"/>
      <c r="AO34" s="90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</row>
    <row r="35" spans="38:134" x14ac:dyDescent="0.25">
      <c r="AL35" s="90"/>
      <c r="AM35" s="90"/>
      <c r="AN35" s="90"/>
      <c r="AO35" s="90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</row>
    <row r="36" spans="38:134" x14ac:dyDescent="0.25">
      <c r="AL36" s="90"/>
      <c r="AM36" s="90"/>
      <c r="AN36" s="90"/>
      <c r="AO36" s="90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</row>
    <row r="37" spans="38:134" x14ac:dyDescent="0.25"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</row>
    <row r="38" spans="38:134" x14ac:dyDescent="0.25"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</row>
    <row r="39" spans="38:134" x14ac:dyDescent="0.25"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</row>
    <row r="40" spans="38:134" x14ac:dyDescent="0.25"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</row>
    <row r="41" spans="38:134" x14ac:dyDescent="0.25"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</row>
    <row r="42" spans="38:134" x14ac:dyDescent="0.25"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</row>
    <row r="43" spans="38:134" x14ac:dyDescent="0.25"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</row>
    <row r="44" spans="38:134" x14ac:dyDescent="0.25"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</row>
    <row r="45" spans="38:134" x14ac:dyDescent="0.25"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</row>
  </sheetData>
  <mergeCells count="229">
    <mergeCell ref="AL34:AO34"/>
    <mergeCell ref="AL35:AO35"/>
    <mergeCell ref="AL36:AO36"/>
    <mergeCell ref="AX28:BA28"/>
    <mergeCell ref="G29:J29"/>
    <mergeCell ref="N29:Q29"/>
    <mergeCell ref="S29:V29"/>
    <mergeCell ref="Z29:AC29"/>
    <mergeCell ref="AE29:AH29"/>
    <mergeCell ref="AL29:AO29"/>
    <mergeCell ref="AQ29:AT29"/>
    <mergeCell ref="AX29:BA29"/>
    <mergeCell ref="G28:J28"/>
    <mergeCell ref="N28:Q28"/>
    <mergeCell ref="S28:V28"/>
    <mergeCell ref="Z28:AC28"/>
    <mergeCell ref="AE28:AH28"/>
    <mergeCell ref="AL28:AO28"/>
    <mergeCell ref="Z27:AC27"/>
    <mergeCell ref="AE27:AH27"/>
    <mergeCell ref="AL27:AO27"/>
    <mergeCell ref="N26:Q26"/>
    <mergeCell ref="S26:V26"/>
    <mergeCell ref="Z26:AC26"/>
    <mergeCell ref="AE26:AH26"/>
    <mergeCell ref="AL26:AO26"/>
    <mergeCell ref="AL33:AO33"/>
    <mergeCell ref="AQ26:AT26"/>
    <mergeCell ref="DC24:DQ29"/>
    <mergeCell ref="G25:J25"/>
    <mergeCell ref="N25:Q25"/>
    <mergeCell ref="S25:V25"/>
    <mergeCell ref="Z25:AC25"/>
    <mergeCell ref="AE25:AH25"/>
    <mergeCell ref="AL25:AO25"/>
    <mergeCell ref="AQ25:AT25"/>
    <mergeCell ref="AX25:BA25"/>
    <mergeCell ref="G26:J26"/>
    <mergeCell ref="AQ24:AT24"/>
    <mergeCell ref="AX24:BA24"/>
    <mergeCell ref="BR24:CF29"/>
    <mergeCell ref="CG24:CN29"/>
    <mergeCell ref="CO24:CT29"/>
    <mergeCell ref="CU24:DB29"/>
    <mergeCell ref="AX26:BA26"/>
    <mergeCell ref="AQ27:AT27"/>
    <mergeCell ref="AX27:BA27"/>
    <mergeCell ref="AQ28:AT28"/>
    <mergeCell ref="G27:J27"/>
    <mergeCell ref="N27:Q27"/>
    <mergeCell ref="S27:V27"/>
    <mergeCell ref="S23:AC23"/>
    <mergeCell ref="AE23:AO23"/>
    <mergeCell ref="AQ23:BA23"/>
    <mergeCell ref="G24:J24"/>
    <mergeCell ref="N24:Q24"/>
    <mergeCell ref="S24:V24"/>
    <mergeCell ref="Z24:AC24"/>
    <mergeCell ref="AE24:AH24"/>
    <mergeCell ref="AL24:AO24"/>
    <mergeCell ref="BR20:DQ23"/>
    <mergeCell ref="G21:J21"/>
    <mergeCell ref="N21:Q21"/>
    <mergeCell ref="S21:V21"/>
    <mergeCell ref="Z21:AC21"/>
    <mergeCell ref="AE21:AH21"/>
    <mergeCell ref="AL21:AO21"/>
    <mergeCell ref="AQ21:AT21"/>
    <mergeCell ref="G20:J20"/>
    <mergeCell ref="N20:Q20"/>
    <mergeCell ref="S20:V20"/>
    <mergeCell ref="Z20:AC20"/>
    <mergeCell ref="AE20:AH20"/>
    <mergeCell ref="AL20:AO20"/>
    <mergeCell ref="AX21:BA21"/>
    <mergeCell ref="G22:J22"/>
    <mergeCell ref="N22:Q22"/>
    <mergeCell ref="S22:V22"/>
    <mergeCell ref="Z22:AC22"/>
    <mergeCell ref="AE22:AH22"/>
    <mergeCell ref="AL22:AO22"/>
    <mergeCell ref="AQ22:AT22"/>
    <mergeCell ref="AX22:BA22"/>
    <mergeCell ref="G23:Q23"/>
    <mergeCell ref="G19:J19"/>
    <mergeCell ref="N19:Q19"/>
    <mergeCell ref="S19:V19"/>
    <mergeCell ref="Z19:AC19"/>
    <mergeCell ref="AE19:AH19"/>
    <mergeCell ref="AL19:AO19"/>
    <mergeCell ref="AQ19:AT19"/>
    <mergeCell ref="AX19:BA19"/>
    <mergeCell ref="AQ20:AT20"/>
    <mergeCell ref="AX20:BA20"/>
    <mergeCell ref="Z17:AC17"/>
    <mergeCell ref="AE17:AH17"/>
    <mergeCell ref="AL17:AO17"/>
    <mergeCell ref="AQ17:AT17"/>
    <mergeCell ref="AX17:BA17"/>
    <mergeCell ref="G18:J18"/>
    <mergeCell ref="N18:Q18"/>
    <mergeCell ref="S18:V18"/>
    <mergeCell ref="Z18:AC18"/>
    <mergeCell ref="AE18:AH18"/>
    <mergeCell ref="AL18:AO18"/>
    <mergeCell ref="AQ18:AT18"/>
    <mergeCell ref="AX18:BA18"/>
    <mergeCell ref="AQ14:AT14"/>
    <mergeCell ref="AX14:BA14"/>
    <mergeCell ref="BE14:BO18"/>
    <mergeCell ref="G15:J15"/>
    <mergeCell ref="N15:Q15"/>
    <mergeCell ref="S15:V15"/>
    <mergeCell ref="Z15:AC15"/>
    <mergeCell ref="AE15:AH15"/>
    <mergeCell ref="AL15:AO15"/>
    <mergeCell ref="AQ15:AT15"/>
    <mergeCell ref="G14:J14"/>
    <mergeCell ref="N14:Q14"/>
    <mergeCell ref="S14:V14"/>
    <mergeCell ref="Z14:AC14"/>
    <mergeCell ref="AE14:AH14"/>
    <mergeCell ref="AL14:AO14"/>
    <mergeCell ref="AX15:BA15"/>
    <mergeCell ref="G16:Q16"/>
    <mergeCell ref="S16:AC16"/>
    <mergeCell ref="AE16:AO16"/>
    <mergeCell ref="AQ16:BA16"/>
    <mergeCell ref="G17:J17"/>
    <mergeCell ref="N17:Q17"/>
    <mergeCell ref="S17:V17"/>
    <mergeCell ref="Z12:AC12"/>
    <mergeCell ref="AE12:AH12"/>
    <mergeCell ref="AL12:AO12"/>
    <mergeCell ref="AQ12:AT12"/>
    <mergeCell ref="AX12:BA12"/>
    <mergeCell ref="BE12:BO13"/>
    <mergeCell ref="G13:J13"/>
    <mergeCell ref="N13:Q13"/>
    <mergeCell ref="S13:V13"/>
    <mergeCell ref="Z13:AC13"/>
    <mergeCell ref="AE13:AH13"/>
    <mergeCell ref="AL13:AO13"/>
    <mergeCell ref="AQ13:AT13"/>
    <mergeCell ref="AX13:BA13"/>
    <mergeCell ref="BR9:CF14"/>
    <mergeCell ref="CG9:CN14"/>
    <mergeCell ref="CO9:CT14"/>
    <mergeCell ref="CU9:DB14"/>
    <mergeCell ref="DC9:DQ14"/>
    <mergeCell ref="G10:J10"/>
    <mergeCell ref="N10:Q10"/>
    <mergeCell ref="S10:V10"/>
    <mergeCell ref="Z10:AC10"/>
    <mergeCell ref="AE10:AH10"/>
    <mergeCell ref="AL10:AO10"/>
    <mergeCell ref="AQ10:AT10"/>
    <mergeCell ref="AX10:BA10"/>
    <mergeCell ref="G11:J11"/>
    <mergeCell ref="N11:Q11"/>
    <mergeCell ref="S11:V11"/>
    <mergeCell ref="Z11:AC11"/>
    <mergeCell ref="AE11:AH11"/>
    <mergeCell ref="AL11:AO11"/>
    <mergeCell ref="AQ11:AT11"/>
    <mergeCell ref="AX11:BA11"/>
    <mergeCell ref="G12:J12"/>
    <mergeCell ref="N12:Q12"/>
    <mergeCell ref="S12:V12"/>
    <mergeCell ref="AX7:BA7"/>
    <mergeCell ref="AQ8:AT8"/>
    <mergeCell ref="AX8:BA8"/>
    <mergeCell ref="G9:Q9"/>
    <mergeCell ref="S9:AC9"/>
    <mergeCell ref="AE9:AO9"/>
    <mergeCell ref="AQ9:BA9"/>
    <mergeCell ref="G8:J8"/>
    <mergeCell ref="N8:Q8"/>
    <mergeCell ref="S8:V8"/>
    <mergeCell ref="Z8:AC8"/>
    <mergeCell ref="AE8:AH8"/>
    <mergeCell ref="AL8:AO8"/>
    <mergeCell ref="AQ5:AT5"/>
    <mergeCell ref="AX5:BA5"/>
    <mergeCell ref="BR5:DQ8"/>
    <mergeCell ref="G6:J6"/>
    <mergeCell ref="N6:Q6"/>
    <mergeCell ref="S6:V6"/>
    <mergeCell ref="Z6:AC6"/>
    <mergeCell ref="AE6:AH6"/>
    <mergeCell ref="AL6:AO6"/>
    <mergeCell ref="AQ6:AT6"/>
    <mergeCell ref="G5:J5"/>
    <mergeCell ref="N5:Q5"/>
    <mergeCell ref="S5:V5"/>
    <mergeCell ref="Z5:AC5"/>
    <mergeCell ref="AE5:AH5"/>
    <mergeCell ref="AL5:AO5"/>
    <mergeCell ref="AX6:BA6"/>
    <mergeCell ref="G7:J7"/>
    <mergeCell ref="N7:Q7"/>
    <mergeCell ref="S7:V7"/>
    <mergeCell ref="Z7:AC7"/>
    <mergeCell ref="AE7:AH7"/>
    <mergeCell ref="AL7:AO7"/>
    <mergeCell ref="AQ7:AT7"/>
    <mergeCell ref="G4:J4"/>
    <mergeCell ref="N4:Q4"/>
    <mergeCell ref="S4:V4"/>
    <mergeCell ref="Z4:AC4"/>
    <mergeCell ref="AE4:AH4"/>
    <mergeCell ref="AL4:AO4"/>
    <mergeCell ref="AQ4:AT4"/>
    <mergeCell ref="AX4:BA4"/>
    <mergeCell ref="G3:J3"/>
    <mergeCell ref="N3:Q3"/>
    <mergeCell ref="S3:V3"/>
    <mergeCell ref="Z3:AC3"/>
    <mergeCell ref="AE3:AH3"/>
    <mergeCell ref="AL3:AO3"/>
    <mergeCell ref="G1:AC1"/>
    <mergeCell ref="AE1:BA1"/>
    <mergeCell ref="B2:E2"/>
    <mergeCell ref="G2:Q2"/>
    <mergeCell ref="S2:AC2"/>
    <mergeCell ref="AE2:AO2"/>
    <mergeCell ref="AQ2:BA2"/>
    <mergeCell ref="AQ3:AT3"/>
    <mergeCell ref="AX3:BA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1858-7DBB-4182-BE06-4B775D09446D}">
  <sheetPr codeName="Planilha1"/>
  <dimension ref="A1:B32"/>
  <sheetViews>
    <sheetView workbookViewId="0">
      <selection activeCell="C23" sqref="C23"/>
    </sheetView>
  </sheetViews>
  <sheetFormatPr defaultColWidth="8.85546875" defaultRowHeight="15" x14ac:dyDescent="0.25"/>
  <cols>
    <col min="1" max="1" width="8.85546875" style="2"/>
    <col min="2" max="2" width="13.5703125" style="1" bestFit="1" customWidth="1"/>
    <col min="3" max="16384" width="8.85546875" style="1"/>
  </cols>
  <sheetData>
    <row r="1" spans="1:2" x14ac:dyDescent="0.25">
      <c r="A1" s="2">
        <v>1</v>
      </c>
      <c r="B1" s="1" t="s">
        <v>38</v>
      </c>
    </row>
    <row r="2" spans="1:2" x14ac:dyDescent="0.25">
      <c r="A2" s="2">
        <v>2</v>
      </c>
      <c r="B2" s="1" t="s">
        <v>39</v>
      </c>
    </row>
    <row r="3" spans="1:2" x14ac:dyDescent="0.25">
      <c r="A3" s="2">
        <v>3</v>
      </c>
      <c r="B3" s="1" t="s">
        <v>40</v>
      </c>
    </row>
    <row r="4" spans="1:2" x14ac:dyDescent="0.25">
      <c r="A4" s="2">
        <v>4</v>
      </c>
      <c r="B4" s="1" t="s">
        <v>41</v>
      </c>
    </row>
    <row r="5" spans="1:2" x14ac:dyDescent="0.25">
      <c r="A5" s="2">
        <v>5</v>
      </c>
      <c r="B5" s="1" t="s">
        <v>42</v>
      </c>
    </row>
    <row r="6" spans="1:2" x14ac:dyDescent="0.25">
      <c r="A6" s="2">
        <v>6</v>
      </c>
      <c r="B6" s="1" t="s">
        <v>43</v>
      </c>
    </row>
    <row r="7" spans="1:2" x14ac:dyDescent="0.25">
      <c r="A7" s="2">
        <v>7</v>
      </c>
      <c r="B7" s="1" t="s">
        <v>44</v>
      </c>
    </row>
    <row r="8" spans="1:2" x14ac:dyDescent="0.25">
      <c r="A8" s="2">
        <v>8</v>
      </c>
      <c r="B8" s="1" t="s">
        <v>45</v>
      </c>
    </row>
    <row r="9" spans="1:2" x14ac:dyDescent="0.25">
      <c r="A9" s="2">
        <v>9</v>
      </c>
      <c r="B9" s="1" t="s">
        <v>46</v>
      </c>
    </row>
    <row r="10" spans="1:2" x14ac:dyDescent="0.25">
      <c r="A10" s="2">
        <v>10</v>
      </c>
      <c r="B10" s="1" t="s">
        <v>47</v>
      </c>
    </row>
    <row r="11" spans="1:2" x14ac:dyDescent="0.25">
      <c r="A11" s="2">
        <v>11</v>
      </c>
      <c r="B11" s="1" t="s">
        <v>48</v>
      </c>
    </row>
    <row r="12" spans="1:2" x14ac:dyDescent="0.25">
      <c r="A12" s="2">
        <v>12</v>
      </c>
      <c r="B12" s="1" t="s">
        <v>49</v>
      </c>
    </row>
    <row r="13" spans="1:2" x14ac:dyDescent="0.25">
      <c r="A13" s="2">
        <v>13</v>
      </c>
      <c r="B13" s="1" t="s">
        <v>50</v>
      </c>
    </row>
    <row r="14" spans="1:2" x14ac:dyDescent="0.25">
      <c r="A14" s="2">
        <v>14</v>
      </c>
      <c r="B14" s="1" t="s">
        <v>51</v>
      </c>
    </row>
    <row r="15" spans="1:2" x14ac:dyDescent="0.25">
      <c r="A15" s="2">
        <v>15</v>
      </c>
      <c r="B15" s="1" t="s">
        <v>52</v>
      </c>
    </row>
    <row r="16" spans="1:2" x14ac:dyDescent="0.25">
      <c r="A16" s="2">
        <v>16</v>
      </c>
      <c r="B16" s="1" t="s">
        <v>53</v>
      </c>
    </row>
    <row r="17" spans="1:2" x14ac:dyDescent="0.25">
      <c r="A17" s="2">
        <v>17</v>
      </c>
      <c r="B17" s="1" t="s">
        <v>54</v>
      </c>
    </row>
    <row r="18" spans="1:2" x14ac:dyDescent="0.25">
      <c r="A18" s="2">
        <v>18</v>
      </c>
      <c r="B18" s="1" t="s">
        <v>55</v>
      </c>
    </row>
    <row r="19" spans="1:2" x14ac:dyDescent="0.25">
      <c r="A19" s="2">
        <v>19</v>
      </c>
      <c r="B19" s="1" t="s">
        <v>56</v>
      </c>
    </row>
    <row r="20" spans="1:2" x14ac:dyDescent="0.25">
      <c r="A20" s="2">
        <v>20</v>
      </c>
      <c r="B20" s="1" t="s">
        <v>57</v>
      </c>
    </row>
    <row r="21" spans="1:2" x14ac:dyDescent="0.25">
      <c r="A21" s="2">
        <v>21</v>
      </c>
      <c r="B21" s="1" t="s">
        <v>58</v>
      </c>
    </row>
    <row r="22" spans="1:2" x14ac:dyDescent="0.25">
      <c r="A22" s="2">
        <v>22</v>
      </c>
      <c r="B22" s="1" t="s">
        <v>59</v>
      </c>
    </row>
    <row r="23" spans="1:2" x14ac:dyDescent="0.25">
      <c r="A23" s="2">
        <v>23</v>
      </c>
      <c r="B23" s="1" t="s">
        <v>60</v>
      </c>
    </row>
    <row r="24" spans="1:2" x14ac:dyDescent="0.25">
      <c r="A24" s="2">
        <v>24</v>
      </c>
      <c r="B24" s="1" t="s">
        <v>61</v>
      </c>
    </row>
    <row r="25" spans="1:2" x14ac:dyDescent="0.25">
      <c r="A25" s="2">
        <v>25</v>
      </c>
      <c r="B25" s="1" t="s">
        <v>62</v>
      </c>
    </row>
    <row r="26" spans="1:2" x14ac:dyDescent="0.25">
      <c r="A26" s="2">
        <v>26</v>
      </c>
      <c r="B26" s="1" t="s">
        <v>63</v>
      </c>
    </row>
    <row r="27" spans="1:2" x14ac:dyDescent="0.25">
      <c r="A27" s="2">
        <v>27</v>
      </c>
      <c r="B27" s="1" t="s">
        <v>64</v>
      </c>
    </row>
    <row r="28" spans="1:2" x14ac:dyDescent="0.25">
      <c r="A28" s="2">
        <v>28</v>
      </c>
      <c r="B28" s="1" t="s">
        <v>65</v>
      </c>
    </row>
    <row r="29" spans="1:2" x14ac:dyDescent="0.25">
      <c r="A29" s="2">
        <v>29</v>
      </c>
      <c r="B29" s="1" t="s">
        <v>66</v>
      </c>
    </row>
    <row r="30" spans="1:2" x14ac:dyDescent="0.25">
      <c r="A30" s="2">
        <v>30</v>
      </c>
      <c r="B30" s="1" t="s">
        <v>67</v>
      </c>
    </row>
    <row r="31" spans="1:2" x14ac:dyDescent="0.25">
      <c r="A31" s="2">
        <v>31</v>
      </c>
      <c r="B31" s="1" t="s">
        <v>68</v>
      </c>
    </row>
    <row r="32" spans="1:2" x14ac:dyDescent="0.25">
      <c r="A32" s="2">
        <v>32</v>
      </c>
      <c r="B32" s="1" t="s">
        <v>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21FD-9F67-4F0C-8499-97D50B81AEDE}">
  <sheetPr codeName="Planilha31">
    <tabColor rgb="FF00B050"/>
  </sheetPr>
  <dimension ref="A1:E29"/>
  <sheetViews>
    <sheetView zoomScaleNormal="100" workbookViewId="0">
      <selection activeCell="B1" sqref="B1:E1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85" t="s">
        <v>189</v>
      </c>
      <c r="C1" s="85"/>
      <c r="D1" s="85"/>
      <c r="E1" s="8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7" t="s">
        <v>192</v>
      </c>
      <c r="B5" s="21"/>
      <c r="C5" s="21" t="s">
        <v>14</v>
      </c>
      <c r="D5" s="21"/>
      <c r="E5" s="24" t="s">
        <v>33</v>
      </c>
    </row>
    <row r="6" spans="1:5" x14ac:dyDescent="0.25">
      <c r="A6" s="20" t="s">
        <v>111</v>
      </c>
      <c r="B6" s="21"/>
      <c r="C6" s="21" t="s">
        <v>181</v>
      </c>
      <c r="D6" s="21"/>
      <c r="E6" s="24" t="s">
        <v>174</v>
      </c>
    </row>
    <row r="7" spans="1:5" x14ac:dyDescent="0.25">
      <c r="A7" s="20" t="s">
        <v>85</v>
      </c>
      <c r="B7" s="21"/>
      <c r="C7" s="21" t="s">
        <v>112</v>
      </c>
      <c r="D7" s="21"/>
      <c r="E7" s="24" t="s">
        <v>115</v>
      </c>
    </row>
    <row r="8" spans="1:5" x14ac:dyDescent="0.25">
      <c r="A8" s="20" t="s">
        <v>187</v>
      </c>
      <c r="B8" s="21"/>
      <c r="C8" s="21" t="s">
        <v>182</v>
      </c>
      <c r="D8" s="21"/>
      <c r="E8" s="24" t="s">
        <v>175</v>
      </c>
    </row>
    <row r="9" spans="1:5" x14ac:dyDescent="0.25">
      <c r="A9" s="20" t="s">
        <v>78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188</v>
      </c>
      <c r="B10" s="21"/>
      <c r="C10" s="21" t="s">
        <v>183</v>
      </c>
      <c r="D10" s="21"/>
      <c r="E10" s="24" t="s">
        <v>176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179</v>
      </c>
      <c r="D14" s="21"/>
      <c r="E14" s="24" t="s">
        <v>266</v>
      </c>
    </row>
    <row r="15" spans="1:5" x14ac:dyDescent="0.25">
      <c r="A15" s="20" t="s">
        <v>185</v>
      </c>
      <c r="B15" s="21"/>
      <c r="C15" s="21" t="s">
        <v>255</v>
      </c>
      <c r="D15" s="21"/>
      <c r="E15" s="24" t="s">
        <v>172</v>
      </c>
    </row>
    <row r="16" spans="1:5" x14ac:dyDescent="0.25">
      <c r="A16" s="20" t="s">
        <v>135</v>
      </c>
      <c r="B16" s="21"/>
      <c r="C16" s="21" t="s">
        <v>256</v>
      </c>
      <c r="D16" s="21"/>
      <c r="E16" s="24" t="s">
        <v>261</v>
      </c>
    </row>
    <row r="17" spans="1:5" x14ac:dyDescent="0.25">
      <c r="A17" s="20" t="s">
        <v>186</v>
      </c>
      <c r="B17" s="21"/>
      <c r="C17" s="21" t="s">
        <v>180</v>
      </c>
      <c r="D17" s="21"/>
      <c r="E17" s="24" t="s">
        <v>37</v>
      </c>
    </row>
    <row r="18" spans="1:5" x14ac:dyDescent="0.25">
      <c r="A18" s="20" t="s">
        <v>107</v>
      </c>
      <c r="B18" s="21"/>
      <c r="C18" s="21" t="s">
        <v>117</v>
      </c>
      <c r="D18" s="21"/>
      <c r="E18" s="24" t="s">
        <v>267</v>
      </c>
    </row>
    <row r="19" spans="1:5" x14ac:dyDescent="0.25">
      <c r="A19" s="20" t="s">
        <v>86</v>
      </c>
      <c r="B19" s="21"/>
      <c r="C19" s="21" t="s">
        <v>258</v>
      </c>
      <c r="D19" s="21"/>
      <c r="E19" s="24" t="s">
        <v>173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253</v>
      </c>
      <c r="B23" s="21"/>
      <c r="C23" s="21" t="s">
        <v>32</v>
      </c>
      <c r="D23" s="21"/>
      <c r="E23" s="24" t="s">
        <v>171</v>
      </c>
    </row>
    <row r="24" spans="1:5" x14ac:dyDescent="0.25">
      <c r="A24" s="20" t="s">
        <v>119</v>
      </c>
      <c r="B24" s="21"/>
      <c r="C24" s="21" t="s">
        <v>82</v>
      </c>
      <c r="D24" s="21"/>
      <c r="E24" s="24"/>
    </row>
    <row r="25" spans="1:5" x14ac:dyDescent="0.25">
      <c r="A25" s="20" t="s">
        <v>248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184</v>
      </c>
      <c r="B26" s="21"/>
      <c r="C26" s="21" t="s">
        <v>177</v>
      </c>
      <c r="D26" s="21"/>
      <c r="E26" s="24" t="s">
        <v>169</v>
      </c>
    </row>
    <row r="27" spans="1:5" x14ac:dyDescent="0.25">
      <c r="A27" s="20" t="s">
        <v>108</v>
      </c>
      <c r="B27" s="21"/>
      <c r="C27" s="21" t="s">
        <v>178</v>
      </c>
      <c r="D27" s="21"/>
      <c r="E27" s="24" t="s">
        <v>170</v>
      </c>
    </row>
    <row r="28" spans="1:5" ht="15.75" thickBot="1" x14ac:dyDescent="0.3">
      <c r="A28" s="22" t="s">
        <v>249</v>
      </c>
      <c r="B28" s="23"/>
      <c r="C28" s="23" t="s">
        <v>113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2DEE5-68AF-4609-BDA5-D0E5718EBD96}">
  <sheetPr codeName="Planilha32"/>
  <dimension ref="B1:V26"/>
  <sheetViews>
    <sheetView showGridLines="0" zoomScale="85" zoomScaleNormal="85" workbookViewId="0">
      <selection activeCell="G21" sqref="G21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2.140625" style="1" hidden="1" customWidth="1"/>
    <col min="12" max="12" width="10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315</v>
      </c>
      <c r="E3" s="69">
        <f>VLOOKUP(C3,O$3:U$25,3,0)</f>
        <v>3</v>
      </c>
      <c r="F3" s="69">
        <f>VLOOKUP(C3,O$3:U$25,4,0)</f>
        <v>1</v>
      </c>
      <c r="G3" s="69">
        <f>VLOOKUP(C3,O$3:U$25,5,0)</f>
        <v>3</v>
      </c>
      <c r="H3" s="69">
        <f>VLOOKUP(C3,O$3:U$25,6,0)</f>
        <v>4</v>
      </c>
      <c r="I3" s="70">
        <f>VLOOKUP(C3,O$3:U$25,7,0)</f>
        <v>3</v>
      </c>
      <c r="K3" s="59" t="s">
        <v>294</v>
      </c>
      <c r="L3" s="59">
        <f>'Bruno Flores'!Q$11</f>
        <v>315</v>
      </c>
      <c r="M3" s="59"/>
      <c r="N3" s="59"/>
      <c r="O3" s="60" t="s">
        <v>271</v>
      </c>
      <c r="P3" s="56">
        <f>Macélio!Q$11</f>
        <v>235</v>
      </c>
      <c r="Q3" s="45">
        <v>1</v>
      </c>
      <c r="R3" s="45">
        <v>4</v>
      </c>
      <c r="S3" s="45">
        <v>4</v>
      </c>
      <c r="T3" s="45">
        <v>1</v>
      </c>
      <c r="U3" s="45">
        <v>4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250</v>
      </c>
      <c r="E4" s="72">
        <f t="shared" ref="E4:E25" si="2">VLOOKUP(C4,O$3:U$25,3,0)</f>
        <v>2</v>
      </c>
      <c r="F4" s="72">
        <f t="shared" ref="F4:F25" si="3">VLOOKUP(C4,O$3:U$25,4,0)</f>
        <v>4</v>
      </c>
      <c r="G4" s="72">
        <f t="shared" ref="G4:G25" si="4">VLOOKUP(C4,O$3:U$25,5,0)</f>
        <v>1</v>
      </c>
      <c r="H4" s="72">
        <f t="shared" ref="H4:H25" si="5">VLOOKUP(C4,O$3:U$25,6,0)</f>
        <v>3</v>
      </c>
      <c r="I4" s="73">
        <f t="shared" ref="I4:I25" si="6">VLOOKUP(C4,O$3:U$25,7,0)</f>
        <v>4</v>
      </c>
      <c r="K4" s="59" t="s">
        <v>279</v>
      </c>
      <c r="L4" s="59">
        <f>Alex!Q$11</f>
        <v>250</v>
      </c>
      <c r="M4" s="59"/>
      <c r="N4" s="59"/>
      <c r="O4" s="60" t="s">
        <v>293</v>
      </c>
      <c r="P4" s="56">
        <f>'Ivan Alex_1'!Q$11</f>
        <v>240</v>
      </c>
      <c r="Q4" s="67"/>
      <c r="R4" s="67">
        <v>3</v>
      </c>
      <c r="S4" s="67">
        <v>6</v>
      </c>
      <c r="T4" s="67">
        <v>1</v>
      </c>
      <c r="U4" s="67">
        <v>4</v>
      </c>
      <c r="V4" s="61"/>
    </row>
    <row r="5" spans="2:22" x14ac:dyDescent="0.25">
      <c r="B5" s="74" t="s">
        <v>299</v>
      </c>
      <c r="C5" s="75" t="str">
        <f t="shared" si="0"/>
        <v>Joseir_2</v>
      </c>
      <c r="D5" s="75">
        <f t="shared" si="1"/>
        <v>215</v>
      </c>
      <c r="E5" s="75">
        <f t="shared" si="2"/>
        <v>2</v>
      </c>
      <c r="F5" s="75">
        <f t="shared" si="3"/>
        <v>2</v>
      </c>
      <c r="G5" s="75">
        <f t="shared" si="4"/>
        <v>2</v>
      </c>
      <c r="H5" s="75">
        <f t="shared" si="5"/>
        <v>7</v>
      </c>
      <c r="I5" s="76">
        <f t="shared" si="6"/>
        <v>0</v>
      </c>
      <c r="K5" s="59" t="s">
        <v>285</v>
      </c>
      <c r="L5" s="59">
        <f>Joseir_2!Q$11</f>
        <v>215</v>
      </c>
      <c r="M5" s="59"/>
      <c r="N5" s="59"/>
      <c r="O5" s="60" t="s">
        <v>294</v>
      </c>
      <c r="P5" s="56">
        <f>'Bruno Flores'!Q$11</f>
        <v>315</v>
      </c>
      <c r="Q5" s="45">
        <v>3</v>
      </c>
      <c r="R5" s="45">
        <v>1</v>
      </c>
      <c r="S5" s="45">
        <v>3</v>
      </c>
      <c r="T5" s="45">
        <v>4</v>
      </c>
      <c r="U5" s="45">
        <v>3</v>
      </c>
      <c r="V5" s="61"/>
    </row>
    <row r="6" spans="2:22" x14ac:dyDescent="0.25">
      <c r="B6" s="58" t="s">
        <v>300</v>
      </c>
      <c r="C6" s="50" t="str">
        <f t="shared" si="0"/>
        <v>Macélio</v>
      </c>
      <c r="D6" s="50">
        <f t="shared" si="1"/>
        <v>235</v>
      </c>
      <c r="E6" s="50">
        <f t="shared" si="2"/>
        <v>1</v>
      </c>
      <c r="F6" s="50">
        <f t="shared" si="3"/>
        <v>4</v>
      </c>
      <c r="G6" s="50">
        <f t="shared" si="4"/>
        <v>4</v>
      </c>
      <c r="H6" s="50">
        <f t="shared" si="5"/>
        <v>1</v>
      </c>
      <c r="I6" s="51">
        <f t="shared" si="6"/>
        <v>4</v>
      </c>
      <c r="K6" s="59" t="s">
        <v>271</v>
      </c>
      <c r="L6" s="59">
        <f>Macélio!Q$11</f>
        <v>235</v>
      </c>
      <c r="M6" s="59"/>
      <c r="N6" s="59"/>
      <c r="O6" s="60" t="s">
        <v>270</v>
      </c>
      <c r="P6" s="56">
        <f>'Ivan Alex_2'!Q$11</f>
        <v>215</v>
      </c>
      <c r="Q6" s="45"/>
      <c r="R6" s="45">
        <v>3</v>
      </c>
      <c r="S6" s="45">
        <v>6</v>
      </c>
      <c r="T6" s="45">
        <v>2</v>
      </c>
      <c r="U6" s="45">
        <v>3</v>
      </c>
      <c r="V6" s="61"/>
    </row>
    <row r="7" spans="2:22" x14ac:dyDescent="0.25">
      <c r="B7" s="58" t="s">
        <v>301</v>
      </c>
      <c r="C7" s="50" t="str">
        <f t="shared" si="0"/>
        <v>Juninho_1</v>
      </c>
      <c r="D7" s="50">
        <f t="shared" si="1"/>
        <v>220</v>
      </c>
      <c r="E7" s="50">
        <f t="shared" si="2"/>
        <v>2</v>
      </c>
      <c r="F7" s="50">
        <f t="shared" si="3"/>
        <v>2</v>
      </c>
      <c r="G7" s="50">
        <f t="shared" si="4"/>
        <v>2</v>
      </c>
      <c r="H7" s="50">
        <f t="shared" si="5"/>
        <v>4</v>
      </c>
      <c r="I7" s="51">
        <f t="shared" si="6"/>
        <v>4</v>
      </c>
      <c r="K7" s="59" t="s">
        <v>275</v>
      </c>
      <c r="L7" s="59">
        <f>Juninho_1!Q$11</f>
        <v>220</v>
      </c>
      <c r="M7" s="59"/>
      <c r="N7" s="59"/>
      <c r="O7" s="60" t="s">
        <v>273</v>
      </c>
      <c r="P7" s="56">
        <f>Gabriel!Q$11</f>
        <v>200</v>
      </c>
      <c r="Q7" s="45">
        <v>1</v>
      </c>
      <c r="R7" s="45">
        <v>2</v>
      </c>
      <c r="S7" s="45">
        <v>3</v>
      </c>
      <c r="T7" s="45">
        <v>4</v>
      </c>
      <c r="U7" s="45">
        <v>3</v>
      </c>
      <c r="V7" s="61"/>
    </row>
    <row r="8" spans="2:22" x14ac:dyDescent="0.25">
      <c r="B8" s="58" t="s">
        <v>302</v>
      </c>
      <c r="C8" s="50" t="str">
        <f t="shared" si="0"/>
        <v>Ivani</v>
      </c>
      <c r="D8" s="50">
        <f t="shared" si="1"/>
        <v>205</v>
      </c>
      <c r="E8" s="50">
        <f t="shared" si="2"/>
        <v>2</v>
      </c>
      <c r="F8" s="50">
        <f t="shared" si="3"/>
        <v>2</v>
      </c>
      <c r="G8" s="50">
        <f t="shared" si="4"/>
        <v>3</v>
      </c>
      <c r="H8" s="50">
        <f t="shared" si="5"/>
        <v>2</v>
      </c>
      <c r="I8" s="51">
        <f t="shared" si="6"/>
        <v>5</v>
      </c>
      <c r="K8" s="59" t="s">
        <v>286</v>
      </c>
      <c r="L8" s="59">
        <f>Ivani!Q$11</f>
        <v>205</v>
      </c>
      <c r="M8" s="59"/>
      <c r="N8" s="59"/>
      <c r="O8" s="60" t="s">
        <v>272</v>
      </c>
      <c r="P8" s="56">
        <f>Luis!Q$11</f>
        <v>185</v>
      </c>
      <c r="Q8" s="45">
        <v>1</v>
      </c>
      <c r="R8" s="45">
        <v>2</v>
      </c>
      <c r="S8" s="45">
        <v>3</v>
      </c>
      <c r="T8" s="45">
        <v>1</v>
      </c>
      <c r="U8" s="45">
        <v>6</v>
      </c>
      <c r="V8" s="61"/>
    </row>
    <row r="9" spans="2:22" x14ac:dyDescent="0.25">
      <c r="B9" s="58" t="s">
        <v>303</v>
      </c>
      <c r="C9" s="50" t="str">
        <f t="shared" si="0"/>
        <v>Ivan Alex_2</v>
      </c>
      <c r="D9" s="50">
        <f t="shared" si="1"/>
        <v>215</v>
      </c>
      <c r="E9" s="50">
        <f t="shared" si="2"/>
        <v>0</v>
      </c>
      <c r="F9" s="50">
        <f t="shared" si="3"/>
        <v>3</v>
      </c>
      <c r="G9" s="50">
        <f t="shared" si="4"/>
        <v>6</v>
      </c>
      <c r="H9" s="50">
        <f t="shared" si="5"/>
        <v>2</v>
      </c>
      <c r="I9" s="51">
        <f t="shared" si="6"/>
        <v>3</v>
      </c>
      <c r="K9" s="59" t="s">
        <v>270</v>
      </c>
      <c r="L9" s="59">
        <f>'Ivan Alex_2'!Q$11</f>
        <v>215</v>
      </c>
      <c r="M9" s="59"/>
      <c r="N9" s="59"/>
      <c r="O9" s="60" t="s">
        <v>275</v>
      </c>
      <c r="P9" s="56">
        <f>Juninho_1!Q$11</f>
        <v>220</v>
      </c>
      <c r="Q9" s="45">
        <v>2</v>
      </c>
      <c r="R9" s="45">
        <v>2</v>
      </c>
      <c r="S9" s="45">
        <v>2</v>
      </c>
      <c r="T9" s="45">
        <v>4</v>
      </c>
      <c r="U9" s="45">
        <v>4</v>
      </c>
      <c r="V9" s="61"/>
    </row>
    <row r="10" spans="2:22" x14ac:dyDescent="0.25">
      <c r="B10" s="58" t="s">
        <v>304</v>
      </c>
      <c r="C10" s="50" t="str">
        <f t="shared" si="0"/>
        <v>Robert</v>
      </c>
      <c r="D10" s="50">
        <f t="shared" si="1"/>
        <v>235</v>
      </c>
      <c r="E10" s="50">
        <f t="shared" si="2"/>
        <v>0</v>
      </c>
      <c r="F10" s="50">
        <f t="shared" si="3"/>
        <v>4</v>
      </c>
      <c r="G10" s="50">
        <f t="shared" si="4"/>
        <v>4</v>
      </c>
      <c r="H10" s="50">
        <f t="shared" si="5"/>
        <v>2</v>
      </c>
      <c r="I10" s="51">
        <f t="shared" si="6"/>
        <v>3</v>
      </c>
      <c r="J10" s="59"/>
      <c r="K10" s="59" t="s">
        <v>281</v>
      </c>
      <c r="L10" s="59">
        <f>Robert!Q$11</f>
        <v>235</v>
      </c>
      <c r="M10" s="59"/>
      <c r="N10" s="59"/>
      <c r="O10" s="60" t="s">
        <v>276</v>
      </c>
      <c r="P10" s="56">
        <f>Juninho_2!Q$11</f>
        <v>210</v>
      </c>
      <c r="Q10" s="45">
        <v>1</v>
      </c>
      <c r="R10" s="45">
        <v>3</v>
      </c>
      <c r="S10" s="45">
        <v>2</v>
      </c>
      <c r="T10" s="45">
        <v>3</v>
      </c>
      <c r="U10" s="45">
        <v>5</v>
      </c>
      <c r="V10" s="61"/>
    </row>
    <row r="11" spans="2:22" x14ac:dyDescent="0.25">
      <c r="B11" s="58" t="s">
        <v>305</v>
      </c>
      <c r="C11" s="50" t="str">
        <f t="shared" si="0"/>
        <v>Ivan Alex_1</v>
      </c>
      <c r="D11" s="50">
        <f t="shared" si="1"/>
        <v>240</v>
      </c>
      <c r="E11" s="50">
        <f t="shared" si="2"/>
        <v>0</v>
      </c>
      <c r="F11" s="50">
        <f t="shared" si="3"/>
        <v>3</v>
      </c>
      <c r="G11" s="50">
        <f t="shared" si="4"/>
        <v>6</v>
      </c>
      <c r="H11" s="50">
        <f t="shared" si="5"/>
        <v>1</v>
      </c>
      <c r="I11" s="51">
        <f t="shared" si="6"/>
        <v>4</v>
      </c>
      <c r="K11" s="59" t="s">
        <v>293</v>
      </c>
      <c r="L11" s="59">
        <f>'Ivan Alex_1'!Q$11</f>
        <v>240</v>
      </c>
      <c r="M11" s="59"/>
      <c r="N11" s="59"/>
      <c r="O11" s="60" t="s">
        <v>277</v>
      </c>
      <c r="P11" s="56">
        <f>Luana!Q$11</f>
        <v>225</v>
      </c>
      <c r="Q11" s="45">
        <v>1</v>
      </c>
      <c r="R11" s="45">
        <v>1</v>
      </c>
      <c r="S11" s="45">
        <v>2</v>
      </c>
      <c r="T11" s="45">
        <v>7</v>
      </c>
      <c r="U11" s="45">
        <v>3</v>
      </c>
      <c r="V11" s="61"/>
    </row>
    <row r="12" spans="2:22" x14ac:dyDescent="0.25">
      <c r="B12" s="58" t="s">
        <v>306</v>
      </c>
      <c r="C12" s="50" t="str">
        <f t="shared" si="0"/>
        <v>Jean</v>
      </c>
      <c r="D12" s="50">
        <f t="shared" si="1"/>
        <v>205</v>
      </c>
      <c r="E12" s="50">
        <f t="shared" si="2"/>
        <v>1</v>
      </c>
      <c r="F12" s="50">
        <f t="shared" si="3"/>
        <v>3</v>
      </c>
      <c r="G12" s="50">
        <f t="shared" si="4"/>
        <v>3</v>
      </c>
      <c r="H12" s="50">
        <f t="shared" si="5"/>
        <v>2</v>
      </c>
      <c r="I12" s="51">
        <f t="shared" si="6"/>
        <v>4</v>
      </c>
      <c r="K12" s="59" t="s">
        <v>280</v>
      </c>
      <c r="L12" s="59">
        <f>Jean!Q$11</f>
        <v>205</v>
      </c>
      <c r="M12" s="59"/>
      <c r="N12" s="59"/>
      <c r="O12" s="60" t="s">
        <v>278</v>
      </c>
      <c r="P12" s="56">
        <f>Mácio!Q$11</f>
        <v>230</v>
      </c>
      <c r="Q12" s="45">
        <v>1</v>
      </c>
      <c r="R12" s="45">
        <v>3</v>
      </c>
      <c r="S12" s="45">
        <v>3</v>
      </c>
      <c r="T12" s="45">
        <v>1</v>
      </c>
      <c r="U12" s="45">
        <v>6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210</v>
      </c>
      <c r="E13" s="50">
        <f t="shared" si="2"/>
        <v>1</v>
      </c>
      <c r="F13" s="50">
        <f t="shared" si="3"/>
        <v>3</v>
      </c>
      <c r="G13" s="50">
        <f t="shared" si="4"/>
        <v>2</v>
      </c>
      <c r="H13" s="50">
        <f t="shared" si="5"/>
        <v>4</v>
      </c>
      <c r="I13" s="51">
        <f t="shared" si="6"/>
        <v>3</v>
      </c>
      <c r="K13" s="59" t="s">
        <v>290</v>
      </c>
      <c r="L13" s="59">
        <f>Anderson!Q$11</f>
        <v>210</v>
      </c>
      <c r="M13" s="59"/>
      <c r="N13" s="59"/>
      <c r="O13" s="60" t="s">
        <v>279</v>
      </c>
      <c r="P13" s="56">
        <f>Alex!Q$11</f>
        <v>250</v>
      </c>
      <c r="Q13" s="45">
        <v>2</v>
      </c>
      <c r="R13" s="45">
        <v>4</v>
      </c>
      <c r="S13" s="45">
        <v>1</v>
      </c>
      <c r="T13" s="45">
        <v>3</v>
      </c>
      <c r="U13" s="45">
        <v>4</v>
      </c>
      <c r="V13" s="61"/>
    </row>
    <row r="14" spans="2:22" x14ac:dyDescent="0.25">
      <c r="B14" s="58" t="s">
        <v>308</v>
      </c>
      <c r="C14" s="50" t="str">
        <f t="shared" si="0"/>
        <v>Gabriel</v>
      </c>
      <c r="D14" s="50">
        <f t="shared" si="1"/>
        <v>200</v>
      </c>
      <c r="E14" s="50">
        <f t="shared" si="2"/>
        <v>1</v>
      </c>
      <c r="F14" s="50">
        <f t="shared" si="3"/>
        <v>2</v>
      </c>
      <c r="G14" s="50">
        <f t="shared" si="4"/>
        <v>3</v>
      </c>
      <c r="H14" s="50">
        <f t="shared" si="5"/>
        <v>4</v>
      </c>
      <c r="I14" s="51">
        <f t="shared" si="6"/>
        <v>3</v>
      </c>
      <c r="K14" s="59" t="s">
        <v>273</v>
      </c>
      <c r="L14" s="59">
        <f>Gabriel!Q$11</f>
        <v>200</v>
      </c>
      <c r="M14" s="59"/>
      <c r="N14" s="59"/>
      <c r="O14" s="60" t="s">
        <v>280</v>
      </c>
      <c r="P14" s="56">
        <f>Jean!Q$11</f>
        <v>205</v>
      </c>
      <c r="Q14" s="45">
        <v>1</v>
      </c>
      <c r="R14" s="45">
        <v>3</v>
      </c>
      <c r="S14" s="45">
        <v>3</v>
      </c>
      <c r="T14" s="45">
        <v>2</v>
      </c>
      <c r="U14" s="45">
        <v>4</v>
      </c>
      <c r="V14" s="61"/>
    </row>
    <row r="15" spans="2:22" x14ac:dyDescent="0.25">
      <c r="B15" s="58" t="s">
        <v>309</v>
      </c>
      <c r="C15" s="50" t="str">
        <f t="shared" si="0"/>
        <v>Juninho_2</v>
      </c>
      <c r="D15" s="50">
        <f t="shared" si="1"/>
        <v>210</v>
      </c>
      <c r="E15" s="50">
        <f t="shared" si="2"/>
        <v>1</v>
      </c>
      <c r="F15" s="50">
        <f t="shared" si="3"/>
        <v>3</v>
      </c>
      <c r="G15" s="50">
        <f t="shared" si="4"/>
        <v>2</v>
      </c>
      <c r="H15" s="50">
        <f t="shared" si="5"/>
        <v>3</v>
      </c>
      <c r="I15" s="51">
        <f t="shared" si="6"/>
        <v>5</v>
      </c>
      <c r="K15" s="59" t="s">
        <v>276</v>
      </c>
      <c r="L15" s="59">
        <f>Juninho_2!Q$11</f>
        <v>210</v>
      </c>
      <c r="M15" s="59"/>
      <c r="N15" s="59"/>
      <c r="O15" s="60" t="s">
        <v>281</v>
      </c>
      <c r="P15" s="56">
        <f>Robert!Q$11</f>
        <v>235</v>
      </c>
      <c r="Q15" s="45"/>
      <c r="R15" s="45">
        <v>4</v>
      </c>
      <c r="S15" s="45">
        <v>4</v>
      </c>
      <c r="T15" s="45">
        <v>2</v>
      </c>
      <c r="U15" s="45">
        <v>3</v>
      </c>
      <c r="V15" s="61"/>
    </row>
    <row r="16" spans="2:22" x14ac:dyDescent="0.25">
      <c r="B16" s="58" t="s">
        <v>310</v>
      </c>
      <c r="C16" s="50" t="str">
        <f t="shared" si="0"/>
        <v>Mácio</v>
      </c>
      <c r="D16" s="50">
        <f t="shared" si="1"/>
        <v>230</v>
      </c>
      <c r="E16" s="50">
        <f t="shared" si="2"/>
        <v>1</v>
      </c>
      <c r="F16" s="50">
        <f t="shared" si="3"/>
        <v>3</v>
      </c>
      <c r="G16" s="50">
        <f t="shared" si="4"/>
        <v>3</v>
      </c>
      <c r="H16" s="50">
        <f t="shared" si="5"/>
        <v>1</v>
      </c>
      <c r="I16" s="51">
        <f t="shared" si="6"/>
        <v>6</v>
      </c>
      <c r="K16" s="59" t="s">
        <v>278</v>
      </c>
      <c r="L16" s="59">
        <f>Mácio!Q$11</f>
        <v>230</v>
      </c>
      <c r="M16" s="59"/>
      <c r="N16" s="59"/>
      <c r="O16" s="60" t="s">
        <v>282</v>
      </c>
      <c r="P16" s="56">
        <f>Roberto!Q$11</f>
        <v>190</v>
      </c>
      <c r="Q16" s="45">
        <v>1</v>
      </c>
      <c r="R16" s="45">
        <v>4</v>
      </c>
      <c r="S16" s="45">
        <v>1</v>
      </c>
      <c r="T16" s="45">
        <v>2</v>
      </c>
      <c r="U16" s="45">
        <v>5</v>
      </c>
      <c r="V16" s="61"/>
    </row>
    <row r="17" spans="2:22" x14ac:dyDescent="0.25">
      <c r="B17" s="58" t="s">
        <v>311</v>
      </c>
      <c r="C17" s="50" t="str">
        <f t="shared" si="0"/>
        <v>Roberto</v>
      </c>
      <c r="D17" s="50">
        <f t="shared" si="1"/>
        <v>190</v>
      </c>
      <c r="E17" s="50">
        <f t="shared" si="2"/>
        <v>1</v>
      </c>
      <c r="F17" s="50">
        <f t="shared" si="3"/>
        <v>4</v>
      </c>
      <c r="G17" s="50">
        <f t="shared" si="4"/>
        <v>1</v>
      </c>
      <c r="H17" s="50">
        <f t="shared" si="5"/>
        <v>2</v>
      </c>
      <c r="I17" s="51">
        <f t="shared" si="6"/>
        <v>5</v>
      </c>
      <c r="K17" s="59" t="s">
        <v>282</v>
      </c>
      <c r="L17" s="59">
        <f>Roberto!Q$11</f>
        <v>190</v>
      </c>
      <c r="M17" s="59"/>
      <c r="N17" s="59"/>
      <c r="O17" s="60" t="s">
        <v>283</v>
      </c>
      <c r="P17" s="56">
        <f>Andréia!Q$11</f>
        <v>135</v>
      </c>
      <c r="Q17" s="45"/>
      <c r="R17" s="45">
        <v>1</v>
      </c>
      <c r="S17" s="45">
        <v>3</v>
      </c>
      <c r="T17" s="45">
        <v>3</v>
      </c>
      <c r="U17" s="45">
        <v>6</v>
      </c>
      <c r="V17" s="61"/>
    </row>
    <row r="18" spans="2:22" x14ac:dyDescent="0.25">
      <c r="B18" s="58" t="s">
        <v>312</v>
      </c>
      <c r="C18" s="50" t="str">
        <f t="shared" si="0"/>
        <v>Julio</v>
      </c>
      <c r="D18" s="50">
        <f t="shared" si="1"/>
        <v>190</v>
      </c>
      <c r="E18" s="50">
        <f t="shared" si="2"/>
        <v>1</v>
      </c>
      <c r="F18" s="50">
        <f t="shared" si="3"/>
        <v>1</v>
      </c>
      <c r="G18" s="50">
        <f t="shared" si="4"/>
        <v>6</v>
      </c>
      <c r="H18" s="50">
        <f t="shared" si="5"/>
        <v>0</v>
      </c>
      <c r="I18" s="51">
        <f t="shared" si="6"/>
        <v>5</v>
      </c>
      <c r="K18" s="59" t="s">
        <v>288</v>
      </c>
      <c r="L18" s="59">
        <f>Julio!Q$11</f>
        <v>190</v>
      </c>
      <c r="M18" s="59"/>
      <c r="N18" s="59"/>
      <c r="O18" s="60" t="s">
        <v>284</v>
      </c>
      <c r="P18" s="56">
        <f>Joseir_1!Q$11</f>
        <v>170</v>
      </c>
      <c r="Q18" s="45"/>
      <c r="R18" s="45">
        <v>1</v>
      </c>
      <c r="S18" s="45">
        <v>2</v>
      </c>
      <c r="T18" s="45">
        <v>6</v>
      </c>
      <c r="U18" s="45">
        <v>4</v>
      </c>
      <c r="V18" s="61"/>
    </row>
    <row r="19" spans="2:22" x14ac:dyDescent="0.25">
      <c r="B19" s="58" t="s">
        <v>313</v>
      </c>
      <c r="C19" s="50" t="str">
        <f t="shared" si="0"/>
        <v>Cléofaz</v>
      </c>
      <c r="D19" s="50">
        <f t="shared" si="1"/>
        <v>200</v>
      </c>
      <c r="E19" s="50">
        <f t="shared" si="2"/>
        <v>1</v>
      </c>
      <c r="F19" s="50">
        <f t="shared" si="3"/>
        <v>1</v>
      </c>
      <c r="G19" s="50">
        <f t="shared" si="4"/>
        <v>5</v>
      </c>
      <c r="H19" s="50">
        <f t="shared" si="5"/>
        <v>1</v>
      </c>
      <c r="I19" s="51">
        <f t="shared" si="6"/>
        <v>4</v>
      </c>
      <c r="K19" s="59" t="s">
        <v>291</v>
      </c>
      <c r="L19" s="59">
        <f>Cléofaz!Q$11</f>
        <v>200</v>
      </c>
      <c r="M19" s="59"/>
      <c r="N19" s="59"/>
      <c r="O19" s="60" t="s">
        <v>285</v>
      </c>
      <c r="P19" s="56">
        <f>Joseir_2!Q$11</f>
        <v>215</v>
      </c>
      <c r="Q19" s="45">
        <v>2</v>
      </c>
      <c r="R19" s="45">
        <v>2</v>
      </c>
      <c r="S19" s="45">
        <v>2</v>
      </c>
      <c r="T19" s="45">
        <v>7</v>
      </c>
      <c r="U19" s="45">
        <v>0</v>
      </c>
      <c r="V19" s="61"/>
    </row>
    <row r="20" spans="2:22" x14ac:dyDescent="0.25">
      <c r="B20" s="58" t="s">
        <v>314</v>
      </c>
      <c r="C20" s="50" t="str">
        <f t="shared" si="0"/>
        <v>Luana</v>
      </c>
      <c r="D20" s="50">
        <f t="shared" si="1"/>
        <v>225</v>
      </c>
      <c r="E20" s="50">
        <f t="shared" si="2"/>
        <v>1</v>
      </c>
      <c r="F20" s="50">
        <f t="shared" si="3"/>
        <v>1</v>
      </c>
      <c r="G20" s="50">
        <f t="shared" si="4"/>
        <v>2</v>
      </c>
      <c r="H20" s="50">
        <f t="shared" si="5"/>
        <v>7</v>
      </c>
      <c r="I20" s="51">
        <f t="shared" si="6"/>
        <v>3</v>
      </c>
      <c r="K20" s="59" t="s">
        <v>277</v>
      </c>
      <c r="L20" s="59">
        <f>Luana!Q$11</f>
        <v>225</v>
      </c>
      <c r="M20" s="59"/>
      <c r="N20" s="59"/>
      <c r="O20" s="60" t="s">
        <v>286</v>
      </c>
      <c r="P20" s="56">
        <f>Ivani!Q$11</f>
        <v>205</v>
      </c>
      <c r="Q20" s="45">
        <v>2</v>
      </c>
      <c r="R20" s="45">
        <v>2</v>
      </c>
      <c r="S20" s="45">
        <v>3</v>
      </c>
      <c r="T20" s="45">
        <v>2</v>
      </c>
      <c r="U20" s="45">
        <v>5</v>
      </c>
      <c r="V20" s="61"/>
    </row>
    <row r="21" spans="2:22" x14ac:dyDescent="0.25">
      <c r="B21" s="58" t="s">
        <v>315</v>
      </c>
      <c r="C21" s="50" t="str">
        <f t="shared" si="0"/>
        <v>Talita</v>
      </c>
      <c r="D21" s="50">
        <f t="shared" si="1"/>
        <v>190</v>
      </c>
      <c r="E21" s="50">
        <f t="shared" si="2"/>
        <v>1</v>
      </c>
      <c r="F21" s="50">
        <f t="shared" si="3"/>
        <v>0</v>
      </c>
      <c r="G21" s="50">
        <f t="shared" si="4"/>
        <v>4</v>
      </c>
      <c r="H21" s="50">
        <f t="shared" si="5"/>
        <v>5</v>
      </c>
      <c r="I21" s="51">
        <f t="shared" si="6"/>
        <v>3</v>
      </c>
      <c r="K21" s="59" t="s">
        <v>289</v>
      </c>
      <c r="L21" s="59">
        <f>Talita!Q$11</f>
        <v>190</v>
      </c>
      <c r="M21" s="59"/>
      <c r="N21" s="59"/>
      <c r="O21" s="60" t="s">
        <v>287</v>
      </c>
      <c r="P21" s="56">
        <f>Josimar!Q$11</f>
        <v>135</v>
      </c>
      <c r="Q21" s="45"/>
      <c r="R21" s="45">
        <v>1</v>
      </c>
      <c r="S21" s="45">
        <v>1</v>
      </c>
      <c r="T21" s="45">
        <v>6</v>
      </c>
      <c r="U21" s="45">
        <v>5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185</v>
      </c>
      <c r="E22" s="50">
        <f t="shared" si="2"/>
        <v>1</v>
      </c>
      <c r="F22" s="50">
        <f t="shared" si="3"/>
        <v>2</v>
      </c>
      <c r="G22" s="50">
        <f t="shared" si="4"/>
        <v>3</v>
      </c>
      <c r="H22" s="50">
        <f t="shared" si="5"/>
        <v>1</v>
      </c>
      <c r="I22" s="51">
        <f t="shared" si="6"/>
        <v>6</v>
      </c>
      <c r="K22" s="59" t="s">
        <v>272</v>
      </c>
      <c r="L22" s="59">
        <f>Luis!Q$11</f>
        <v>185</v>
      </c>
      <c r="M22" s="59"/>
      <c r="N22" s="59"/>
      <c r="O22" s="60" t="s">
        <v>288</v>
      </c>
      <c r="P22" s="56">
        <f>Julio!Q$11</f>
        <v>190</v>
      </c>
      <c r="Q22" s="45">
        <v>1</v>
      </c>
      <c r="R22" s="45">
        <v>1</v>
      </c>
      <c r="S22" s="45">
        <v>6</v>
      </c>
      <c r="T22" s="45"/>
      <c r="U22" s="45">
        <v>5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170</v>
      </c>
      <c r="E23" s="50">
        <f t="shared" si="2"/>
        <v>0</v>
      </c>
      <c r="F23" s="50">
        <f t="shared" si="3"/>
        <v>1</v>
      </c>
      <c r="G23" s="50">
        <f t="shared" si="4"/>
        <v>2</v>
      </c>
      <c r="H23" s="50">
        <f t="shared" si="5"/>
        <v>6</v>
      </c>
      <c r="I23" s="51">
        <f t="shared" si="6"/>
        <v>4</v>
      </c>
      <c r="K23" s="59" t="s">
        <v>284</v>
      </c>
      <c r="L23" s="59">
        <f>Joseir_1!Q$11</f>
        <v>170</v>
      </c>
      <c r="M23" s="59"/>
      <c r="N23" s="59"/>
      <c r="O23" s="60" t="s">
        <v>289</v>
      </c>
      <c r="P23" s="56">
        <f>Talita!Q$11</f>
        <v>190</v>
      </c>
      <c r="Q23" s="45">
        <v>1</v>
      </c>
      <c r="R23" s="45"/>
      <c r="S23" s="45">
        <v>4</v>
      </c>
      <c r="T23" s="45">
        <v>5</v>
      </c>
      <c r="U23" s="45">
        <v>3</v>
      </c>
      <c r="V23" s="61"/>
    </row>
    <row r="24" spans="2:22" x14ac:dyDescent="0.25">
      <c r="B24" s="58" t="s">
        <v>318</v>
      </c>
      <c r="C24" s="50" t="str">
        <f t="shared" si="0"/>
        <v>Andréia</v>
      </c>
      <c r="D24" s="50">
        <f t="shared" si="1"/>
        <v>135</v>
      </c>
      <c r="E24" s="50">
        <f t="shared" si="2"/>
        <v>0</v>
      </c>
      <c r="F24" s="50">
        <f t="shared" si="3"/>
        <v>1</v>
      </c>
      <c r="G24" s="50">
        <f t="shared" si="4"/>
        <v>3</v>
      </c>
      <c r="H24" s="50">
        <f t="shared" si="5"/>
        <v>3</v>
      </c>
      <c r="I24" s="51">
        <f t="shared" si="6"/>
        <v>6</v>
      </c>
      <c r="K24" s="59" t="s">
        <v>283</v>
      </c>
      <c r="L24" s="59">
        <f>Andréia!Q$11</f>
        <v>135</v>
      </c>
      <c r="M24" s="59"/>
      <c r="N24" s="59"/>
      <c r="O24" s="60" t="s">
        <v>290</v>
      </c>
      <c r="P24" s="56">
        <f>Anderson!Q$11</f>
        <v>210</v>
      </c>
      <c r="Q24" s="45">
        <v>1</v>
      </c>
      <c r="R24" s="45">
        <v>3</v>
      </c>
      <c r="S24" s="45">
        <v>2</v>
      </c>
      <c r="T24" s="45">
        <v>4</v>
      </c>
      <c r="U24" s="45">
        <v>3</v>
      </c>
      <c r="V24" s="61"/>
    </row>
    <row r="25" spans="2:22" ht="15.75" thickBot="1" x14ac:dyDescent="0.3">
      <c r="B25" s="62" t="s">
        <v>319</v>
      </c>
      <c r="C25" s="52" t="str">
        <f t="shared" si="0"/>
        <v>Josimar</v>
      </c>
      <c r="D25" s="52">
        <f t="shared" si="1"/>
        <v>135</v>
      </c>
      <c r="E25" s="52">
        <f t="shared" si="2"/>
        <v>0</v>
      </c>
      <c r="F25" s="52">
        <f t="shared" si="3"/>
        <v>1</v>
      </c>
      <c r="G25" s="52">
        <f t="shared" si="4"/>
        <v>1</v>
      </c>
      <c r="H25" s="52">
        <f t="shared" si="5"/>
        <v>6</v>
      </c>
      <c r="I25" s="53">
        <f t="shared" si="6"/>
        <v>5</v>
      </c>
      <c r="K25" s="59" t="s">
        <v>287</v>
      </c>
      <c r="L25" s="59">
        <f>Josimar!Q$11</f>
        <v>135</v>
      </c>
      <c r="M25" s="59"/>
      <c r="N25" s="59"/>
      <c r="O25" s="60" t="s">
        <v>291</v>
      </c>
      <c r="P25" s="56">
        <f>Cléofaz!Q$11</f>
        <v>200</v>
      </c>
      <c r="Q25" s="45">
        <v>1</v>
      </c>
      <c r="R25" s="45">
        <v>1</v>
      </c>
      <c r="S25" s="45">
        <v>5</v>
      </c>
      <c r="T25" s="45">
        <v>1</v>
      </c>
      <c r="U25" s="45">
        <v>4</v>
      </c>
      <c r="V25" s="61"/>
    </row>
    <row r="26" spans="2:22" ht="15.75" thickTop="1" x14ac:dyDescent="0.25">
      <c r="N26" s="59"/>
      <c r="P26" s="57"/>
    </row>
  </sheetData>
  <mergeCells count="1">
    <mergeCell ref="B1:I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79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120" t="s">
        <v>53</v>
      </c>
      <c r="C2" s="120"/>
      <c r="D2" s="120"/>
      <c r="E2" s="83">
        <v>1</v>
      </c>
      <c r="F2" s="83"/>
      <c r="G2" s="83">
        <v>1</v>
      </c>
      <c r="H2" s="120" t="s">
        <v>71</v>
      </c>
      <c r="I2" s="120"/>
      <c r="J2" s="120"/>
      <c r="L2" t="s">
        <v>291</v>
      </c>
    </row>
    <row r="4" spans="2:12" x14ac:dyDescent="0.25">
      <c r="B4" s="120" t="s">
        <v>65</v>
      </c>
      <c r="C4" s="120"/>
      <c r="D4" s="120"/>
      <c r="E4" s="83">
        <v>0</v>
      </c>
      <c r="F4" s="83"/>
      <c r="G4" s="83">
        <v>2</v>
      </c>
      <c r="H4" s="120" t="s">
        <v>56</v>
      </c>
      <c r="I4" s="120"/>
      <c r="J4" s="120"/>
      <c r="L4" t="s">
        <v>290</v>
      </c>
    </row>
    <row r="5" spans="2:12" x14ac:dyDescent="0.25">
      <c r="B5" s="120" t="s">
        <v>63</v>
      </c>
      <c r="C5" s="120"/>
      <c r="D5" s="120"/>
      <c r="E5" s="83">
        <v>2</v>
      </c>
      <c r="F5" s="83"/>
      <c r="G5" s="83">
        <v>0</v>
      </c>
      <c r="H5" s="120" t="s">
        <v>232</v>
      </c>
      <c r="I5" s="120"/>
      <c r="J5" s="120"/>
    </row>
    <row r="7" spans="2:12" x14ac:dyDescent="0.25">
      <c r="B7" s="120" t="s">
        <v>65</v>
      </c>
      <c r="C7" s="120"/>
      <c r="D7" s="120"/>
      <c r="E7" s="83">
        <v>0</v>
      </c>
      <c r="F7" s="83"/>
      <c r="G7" s="83">
        <v>2</v>
      </c>
      <c r="H7" s="120" t="s">
        <v>56</v>
      </c>
      <c r="I7" s="120"/>
      <c r="J7" s="120"/>
      <c r="L7" t="s">
        <v>289</v>
      </c>
    </row>
    <row r="8" spans="2:12" x14ac:dyDescent="0.25">
      <c r="B8" s="120" t="s">
        <v>56</v>
      </c>
      <c r="C8" s="120"/>
      <c r="D8" s="120"/>
      <c r="E8" s="83">
        <v>1</v>
      </c>
      <c r="F8" s="83"/>
      <c r="G8" s="83">
        <v>1</v>
      </c>
      <c r="H8" s="120" t="s">
        <v>51</v>
      </c>
      <c r="I8" s="120"/>
      <c r="J8" s="120"/>
    </row>
    <row r="10" spans="2:12" x14ac:dyDescent="0.25">
      <c r="B10" s="120" t="s">
        <v>53</v>
      </c>
      <c r="C10" s="120"/>
      <c r="D10" s="120"/>
      <c r="E10" s="83">
        <v>1</v>
      </c>
      <c r="F10" s="83"/>
      <c r="G10" s="83">
        <v>1</v>
      </c>
      <c r="H10" s="120" t="s">
        <v>71</v>
      </c>
      <c r="I10" s="120"/>
      <c r="J10" s="120"/>
      <c r="L10" t="s">
        <v>288</v>
      </c>
    </row>
    <row r="11" spans="2:12" x14ac:dyDescent="0.25">
      <c r="B11" s="120" t="s">
        <v>63</v>
      </c>
      <c r="C11" s="120"/>
      <c r="D11" s="120"/>
      <c r="E11" s="83">
        <v>2</v>
      </c>
      <c r="F11" s="83"/>
      <c r="G11" s="83">
        <v>0</v>
      </c>
      <c r="H11" s="120" t="s">
        <v>232</v>
      </c>
      <c r="I11" s="120"/>
      <c r="J11" s="120"/>
    </row>
    <row r="13" spans="2:12" x14ac:dyDescent="0.25">
      <c r="B13" s="120" t="s">
        <v>68</v>
      </c>
      <c r="C13" s="120"/>
      <c r="D13" s="120"/>
      <c r="E13" s="83">
        <v>0</v>
      </c>
      <c r="F13" s="83"/>
      <c r="G13" s="83">
        <v>1</v>
      </c>
      <c r="H13" s="120" t="s">
        <v>41</v>
      </c>
      <c r="I13" s="120"/>
      <c r="J13" s="120"/>
      <c r="L13" t="s">
        <v>287</v>
      </c>
    </row>
    <row r="15" spans="2:12" x14ac:dyDescent="0.25">
      <c r="B15" s="120" t="s">
        <v>38</v>
      </c>
      <c r="C15" s="120"/>
      <c r="D15" s="120"/>
      <c r="E15" s="83">
        <v>1</v>
      </c>
      <c r="F15" s="83"/>
      <c r="G15" s="83">
        <v>2</v>
      </c>
      <c r="H15" s="120" t="s">
        <v>59</v>
      </c>
      <c r="I15" s="120"/>
      <c r="J15" s="120"/>
      <c r="L15" t="s">
        <v>286</v>
      </c>
    </row>
    <row r="16" spans="2:12" x14ac:dyDescent="0.25">
      <c r="B16" s="120" t="s">
        <v>42</v>
      </c>
      <c r="C16" s="120"/>
      <c r="D16" s="120"/>
      <c r="E16" s="83">
        <v>1</v>
      </c>
      <c r="F16" s="83"/>
      <c r="G16" s="83">
        <v>0</v>
      </c>
      <c r="H16" s="120" t="s">
        <v>45</v>
      </c>
      <c r="I16" s="120"/>
      <c r="J16" s="120"/>
    </row>
    <row r="18" spans="2:12" x14ac:dyDescent="0.25">
      <c r="B18" s="120" t="s">
        <v>42</v>
      </c>
      <c r="C18" s="120"/>
      <c r="D18" s="120"/>
      <c r="E18" s="83">
        <v>1</v>
      </c>
      <c r="F18" s="83"/>
      <c r="G18" s="83">
        <v>0</v>
      </c>
      <c r="H18" s="120" t="s">
        <v>45</v>
      </c>
      <c r="I18" s="120"/>
      <c r="J18" s="120"/>
      <c r="L18" t="s">
        <v>285</v>
      </c>
    </row>
    <row r="19" spans="2:12" x14ac:dyDescent="0.25">
      <c r="B19" s="120" t="s">
        <v>67</v>
      </c>
      <c r="C19" s="120"/>
      <c r="D19" s="120"/>
      <c r="E19" s="83">
        <v>1</v>
      </c>
      <c r="F19" s="83"/>
      <c r="G19" s="83">
        <v>0</v>
      </c>
      <c r="H19" s="120" t="s">
        <v>44</v>
      </c>
      <c r="I19" s="120"/>
      <c r="J19" s="120"/>
    </row>
    <row r="21" spans="2:12" x14ac:dyDescent="0.25">
      <c r="B21" s="120" t="s">
        <v>68</v>
      </c>
      <c r="C21" s="120"/>
      <c r="D21" s="120"/>
      <c r="E21" s="83">
        <v>0</v>
      </c>
      <c r="F21" s="83"/>
      <c r="G21" s="83">
        <v>1</v>
      </c>
      <c r="H21" s="120" t="s">
        <v>41</v>
      </c>
      <c r="I21" s="120"/>
      <c r="J21" s="120"/>
      <c r="L21" t="s">
        <v>284</v>
      </c>
    </row>
    <row r="22" spans="2:12" x14ac:dyDescent="0.25">
      <c r="B22" s="120" t="s">
        <v>59</v>
      </c>
      <c r="C22" s="120"/>
      <c r="D22" s="120"/>
      <c r="E22" s="83">
        <v>0</v>
      </c>
      <c r="F22" s="83"/>
      <c r="G22" s="83">
        <v>1</v>
      </c>
      <c r="H22" s="120" t="s">
        <v>233</v>
      </c>
      <c r="I22" s="120"/>
      <c r="J22" s="120"/>
    </row>
    <row r="24" spans="2:12" x14ac:dyDescent="0.25">
      <c r="B24" s="120" t="s">
        <v>69</v>
      </c>
      <c r="C24" s="120"/>
      <c r="D24" s="120"/>
      <c r="E24" s="83">
        <v>0</v>
      </c>
      <c r="F24" s="83"/>
      <c r="G24" s="83">
        <v>0</v>
      </c>
      <c r="H24" s="120" t="s">
        <v>246</v>
      </c>
      <c r="I24" s="120"/>
      <c r="J24" s="120"/>
      <c r="L24" t="s">
        <v>282</v>
      </c>
    </row>
    <row r="26" spans="2:12" x14ac:dyDescent="0.25">
      <c r="B26" s="120" t="s">
        <v>68</v>
      </c>
      <c r="C26" s="120"/>
      <c r="D26" s="120"/>
      <c r="E26" s="83">
        <v>0</v>
      </c>
      <c r="F26" s="83"/>
      <c r="G26" s="83">
        <v>1</v>
      </c>
      <c r="H26" s="120" t="s">
        <v>41</v>
      </c>
      <c r="I26" s="120"/>
      <c r="J26" s="120"/>
      <c r="L26" t="s">
        <v>281</v>
      </c>
    </row>
    <row r="27" spans="2:12" x14ac:dyDescent="0.25">
      <c r="B27" s="120" t="s">
        <v>54</v>
      </c>
      <c r="C27" s="120"/>
      <c r="D27" s="120"/>
      <c r="E27" s="83">
        <v>2</v>
      </c>
      <c r="F27" s="83"/>
      <c r="G27" s="83">
        <v>1</v>
      </c>
      <c r="H27" s="120" t="s">
        <v>50</v>
      </c>
      <c r="I27" s="120"/>
      <c r="J27" s="120"/>
    </row>
    <row r="29" spans="2:12" x14ac:dyDescent="0.25">
      <c r="B29" s="120" t="s">
        <v>67</v>
      </c>
      <c r="C29" s="120"/>
      <c r="D29" s="120"/>
      <c r="E29" s="83">
        <v>1</v>
      </c>
      <c r="F29" s="83"/>
      <c r="G29" s="83">
        <v>0</v>
      </c>
      <c r="H29" s="120" t="s">
        <v>44</v>
      </c>
      <c r="I29" s="120"/>
      <c r="J29" s="120"/>
      <c r="L29" t="s">
        <v>280</v>
      </c>
    </row>
    <row r="31" spans="2:12" x14ac:dyDescent="0.25">
      <c r="B31" s="120" t="s">
        <v>46</v>
      </c>
      <c r="C31" s="120"/>
      <c r="D31" s="120"/>
      <c r="E31" s="83">
        <v>0</v>
      </c>
      <c r="F31" s="83"/>
      <c r="G31" s="83">
        <v>2</v>
      </c>
      <c r="H31" s="120" t="s">
        <v>51</v>
      </c>
      <c r="I31" s="120"/>
      <c r="J31" s="120"/>
      <c r="L31" t="s">
        <v>279</v>
      </c>
    </row>
    <row r="32" spans="2:12" x14ac:dyDescent="0.25">
      <c r="B32" s="120" t="s">
        <v>63</v>
      </c>
      <c r="C32" s="120"/>
      <c r="D32" s="120"/>
      <c r="E32" s="83">
        <v>2</v>
      </c>
      <c r="F32" s="83"/>
      <c r="G32" s="83">
        <v>0</v>
      </c>
      <c r="H32" s="120" t="s">
        <v>232</v>
      </c>
      <c r="I32" s="120"/>
      <c r="J32" s="120"/>
    </row>
    <row r="33" spans="2:12" x14ac:dyDescent="0.25">
      <c r="B33" s="120" t="s">
        <v>54</v>
      </c>
      <c r="C33" s="120"/>
      <c r="D33" s="120"/>
      <c r="E33" s="83">
        <v>2</v>
      </c>
      <c r="F33" s="83"/>
      <c r="G33" s="83">
        <v>1</v>
      </c>
      <c r="H33" s="120" t="s">
        <v>50</v>
      </c>
      <c r="I33" s="120"/>
      <c r="J33" s="120"/>
    </row>
    <row r="34" spans="2:12" x14ac:dyDescent="0.25">
      <c r="B34" s="120" t="s">
        <v>67</v>
      </c>
      <c r="C34" s="120"/>
      <c r="D34" s="120"/>
      <c r="E34" s="83">
        <v>1</v>
      </c>
      <c r="F34" s="83"/>
      <c r="G34" s="83">
        <v>0</v>
      </c>
      <c r="H34" s="120" t="s">
        <v>44</v>
      </c>
      <c r="I34" s="120"/>
      <c r="J34" s="120"/>
    </row>
    <row r="36" spans="2:12" x14ac:dyDescent="0.25">
      <c r="B36" s="120" t="s">
        <v>46</v>
      </c>
      <c r="C36" s="120"/>
      <c r="D36" s="120"/>
      <c r="E36" s="83">
        <v>1</v>
      </c>
      <c r="F36" s="83"/>
      <c r="G36" s="83">
        <v>3</v>
      </c>
      <c r="H36" s="120" t="s">
        <v>65</v>
      </c>
      <c r="I36" s="120"/>
      <c r="J36" s="120"/>
      <c r="L36" t="s">
        <v>278</v>
      </c>
    </row>
    <row r="37" spans="2:12" x14ac:dyDescent="0.25">
      <c r="B37" s="120" t="s">
        <v>63</v>
      </c>
      <c r="C37" s="120"/>
      <c r="D37" s="120"/>
      <c r="E37" s="83">
        <v>2</v>
      </c>
      <c r="F37" s="83"/>
      <c r="G37" s="83">
        <v>0</v>
      </c>
      <c r="H37" s="120" t="s">
        <v>232</v>
      </c>
      <c r="I37" s="120"/>
      <c r="J37" s="120"/>
    </row>
    <row r="38" spans="2:12" x14ac:dyDescent="0.25">
      <c r="B38" s="120" t="s">
        <v>67</v>
      </c>
      <c r="C38" s="120"/>
      <c r="D38" s="120"/>
      <c r="E38" s="83">
        <v>1</v>
      </c>
      <c r="F38" s="83"/>
      <c r="G38" s="83">
        <v>0</v>
      </c>
      <c r="H38" s="120" t="s">
        <v>44</v>
      </c>
      <c r="I38" s="120"/>
      <c r="J38" s="120"/>
    </row>
    <row r="39" spans="2:12" x14ac:dyDescent="0.25">
      <c r="B39" s="120" t="s">
        <v>43</v>
      </c>
      <c r="C39" s="120"/>
      <c r="D39" s="120"/>
      <c r="E39" s="83">
        <v>2</v>
      </c>
      <c r="F39" s="83"/>
      <c r="G39" s="83">
        <v>0</v>
      </c>
      <c r="H39" s="120" t="s">
        <v>66</v>
      </c>
      <c r="I39" s="120"/>
      <c r="J39" s="120"/>
    </row>
    <row r="41" spans="2:12" x14ac:dyDescent="0.25">
      <c r="B41" s="120" t="s">
        <v>63</v>
      </c>
      <c r="C41" s="120"/>
      <c r="D41" s="120"/>
      <c r="E41" s="83">
        <v>2</v>
      </c>
      <c r="F41" s="83"/>
      <c r="G41" s="83">
        <v>0</v>
      </c>
      <c r="H41" s="120" t="s">
        <v>232</v>
      </c>
      <c r="I41" s="120"/>
      <c r="J41" s="120"/>
      <c r="L41" t="s">
        <v>277</v>
      </c>
    </row>
    <row r="42" spans="2:12" x14ac:dyDescent="0.25">
      <c r="B42" s="120" t="s">
        <v>40</v>
      </c>
      <c r="C42" s="120"/>
      <c r="D42" s="120"/>
      <c r="E42" s="83">
        <v>2</v>
      </c>
      <c r="F42" s="83"/>
      <c r="G42" s="83">
        <v>0</v>
      </c>
      <c r="H42" s="120" t="s">
        <v>61</v>
      </c>
      <c r="I42" s="120"/>
      <c r="J42" s="120"/>
    </row>
    <row r="43" spans="2:12" x14ac:dyDescent="0.25">
      <c r="B43" s="120" t="s">
        <v>68</v>
      </c>
      <c r="C43" s="120"/>
      <c r="D43" s="120"/>
      <c r="E43" s="83">
        <v>0</v>
      </c>
      <c r="F43" s="83"/>
      <c r="G43" s="83">
        <v>1</v>
      </c>
      <c r="H43" s="120" t="s">
        <v>41</v>
      </c>
      <c r="I43" s="120"/>
      <c r="J43" s="120"/>
    </row>
    <row r="44" spans="2:12" x14ac:dyDescent="0.25">
      <c r="B44" s="120" t="s">
        <v>42</v>
      </c>
      <c r="C44" s="120"/>
      <c r="D44" s="120"/>
      <c r="E44" s="83">
        <v>1</v>
      </c>
      <c r="F44" s="83"/>
      <c r="G44" s="83">
        <v>0</v>
      </c>
      <c r="H44" s="120" t="s">
        <v>45</v>
      </c>
      <c r="I44" s="120"/>
      <c r="J44" s="120"/>
    </row>
    <row r="45" spans="2:12" x14ac:dyDescent="0.25">
      <c r="B45" s="120" t="s">
        <v>43</v>
      </c>
      <c r="C45" s="120"/>
      <c r="D45" s="120"/>
      <c r="E45" s="83">
        <v>2</v>
      </c>
      <c r="F45" s="83"/>
      <c r="G45" s="83">
        <v>0</v>
      </c>
      <c r="H45" s="120" t="s">
        <v>66</v>
      </c>
      <c r="I45" s="120"/>
      <c r="J45" s="120"/>
    </row>
    <row r="47" spans="2:12" x14ac:dyDescent="0.25">
      <c r="B47" s="120" t="s">
        <v>57</v>
      </c>
      <c r="C47" s="120"/>
      <c r="D47" s="120"/>
      <c r="E47" s="83">
        <v>0</v>
      </c>
      <c r="F47" s="83"/>
      <c r="G47" s="83">
        <v>0</v>
      </c>
      <c r="H47" s="120" t="s">
        <v>53</v>
      </c>
      <c r="I47" s="120"/>
      <c r="J47" s="120"/>
      <c r="L47" t="s">
        <v>276</v>
      </c>
    </row>
    <row r="48" spans="2:12" x14ac:dyDescent="0.25">
      <c r="B48" s="120" t="s">
        <v>50</v>
      </c>
      <c r="C48" s="120"/>
      <c r="D48" s="120"/>
      <c r="E48" s="83">
        <v>0</v>
      </c>
      <c r="F48" s="83"/>
      <c r="G48" s="83">
        <v>0</v>
      </c>
      <c r="H48" s="120" t="s">
        <v>68</v>
      </c>
      <c r="I48" s="120"/>
      <c r="J48" s="120"/>
    </row>
    <row r="50" spans="2:12" x14ac:dyDescent="0.25">
      <c r="B50" s="120" t="s">
        <v>65</v>
      </c>
      <c r="C50" s="120"/>
      <c r="D50" s="120"/>
      <c r="E50" s="83">
        <v>0</v>
      </c>
      <c r="F50" s="83"/>
      <c r="G50" s="83">
        <v>2</v>
      </c>
      <c r="H50" s="120" t="s">
        <v>56</v>
      </c>
      <c r="I50" s="120"/>
      <c r="J50" s="120"/>
      <c r="L50" t="s">
        <v>275</v>
      </c>
    </row>
    <row r="51" spans="2:12" x14ac:dyDescent="0.25">
      <c r="B51" s="120" t="s">
        <v>54</v>
      </c>
      <c r="C51" s="120"/>
      <c r="D51" s="120"/>
      <c r="E51" s="83">
        <v>2</v>
      </c>
      <c r="F51" s="83"/>
      <c r="G51" s="83">
        <v>1</v>
      </c>
      <c r="H51" s="120" t="s">
        <v>50</v>
      </c>
      <c r="I51" s="120"/>
      <c r="J51" s="120"/>
    </row>
    <row r="52" spans="2:12" x14ac:dyDescent="0.25">
      <c r="B52" s="120" t="s">
        <v>42</v>
      </c>
      <c r="C52" s="120"/>
      <c r="D52" s="120"/>
      <c r="E52" s="83">
        <v>1</v>
      </c>
      <c r="F52" s="83"/>
      <c r="G52" s="83">
        <v>0</v>
      </c>
      <c r="H52" s="120" t="s">
        <v>45</v>
      </c>
      <c r="I52" s="120"/>
      <c r="J52" s="120"/>
    </row>
    <row r="53" spans="2:12" x14ac:dyDescent="0.25">
      <c r="B53" s="120" t="s">
        <v>43</v>
      </c>
      <c r="C53" s="120"/>
      <c r="D53" s="120"/>
      <c r="E53" s="83">
        <v>2</v>
      </c>
      <c r="F53" s="83"/>
      <c r="G53" s="83">
        <v>0</v>
      </c>
      <c r="H53" s="120" t="s">
        <v>66</v>
      </c>
      <c r="I53" s="120"/>
      <c r="J53" s="120"/>
    </row>
    <row r="55" spans="2:12" x14ac:dyDescent="0.25">
      <c r="B55" s="120" t="s">
        <v>53</v>
      </c>
      <c r="C55" s="120"/>
      <c r="D55" s="120"/>
      <c r="E55" s="83">
        <v>1</v>
      </c>
      <c r="F55" s="83"/>
      <c r="G55" s="83">
        <v>1</v>
      </c>
      <c r="H55" s="120" t="s">
        <v>71</v>
      </c>
      <c r="I55" s="120"/>
      <c r="J55" s="120"/>
      <c r="L55" t="s">
        <v>272</v>
      </c>
    </row>
    <row r="56" spans="2:12" x14ac:dyDescent="0.25">
      <c r="B56" s="120" t="s">
        <v>63</v>
      </c>
      <c r="C56" s="120"/>
      <c r="D56" s="120"/>
      <c r="E56" s="83">
        <v>2</v>
      </c>
      <c r="F56" s="83"/>
      <c r="G56" s="83">
        <v>0</v>
      </c>
      <c r="H56" s="120" t="s">
        <v>232</v>
      </c>
      <c r="I56" s="120"/>
      <c r="J56" s="120"/>
    </row>
    <row r="57" spans="2:12" x14ac:dyDescent="0.25">
      <c r="B57" s="120" t="s">
        <v>43</v>
      </c>
      <c r="C57" s="120"/>
      <c r="D57" s="120"/>
      <c r="E57" s="83">
        <v>2</v>
      </c>
      <c r="F57" s="83"/>
      <c r="G57" s="83">
        <v>0</v>
      </c>
      <c r="H57" s="120" t="s">
        <v>66</v>
      </c>
      <c r="I57" s="120"/>
      <c r="J57" s="120"/>
    </row>
    <row r="59" spans="2:12" x14ac:dyDescent="0.25">
      <c r="B59" s="120" t="s">
        <v>53</v>
      </c>
      <c r="C59" s="120"/>
      <c r="D59" s="120"/>
      <c r="E59" s="83">
        <v>1</v>
      </c>
      <c r="F59" s="83"/>
      <c r="G59" s="83">
        <v>1</v>
      </c>
      <c r="H59" s="120" t="s">
        <v>71</v>
      </c>
      <c r="I59" s="120"/>
      <c r="J59" s="120"/>
      <c r="L59" t="s">
        <v>273</v>
      </c>
    </row>
    <row r="60" spans="2:12" x14ac:dyDescent="0.25">
      <c r="B60" s="120" t="s">
        <v>63</v>
      </c>
      <c r="C60" s="120"/>
      <c r="D60" s="120"/>
      <c r="E60" s="83">
        <v>2</v>
      </c>
      <c r="F60" s="83"/>
      <c r="G60" s="83">
        <v>0</v>
      </c>
      <c r="H60" s="120" t="s">
        <v>232</v>
      </c>
      <c r="I60" s="120"/>
      <c r="J60" s="120"/>
    </row>
    <row r="62" spans="2:12" x14ac:dyDescent="0.25">
      <c r="B62" s="120" t="s">
        <v>56</v>
      </c>
      <c r="C62" s="120"/>
      <c r="D62" s="120"/>
      <c r="E62" s="83">
        <v>1</v>
      </c>
      <c r="F62" s="83"/>
      <c r="G62" s="83">
        <v>1</v>
      </c>
      <c r="H62" s="120" t="s">
        <v>51</v>
      </c>
      <c r="I62" s="120"/>
      <c r="J62" s="120"/>
      <c r="L62" t="s">
        <v>270</v>
      </c>
    </row>
    <row r="64" spans="2:12" x14ac:dyDescent="0.25">
      <c r="B64" s="120" t="s">
        <v>46</v>
      </c>
      <c r="C64" s="120"/>
      <c r="D64" s="120"/>
      <c r="E64" s="83">
        <v>0</v>
      </c>
      <c r="F64" s="83"/>
      <c r="G64" s="83">
        <v>2</v>
      </c>
      <c r="H64" s="120" t="s">
        <v>51</v>
      </c>
      <c r="I64" s="120"/>
      <c r="J64" s="120"/>
      <c r="L64" t="s">
        <v>294</v>
      </c>
    </row>
    <row r="65" spans="2:12" x14ac:dyDescent="0.25">
      <c r="B65" s="120" t="s">
        <v>65</v>
      </c>
      <c r="C65" s="120"/>
      <c r="D65" s="120"/>
      <c r="E65" s="83">
        <v>0</v>
      </c>
      <c r="F65" s="83"/>
      <c r="G65" s="83">
        <v>2</v>
      </c>
      <c r="H65" s="120" t="s">
        <v>56</v>
      </c>
      <c r="I65" s="120"/>
      <c r="J65" s="120"/>
    </row>
    <row r="66" spans="2:12" x14ac:dyDescent="0.25">
      <c r="B66" s="120" t="s">
        <v>56</v>
      </c>
      <c r="C66" s="120"/>
      <c r="D66" s="120"/>
      <c r="E66" s="83">
        <v>1</v>
      </c>
      <c r="F66" s="83"/>
      <c r="G66" s="83">
        <v>1</v>
      </c>
      <c r="H66" s="120" t="s">
        <v>51</v>
      </c>
      <c r="I66" s="120"/>
      <c r="J66" s="120"/>
    </row>
    <row r="67" spans="2:12" x14ac:dyDescent="0.25">
      <c r="B67" s="120" t="s">
        <v>63</v>
      </c>
      <c r="C67" s="120"/>
      <c r="D67" s="120"/>
      <c r="E67" s="83">
        <v>2</v>
      </c>
      <c r="F67" s="83"/>
      <c r="G67" s="83">
        <v>0</v>
      </c>
      <c r="H67" s="120" t="s">
        <v>232</v>
      </c>
      <c r="I67" s="120"/>
      <c r="J67" s="120"/>
    </row>
    <row r="68" spans="2:12" x14ac:dyDescent="0.25">
      <c r="B68" s="120" t="s">
        <v>68</v>
      </c>
      <c r="C68" s="120"/>
      <c r="D68" s="120"/>
      <c r="E68" s="83">
        <v>0</v>
      </c>
      <c r="F68" s="83"/>
      <c r="G68" s="83">
        <v>1</v>
      </c>
      <c r="H68" s="120" t="s">
        <v>41</v>
      </c>
      <c r="I68" s="120"/>
      <c r="J68" s="120"/>
    </row>
    <row r="69" spans="2:12" x14ac:dyDescent="0.25">
      <c r="B69" s="120" t="s">
        <v>59</v>
      </c>
      <c r="C69" s="120"/>
      <c r="D69" s="120"/>
      <c r="E69" s="83">
        <v>0</v>
      </c>
      <c r="F69" s="83"/>
      <c r="G69" s="83">
        <v>1</v>
      </c>
      <c r="H69" s="120" t="s">
        <v>233</v>
      </c>
      <c r="I69" s="120"/>
      <c r="J69" s="120"/>
    </row>
    <row r="70" spans="2:12" x14ac:dyDescent="0.25">
      <c r="B70" s="120" t="s">
        <v>67</v>
      </c>
      <c r="C70" s="120"/>
      <c r="D70" s="120"/>
      <c r="E70" s="83">
        <v>1</v>
      </c>
      <c r="F70" s="83"/>
      <c r="G70" s="83">
        <v>0</v>
      </c>
      <c r="H70" s="120" t="s">
        <v>44</v>
      </c>
      <c r="I70" s="120"/>
      <c r="J70" s="120"/>
    </row>
    <row r="71" spans="2:12" x14ac:dyDescent="0.25">
      <c r="B71" s="120" t="s">
        <v>43</v>
      </c>
      <c r="C71" s="120"/>
      <c r="D71" s="120"/>
      <c r="E71" s="83">
        <v>2</v>
      </c>
      <c r="F71" s="83"/>
      <c r="G71" s="83">
        <v>0</v>
      </c>
      <c r="H71" s="120" t="s">
        <v>66</v>
      </c>
      <c r="I71" s="120"/>
      <c r="J71" s="120"/>
    </row>
    <row r="73" spans="2:12" x14ac:dyDescent="0.25">
      <c r="B73" s="120" t="s">
        <v>56</v>
      </c>
      <c r="C73" s="120"/>
      <c r="D73" s="120"/>
      <c r="E73" s="83">
        <v>1</v>
      </c>
      <c r="F73" s="83"/>
      <c r="G73" s="83">
        <v>1</v>
      </c>
      <c r="H73" s="120" t="s">
        <v>51</v>
      </c>
      <c r="I73" s="120"/>
      <c r="J73" s="120"/>
      <c r="L73" t="s">
        <v>293</v>
      </c>
    </row>
    <row r="74" spans="2:12" x14ac:dyDescent="0.25">
      <c r="B74" s="120" t="s">
        <v>63</v>
      </c>
      <c r="C74" s="120"/>
      <c r="D74" s="120"/>
      <c r="E74" s="83">
        <v>2</v>
      </c>
      <c r="F74" s="83"/>
      <c r="G74" s="83">
        <v>0</v>
      </c>
      <c r="H74" s="120" t="s">
        <v>232</v>
      </c>
      <c r="I74" s="120"/>
      <c r="J74" s="120"/>
    </row>
    <row r="75" spans="2:12" x14ac:dyDescent="0.25">
      <c r="B75" s="120" t="s">
        <v>43</v>
      </c>
      <c r="C75" s="120"/>
      <c r="D75" s="120"/>
      <c r="E75" s="83">
        <v>2</v>
      </c>
      <c r="F75" s="83"/>
      <c r="G75" s="83">
        <v>0</v>
      </c>
      <c r="H75" s="120" t="s">
        <v>66</v>
      </c>
      <c r="I75" s="120"/>
      <c r="J75" s="120"/>
    </row>
    <row r="77" spans="2:12" x14ac:dyDescent="0.25">
      <c r="B77" s="120" t="s">
        <v>53</v>
      </c>
      <c r="C77" s="120"/>
      <c r="D77" s="120"/>
      <c r="E77" s="83">
        <v>1</v>
      </c>
      <c r="F77" s="83"/>
      <c r="G77" s="83">
        <v>1</v>
      </c>
      <c r="H77" s="120" t="s">
        <v>71</v>
      </c>
      <c r="I77" s="120"/>
      <c r="J77" s="120"/>
      <c r="L77" t="s">
        <v>271</v>
      </c>
    </row>
    <row r="78" spans="2:12" x14ac:dyDescent="0.25">
      <c r="B78" s="120" t="s">
        <v>40</v>
      </c>
      <c r="C78" s="120"/>
      <c r="D78" s="120"/>
      <c r="E78" s="83">
        <v>2</v>
      </c>
      <c r="F78" s="83"/>
      <c r="G78" s="83">
        <v>0</v>
      </c>
      <c r="H78" s="120" t="s">
        <v>61</v>
      </c>
      <c r="I78" s="120"/>
      <c r="J78" s="120"/>
    </row>
    <row r="79" spans="2:12" x14ac:dyDescent="0.25">
      <c r="B79" s="120" t="s">
        <v>43</v>
      </c>
      <c r="C79" s="120"/>
      <c r="D79" s="120"/>
      <c r="E79" s="83">
        <v>2</v>
      </c>
      <c r="F79" s="83"/>
      <c r="G79" s="83">
        <v>0</v>
      </c>
      <c r="H79" s="120" t="s">
        <v>66</v>
      </c>
      <c r="I79" s="120"/>
      <c r="J79" s="120"/>
    </row>
  </sheetData>
  <mergeCells count="114">
    <mergeCell ref="B2:D2"/>
    <mergeCell ref="H2:J2"/>
    <mergeCell ref="B10:D10"/>
    <mergeCell ref="H10:J10"/>
    <mergeCell ref="B11:D11"/>
    <mergeCell ref="H11:J11"/>
    <mergeCell ref="B7:D7"/>
    <mergeCell ref="H7:J7"/>
    <mergeCell ref="B8:D8"/>
    <mergeCell ref="H8:J8"/>
    <mergeCell ref="B4:D4"/>
    <mergeCell ref="H4:J4"/>
    <mergeCell ref="B5:D5"/>
    <mergeCell ref="H5:J5"/>
    <mergeCell ref="B18:D18"/>
    <mergeCell ref="H18:J18"/>
    <mergeCell ref="B19:D19"/>
    <mergeCell ref="H19:J19"/>
    <mergeCell ref="B15:D15"/>
    <mergeCell ref="H15:J15"/>
    <mergeCell ref="B16:D16"/>
    <mergeCell ref="H16:J16"/>
    <mergeCell ref="B13:D13"/>
    <mergeCell ref="H13:J13"/>
    <mergeCell ref="B29:D29"/>
    <mergeCell ref="H29:J29"/>
    <mergeCell ref="B26:D26"/>
    <mergeCell ref="H26:J26"/>
    <mergeCell ref="B27:D27"/>
    <mergeCell ref="H27:J27"/>
    <mergeCell ref="B24:D24"/>
    <mergeCell ref="H24:J24"/>
    <mergeCell ref="B21:D21"/>
    <mergeCell ref="H21:J21"/>
    <mergeCell ref="B22:D22"/>
    <mergeCell ref="H22:J22"/>
    <mergeCell ref="B36:D36"/>
    <mergeCell ref="H36:J36"/>
    <mergeCell ref="B37:D37"/>
    <mergeCell ref="H37:J37"/>
    <mergeCell ref="B38:D38"/>
    <mergeCell ref="H38:J38"/>
    <mergeCell ref="B39:D39"/>
    <mergeCell ref="H39:J39"/>
    <mergeCell ref="B31:D31"/>
    <mergeCell ref="H31:J31"/>
    <mergeCell ref="B32:D32"/>
    <mergeCell ref="H32:J32"/>
    <mergeCell ref="B33:D33"/>
    <mergeCell ref="H33:J33"/>
    <mergeCell ref="B34:D34"/>
    <mergeCell ref="H34:J34"/>
    <mergeCell ref="B41:D41"/>
    <mergeCell ref="H41:J41"/>
    <mergeCell ref="B42:D42"/>
    <mergeCell ref="H42:J42"/>
    <mergeCell ref="B43:D43"/>
    <mergeCell ref="H43:J43"/>
    <mergeCell ref="B44:D44"/>
    <mergeCell ref="H44:J44"/>
    <mergeCell ref="B45:D45"/>
    <mergeCell ref="H45:J45"/>
    <mergeCell ref="B50:D50"/>
    <mergeCell ref="H50:J50"/>
    <mergeCell ref="B51:D51"/>
    <mergeCell ref="H51:J51"/>
    <mergeCell ref="B52:D52"/>
    <mergeCell ref="H52:J52"/>
    <mergeCell ref="B53:D53"/>
    <mergeCell ref="H53:J53"/>
    <mergeCell ref="B47:D47"/>
    <mergeCell ref="H47:J47"/>
    <mergeCell ref="B48:D48"/>
    <mergeCell ref="H48:J48"/>
    <mergeCell ref="B62:D62"/>
    <mergeCell ref="H62:J62"/>
    <mergeCell ref="B59:D59"/>
    <mergeCell ref="H59:J59"/>
    <mergeCell ref="B60:D60"/>
    <mergeCell ref="H60:J60"/>
    <mergeCell ref="B55:D55"/>
    <mergeCell ref="H55:J55"/>
    <mergeCell ref="B56:D56"/>
    <mergeCell ref="H56:J56"/>
    <mergeCell ref="B57:D57"/>
    <mergeCell ref="H57:J57"/>
    <mergeCell ref="B64:D64"/>
    <mergeCell ref="H64:J64"/>
    <mergeCell ref="B65:D65"/>
    <mergeCell ref="H65:J65"/>
    <mergeCell ref="B66:D66"/>
    <mergeCell ref="H66:J66"/>
    <mergeCell ref="B68:D68"/>
    <mergeCell ref="H68:J68"/>
    <mergeCell ref="B71:D71"/>
    <mergeCell ref="H71:J71"/>
    <mergeCell ref="B77:D77"/>
    <mergeCell ref="H77:J77"/>
    <mergeCell ref="B78:D78"/>
    <mergeCell ref="H78:J78"/>
    <mergeCell ref="B73:D73"/>
    <mergeCell ref="H73:J73"/>
    <mergeCell ref="B74:D74"/>
    <mergeCell ref="H74:J74"/>
    <mergeCell ref="B75:D75"/>
    <mergeCell ref="H75:J75"/>
    <mergeCell ref="B69:D69"/>
    <mergeCell ref="H69:J69"/>
    <mergeCell ref="B70:D70"/>
    <mergeCell ref="H70:J70"/>
    <mergeCell ref="B79:D79"/>
    <mergeCell ref="H79:J79"/>
    <mergeCell ref="B67:D67"/>
    <mergeCell ref="H67:J6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V374"/>
  <sheetViews>
    <sheetView showGridLines="0" tabSelected="1" zoomScale="90" zoomScaleNormal="90" workbookViewId="0">
      <pane ySplit="2" topLeftCell="A5" activePane="bottomLeft" state="frozen"/>
      <selection pane="bottomLeft" activeCell="B1" sqref="B1:I25"/>
    </sheetView>
  </sheetViews>
  <sheetFormatPr defaultRowHeight="15" x14ac:dyDescent="0.25"/>
  <cols>
    <col min="1" max="1" width="4.42578125" style="1" customWidth="1"/>
    <col min="2" max="2" width="14.5703125" style="2" customWidth="1"/>
    <col min="3" max="3" width="15.28515625" style="2" customWidth="1"/>
    <col min="4" max="4" width="11.85546875" style="2" customWidth="1"/>
    <col min="5" max="5" width="11.85546875" style="1" customWidth="1"/>
    <col min="6" max="6" width="16" style="1" customWidth="1"/>
    <col min="7" max="7" width="16.7109375" style="1" customWidth="1"/>
    <col min="8" max="9" width="16" style="1" customWidth="1"/>
    <col min="10" max="10" width="8.42578125" style="1" customWidth="1"/>
    <col min="11" max="11" width="15.28515625" style="1" hidden="1" customWidth="1"/>
    <col min="12" max="12" width="12.42578125" style="1" hidden="1" customWidth="1"/>
    <col min="13" max="13" width="6.42578125" style="1" customWidth="1"/>
    <col min="14" max="14" width="9.7109375" style="1" customWidth="1"/>
    <col min="15" max="15" width="12.7109375" style="1" bestFit="1" customWidth="1"/>
    <col min="16" max="16" width="8" style="2" customWidth="1"/>
    <col min="17" max="17" width="5" style="65" hidden="1" customWidth="1"/>
    <col min="18" max="21" width="5.7109375" style="65" customWidth="1"/>
    <col min="22" max="16384" width="9.140625" style="1"/>
  </cols>
  <sheetData>
    <row r="1" spans="2:22" ht="24.75" customHeight="1" thickTop="1" x14ac:dyDescent="0.25">
      <c r="B1" s="117" t="s">
        <v>292</v>
      </c>
      <c r="C1" s="118"/>
      <c r="D1" s="118"/>
      <c r="E1" s="118"/>
      <c r="F1" s="118"/>
      <c r="G1" s="118"/>
      <c r="H1" s="118"/>
      <c r="I1" s="119"/>
    </row>
    <row r="2" spans="2:22" s="55" customFormat="1" ht="66" customHeight="1" x14ac:dyDescent="0.25">
      <c r="B2" s="54"/>
      <c r="C2" s="44" t="s">
        <v>320</v>
      </c>
      <c r="D2" s="63" t="s">
        <v>223</v>
      </c>
      <c r="E2" s="63" t="s">
        <v>321</v>
      </c>
      <c r="F2" s="63" t="s">
        <v>324</v>
      </c>
      <c r="G2" s="63" t="s">
        <v>322</v>
      </c>
      <c r="H2" s="63" t="s">
        <v>325</v>
      </c>
      <c r="I2" s="64" t="s">
        <v>323</v>
      </c>
      <c r="Q2" s="66"/>
      <c r="R2" s="66"/>
      <c r="S2" s="66"/>
      <c r="T2" s="66"/>
      <c r="U2" s="66"/>
    </row>
    <row r="3" spans="2:22" x14ac:dyDescent="0.25">
      <c r="B3" s="68" t="s">
        <v>297</v>
      </c>
      <c r="C3" s="69" t="str">
        <f t="shared" ref="C3:C25" si="0">K3</f>
        <v>Bruno Flores</v>
      </c>
      <c r="D3" s="69">
        <f>VLOOKUP(C3,O$3:U$25,2,0)</f>
        <v>315</v>
      </c>
      <c r="E3" s="69">
        <f>VLOOKUP(C3,O$3:U$25,3,0)</f>
        <v>8</v>
      </c>
      <c r="F3" s="69">
        <f>VLOOKUP(C3,O$3:U$25,4,0)</f>
        <v>3</v>
      </c>
      <c r="G3" s="69">
        <f>VLOOKUP(C3,O$3:U$25,5,0)</f>
        <v>5</v>
      </c>
      <c r="H3" s="69">
        <f>VLOOKUP(C3,O$3:U$25,6,0)</f>
        <v>4</v>
      </c>
      <c r="I3" s="70">
        <f>VLOOKUP(C3,O$3:U$25,7,0)</f>
        <v>6</v>
      </c>
      <c r="K3" s="59" t="s">
        <v>294</v>
      </c>
      <c r="L3" s="59">
        <f>'Bruno Flores'!Q$11</f>
        <v>315</v>
      </c>
      <c r="M3" s="59"/>
      <c r="N3" s="59"/>
      <c r="O3" s="60" t="s">
        <v>271</v>
      </c>
      <c r="P3" s="56">
        <f>Macélio!Q$11</f>
        <v>235</v>
      </c>
      <c r="Q3" s="45">
        <v>3</v>
      </c>
      <c r="R3" s="45">
        <v>5</v>
      </c>
      <c r="S3" s="45">
        <v>5</v>
      </c>
      <c r="T3" s="45">
        <v>7</v>
      </c>
      <c r="U3" s="45">
        <v>6</v>
      </c>
      <c r="V3" s="61"/>
    </row>
    <row r="4" spans="2:22" x14ac:dyDescent="0.25">
      <c r="B4" s="71" t="s">
        <v>298</v>
      </c>
      <c r="C4" s="72" t="str">
        <f t="shared" si="0"/>
        <v>Alex</v>
      </c>
      <c r="D4" s="72">
        <f t="shared" ref="D4:D25" si="1">VLOOKUP(C4,O$3:U$25,2,0)</f>
        <v>250</v>
      </c>
      <c r="E4" s="72">
        <f t="shared" ref="E4:E25" si="2">VLOOKUP(C4,O$3:U$25,3,0)</f>
        <v>4</v>
      </c>
      <c r="F4" s="72">
        <f t="shared" ref="F4:F25" si="3">VLOOKUP(C4,O$3:U$25,4,0)</f>
        <v>6</v>
      </c>
      <c r="G4" s="72">
        <f t="shared" ref="G4:G25" si="4">VLOOKUP(C4,O$3:U$25,5,0)</f>
        <v>3</v>
      </c>
      <c r="H4" s="72">
        <f t="shared" ref="H4:H25" si="5">VLOOKUP(C4,O$3:U$25,6,0)</f>
        <v>6</v>
      </c>
      <c r="I4" s="73">
        <f t="shared" ref="I4:I25" si="6">VLOOKUP(C4,O$3:U$25,7,0)</f>
        <v>7</v>
      </c>
      <c r="K4" s="59" t="s">
        <v>279</v>
      </c>
      <c r="L4" s="59">
        <f>Alex!Q$11</f>
        <v>250</v>
      </c>
      <c r="M4" s="59"/>
      <c r="N4" s="59"/>
      <c r="O4" s="60" t="s">
        <v>293</v>
      </c>
      <c r="P4" s="56">
        <f>'Ivan Alex_1'!Q$11</f>
        <v>240</v>
      </c>
      <c r="Q4" s="67">
        <v>3</v>
      </c>
      <c r="R4" s="67">
        <v>6</v>
      </c>
      <c r="S4" s="67">
        <v>7</v>
      </c>
      <c r="T4" s="67">
        <v>1</v>
      </c>
      <c r="U4" s="67">
        <v>8</v>
      </c>
      <c r="V4" s="61"/>
    </row>
    <row r="5" spans="2:22" x14ac:dyDescent="0.25">
      <c r="B5" s="74" t="s">
        <v>299</v>
      </c>
      <c r="C5" s="75" t="str">
        <f t="shared" si="0"/>
        <v>Ivan Alex_1</v>
      </c>
      <c r="D5" s="75">
        <f t="shared" si="1"/>
        <v>240</v>
      </c>
      <c r="E5" s="75">
        <f t="shared" si="2"/>
        <v>3</v>
      </c>
      <c r="F5" s="75">
        <f t="shared" si="3"/>
        <v>6</v>
      </c>
      <c r="G5" s="75">
        <f t="shared" si="4"/>
        <v>7</v>
      </c>
      <c r="H5" s="75">
        <f t="shared" si="5"/>
        <v>1</v>
      </c>
      <c r="I5" s="76">
        <f t="shared" si="6"/>
        <v>8</v>
      </c>
      <c r="K5" s="59" t="s">
        <v>293</v>
      </c>
      <c r="L5" s="59">
        <f>'Ivan Alex_1'!Q$11</f>
        <v>240</v>
      </c>
      <c r="M5" s="59"/>
      <c r="N5" s="59"/>
      <c r="O5" s="60" t="s">
        <v>294</v>
      </c>
      <c r="P5" s="56">
        <f>'Bruno Flores'!Q$11</f>
        <v>315</v>
      </c>
      <c r="Q5" s="45">
        <v>8</v>
      </c>
      <c r="R5" s="45">
        <v>3</v>
      </c>
      <c r="S5" s="45">
        <v>5</v>
      </c>
      <c r="T5" s="45">
        <v>4</v>
      </c>
      <c r="U5" s="45">
        <v>6</v>
      </c>
      <c r="V5" s="61"/>
    </row>
    <row r="6" spans="2:22" x14ac:dyDescent="0.25">
      <c r="B6" s="79" t="s">
        <v>300</v>
      </c>
      <c r="C6" s="80" t="str">
        <f t="shared" si="0"/>
        <v>Robert</v>
      </c>
      <c r="D6" s="80">
        <f t="shared" si="1"/>
        <v>235</v>
      </c>
      <c r="E6" s="80">
        <f t="shared" si="2"/>
        <v>2</v>
      </c>
      <c r="F6" s="80">
        <f t="shared" si="3"/>
        <v>8</v>
      </c>
      <c r="G6" s="80">
        <f t="shared" si="4"/>
        <v>4</v>
      </c>
      <c r="H6" s="80">
        <f t="shared" si="5"/>
        <v>5</v>
      </c>
      <c r="I6" s="81">
        <f t="shared" si="6"/>
        <v>6</v>
      </c>
      <c r="K6" s="59" t="s">
        <v>281</v>
      </c>
      <c r="L6" s="59">
        <f>Robert!Q$11</f>
        <v>235</v>
      </c>
      <c r="M6" s="59"/>
      <c r="N6" s="59"/>
      <c r="O6" s="60" t="s">
        <v>270</v>
      </c>
      <c r="P6" s="56">
        <f>'Ivan Alex_2'!Q$11</f>
        <v>215</v>
      </c>
      <c r="Q6" s="45">
        <v>1</v>
      </c>
      <c r="R6" s="45">
        <v>5</v>
      </c>
      <c r="S6" s="45">
        <v>9</v>
      </c>
      <c r="T6" s="45">
        <v>5</v>
      </c>
      <c r="U6" s="45">
        <v>6</v>
      </c>
      <c r="V6" s="61"/>
    </row>
    <row r="7" spans="2:22" x14ac:dyDescent="0.25">
      <c r="B7" s="79" t="s">
        <v>301</v>
      </c>
      <c r="C7" s="80" t="str">
        <f t="shared" si="0"/>
        <v>Macélio</v>
      </c>
      <c r="D7" s="80">
        <f t="shared" si="1"/>
        <v>235</v>
      </c>
      <c r="E7" s="80">
        <f t="shared" si="2"/>
        <v>3</v>
      </c>
      <c r="F7" s="80">
        <f t="shared" si="3"/>
        <v>5</v>
      </c>
      <c r="G7" s="80">
        <f t="shared" si="4"/>
        <v>5</v>
      </c>
      <c r="H7" s="80">
        <f t="shared" si="5"/>
        <v>7</v>
      </c>
      <c r="I7" s="81">
        <f t="shared" si="6"/>
        <v>6</v>
      </c>
      <c r="K7" s="59" t="s">
        <v>271</v>
      </c>
      <c r="L7" s="59">
        <f>Macélio!Q$11</f>
        <v>235</v>
      </c>
      <c r="M7" s="59"/>
      <c r="N7" s="59"/>
      <c r="O7" s="60" t="s">
        <v>273</v>
      </c>
      <c r="P7" s="56">
        <f>Gabriel!Q$11</f>
        <v>200</v>
      </c>
      <c r="Q7" s="45">
        <v>2</v>
      </c>
      <c r="R7" s="45">
        <v>3</v>
      </c>
      <c r="S7" s="45">
        <v>7</v>
      </c>
      <c r="T7" s="45">
        <v>7</v>
      </c>
      <c r="U7" s="45">
        <v>6</v>
      </c>
      <c r="V7" s="61"/>
    </row>
    <row r="8" spans="2:22" x14ac:dyDescent="0.25">
      <c r="B8" s="58" t="s">
        <v>302</v>
      </c>
      <c r="C8" s="50" t="str">
        <f t="shared" si="0"/>
        <v>Mácio</v>
      </c>
      <c r="D8" s="50">
        <f t="shared" si="1"/>
        <v>230</v>
      </c>
      <c r="E8" s="50">
        <f t="shared" si="2"/>
        <v>4</v>
      </c>
      <c r="F8" s="50">
        <f t="shared" si="3"/>
        <v>5</v>
      </c>
      <c r="G8" s="50">
        <f t="shared" si="4"/>
        <v>4</v>
      </c>
      <c r="H8" s="50">
        <f t="shared" si="5"/>
        <v>3</v>
      </c>
      <c r="I8" s="51">
        <f t="shared" si="6"/>
        <v>10</v>
      </c>
      <c r="K8" s="59" t="s">
        <v>278</v>
      </c>
      <c r="L8" s="59">
        <f>Mácio!Q$11</f>
        <v>230</v>
      </c>
      <c r="M8" s="59"/>
      <c r="N8" s="59"/>
      <c r="O8" s="60" t="s">
        <v>272</v>
      </c>
      <c r="P8" s="56">
        <f>Luis!Q$11</f>
        <v>185</v>
      </c>
      <c r="Q8" s="45">
        <v>3</v>
      </c>
      <c r="R8" s="45">
        <v>3</v>
      </c>
      <c r="S8" s="45">
        <v>5</v>
      </c>
      <c r="T8" s="45">
        <v>3</v>
      </c>
      <c r="U8" s="45">
        <v>11</v>
      </c>
      <c r="V8" s="61"/>
    </row>
    <row r="9" spans="2:22" x14ac:dyDescent="0.25">
      <c r="B9" s="58" t="s">
        <v>303</v>
      </c>
      <c r="C9" s="50" t="str">
        <f t="shared" si="0"/>
        <v>Luana</v>
      </c>
      <c r="D9" s="50">
        <f t="shared" si="1"/>
        <v>225</v>
      </c>
      <c r="E9" s="50">
        <f t="shared" si="2"/>
        <v>5</v>
      </c>
      <c r="F9" s="50">
        <f t="shared" si="3"/>
        <v>2</v>
      </c>
      <c r="G9" s="50">
        <f t="shared" si="4"/>
        <v>3</v>
      </c>
      <c r="H9" s="50">
        <f t="shared" si="5"/>
        <v>8</v>
      </c>
      <c r="I9" s="51">
        <f t="shared" si="6"/>
        <v>8</v>
      </c>
      <c r="K9" s="59" t="s">
        <v>277</v>
      </c>
      <c r="L9" s="59">
        <f>Luana!Q$11</f>
        <v>225</v>
      </c>
      <c r="M9" s="59"/>
      <c r="N9" s="59"/>
      <c r="O9" s="60" t="s">
        <v>275</v>
      </c>
      <c r="P9" s="56">
        <f>Juninho_1!Q$11</f>
        <v>220</v>
      </c>
      <c r="Q9" s="45">
        <v>4</v>
      </c>
      <c r="R9" s="45">
        <v>3</v>
      </c>
      <c r="S9" s="45">
        <v>3</v>
      </c>
      <c r="T9" s="45">
        <v>9</v>
      </c>
      <c r="U9" s="45">
        <v>7</v>
      </c>
      <c r="V9" s="61"/>
    </row>
    <row r="10" spans="2:22" x14ac:dyDescent="0.25">
      <c r="B10" s="58" t="s">
        <v>304</v>
      </c>
      <c r="C10" s="50" t="str">
        <f t="shared" si="0"/>
        <v>Juninho_1</v>
      </c>
      <c r="D10" s="50">
        <f t="shared" si="1"/>
        <v>220</v>
      </c>
      <c r="E10" s="50">
        <f t="shared" si="2"/>
        <v>4</v>
      </c>
      <c r="F10" s="50">
        <f t="shared" si="3"/>
        <v>3</v>
      </c>
      <c r="G10" s="50">
        <f t="shared" si="4"/>
        <v>3</v>
      </c>
      <c r="H10" s="50">
        <f t="shared" si="5"/>
        <v>9</v>
      </c>
      <c r="I10" s="51">
        <f t="shared" si="6"/>
        <v>7</v>
      </c>
      <c r="J10" s="59"/>
      <c r="K10" s="59" t="s">
        <v>275</v>
      </c>
      <c r="L10" s="59">
        <f>Juninho_1!Q$11</f>
        <v>220</v>
      </c>
      <c r="M10" s="59"/>
      <c r="N10" s="59"/>
      <c r="O10" s="60" t="s">
        <v>276</v>
      </c>
      <c r="P10" s="56">
        <f>Juninho_2!Q$11</f>
        <v>210</v>
      </c>
      <c r="Q10" s="45">
        <v>2</v>
      </c>
      <c r="R10" s="45">
        <v>6</v>
      </c>
      <c r="S10" s="45">
        <v>5</v>
      </c>
      <c r="T10" s="45">
        <v>4</v>
      </c>
      <c r="U10" s="45">
        <v>9</v>
      </c>
      <c r="V10" s="61"/>
    </row>
    <row r="11" spans="2:22" x14ac:dyDescent="0.25">
      <c r="B11" s="58" t="s">
        <v>305</v>
      </c>
      <c r="C11" s="50" t="str">
        <f t="shared" si="0"/>
        <v>Joseir_2</v>
      </c>
      <c r="D11" s="50">
        <f t="shared" si="1"/>
        <v>215</v>
      </c>
      <c r="E11" s="50">
        <f t="shared" si="2"/>
        <v>2</v>
      </c>
      <c r="F11" s="50">
        <f t="shared" si="3"/>
        <v>5</v>
      </c>
      <c r="G11" s="50">
        <f t="shared" si="4"/>
        <v>4</v>
      </c>
      <c r="H11" s="50">
        <f t="shared" si="5"/>
        <v>10</v>
      </c>
      <c r="I11" s="51">
        <f t="shared" si="6"/>
        <v>4</v>
      </c>
      <c r="K11" s="59" t="s">
        <v>285</v>
      </c>
      <c r="L11" s="59">
        <f>Joseir_2!Q$11</f>
        <v>215</v>
      </c>
      <c r="M11" s="59"/>
      <c r="N11" s="59"/>
      <c r="O11" s="60" t="s">
        <v>277</v>
      </c>
      <c r="P11" s="56">
        <f>Luana!Q$11</f>
        <v>225</v>
      </c>
      <c r="Q11" s="45">
        <v>5</v>
      </c>
      <c r="R11" s="45">
        <v>2</v>
      </c>
      <c r="S11" s="45">
        <v>3</v>
      </c>
      <c r="T11" s="45">
        <v>8</v>
      </c>
      <c r="U11" s="45">
        <v>8</v>
      </c>
      <c r="V11" s="61"/>
    </row>
    <row r="12" spans="2:22" x14ac:dyDescent="0.25">
      <c r="B12" s="58" t="s">
        <v>306</v>
      </c>
      <c r="C12" s="50" t="str">
        <f t="shared" si="0"/>
        <v>Ivan Alex_2</v>
      </c>
      <c r="D12" s="50">
        <f t="shared" si="1"/>
        <v>215</v>
      </c>
      <c r="E12" s="50">
        <f t="shared" si="2"/>
        <v>1</v>
      </c>
      <c r="F12" s="50">
        <f t="shared" si="3"/>
        <v>5</v>
      </c>
      <c r="G12" s="50">
        <f t="shared" si="4"/>
        <v>9</v>
      </c>
      <c r="H12" s="50">
        <f t="shared" si="5"/>
        <v>5</v>
      </c>
      <c r="I12" s="51">
        <f t="shared" si="6"/>
        <v>6</v>
      </c>
      <c r="K12" s="59" t="s">
        <v>270</v>
      </c>
      <c r="L12" s="59">
        <f>'Ivan Alex_2'!Q$11</f>
        <v>215</v>
      </c>
      <c r="M12" s="59"/>
      <c r="N12" s="59"/>
      <c r="O12" s="60" t="s">
        <v>278</v>
      </c>
      <c r="P12" s="56">
        <f>Mácio!Q$11</f>
        <v>230</v>
      </c>
      <c r="Q12" s="45">
        <v>4</v>
      </c>
      <c r="R12" s="45">
        <v>5</v>
      </c>
      <c r="S12" s="45">
        <v>4</v>
      </c>
      <c r="T12" s="45">
        <v>3</v>
      </c>
      <c r="U12" s="45">
        <v>10</v>
      </c>
      <c r="V12" s="61"/>
    </row>
    <row r="13" spans="2:22" x14ac:dyDescent="0.25">
      <c r="B13" s="58" t="s">
        <v>307</v>
      </c>
      <c r="C13" s="50" t="str">
        <f t="shared" si="0"/>
        <v>Anderson</v>
      </c>
      <c r="D13" s="50">
        <f t="shared" si="1"/>
        <v>210</v>
      </c>
      <c r="E13" s="50">
        <f t="shared" si="2"/>
        <v>2</v>
      </c>
      <c r="F13" s="50">
        <f t="shared" si="3"/>
        <v>6</v>
      </c>
      <c r="G13" s="50">
        <f t="shared" si="4"/>
        <v>5</v>
      </c>
      <c r="H13" s="50">
        <f t="shared" si="5"/>
        <v>4</v>
      </c>
      <c r="I13" s="51">
        <f t="shared" si="6"/>
        <v>8</v>
      </c>
      <c r="K13" s="59" t="s">
        <v>290</v>
      </c>
      <c r="L13" s="59">
        <f>Anderson!Q$11</f>
        <v>210</v>
      </c>
      <c r="M13" s="59"/>
      <c r="N13" s="59"/>
      <c r="O13" s="60" t="s">
        <v>279</v>
      </c>
      <c r="P13" s="56">
        <f>Alex!Q$11</f>
        <v>250</v>
      </c>
      <c r="Q13" s="45">
        <v>4</v>
      </c>
      <c r="R13" s="45">
        <v>6</v>
      </c>
      <c r="S13" s="45">
        <v>3</v>
      </c>
      <c r="T13" s="45">
        <v>6</v>
      </c>
      <c r="U13" s="45">
        <v>7</v>
      </c>
      <c r="V13" s="61"/>
    </row>
    <row r="14" spans="2:22" x14ac:dyDescent="0.25">
      <c r="B14" s="58" t="s">
        <v>308</v>
      </c>
      <c r="C14" s="50" t="str">
        <f t="shared" si="0"/>
        <v>Juninho_2</v>
      </c>
      <c r="D14" s="50">
        <f t="shared" si="1"/>
        <v>210</v>
      </c>
      <c r="E14" s="50">
        <f t="shared" si="2"/>
        <v>2</v>
      </c>
      <c r="F14" s="50">
        <f t="shared" si="3"/>
        <v>6</v>
      </c>
      <c r="G14" s="50">
        <f t="shared" si="4"/>
        <v>5</v>
      </c>
      <c r="H14" s="50">
        <f t="shared" si="5"/>
        <v>4</v>
      </c>
      <c r="I14" s="51">
        <f t="shared" si="6"/>
        <v>9</v>
      </c>
      <c r="K14" s="59" t="s">
        <v>276</v>
      </c>
      <c r="L14" s="59">
        <f>Juninho_2!Q$11</f>
        <v>210</v>
      </c>
      <c r="M14" s="59"/>
      <c r="N14" s="59"/>
      <c r="O14" s="60" t="s">
        <v>280</v>
      </c>
      <c r="P14" s="56">
        <f>Jean!Q$11</f>
        <v>205</v>
      </c>
      <c r="Q14" s="45">
        <v>1</v>
      </c>
      <c r="R14" s="45">
        <v>7</v>
      </c>
      <c r="S14" s="45">
        <v>6</v>
      </c>
      <c r="T14" s="45">
        <v>3</v>
      </c>
      <c r="U14" s="45">
        <v>8</v>
      </c>
      <c r="V14" s="61"/>
    </row>
    <row r="15" spans="2:22" x14ac:dyDescent="0.25">
      <c r="B15" s="58" t="s">
        <v>309</v>
      </c>
      <c r="C15" s="50" t="str">
        <f t="shared" si="0"/>
        <v>Jean</v>
      </c>
      <c r="D15" s="50">
        <f t="shared" si="1"/>
        <v>205</v>
      </c>
      <c r="E15" s="50">
        <f t="shared" si="2"/>
        <v>1</v>
      </c>
      <c r="F15" s="50">
        <f t="shared" si="3"/>
        <v>7</v>
      </c>
      <c r="G15" s="50">
        <f t="shared" si="4"/>
        <v>6</v>
      </c>
      <c r="H15" s="50">
        <f t="shared" si="5"/>
        <v>3</v>
      </c>
      <c r="I15" s="51">
        <f t="shared" si="6"/>
        <v>8</v>
      </c>
      <c r="K15" s="59" t="s">
        <v>280</v>
      </c>
      <c r="L15" s="59">
        <f>Jean!Q$11</f>
        <v>205</v>
      </c>
      <c r="M15" s="59"/>
      <c r="N15" s="59"/>
      <c r="O15" s="60" t="s">
        <v>281</v>
      </c>
      <c r="P15" s="56">
        <f>Robert!Q$11</f>
        <v>235</v>
      </c>
      <c r="Q15" s="45">
        <v>2</v>
      </c>
      <c r="R15" s="45">
        <v>8</v>
      </c>
      <c r="S15" s="45">
        <v>4</v>
      </c>
      <c r="T15" s="45">
        <v>5</v>
      </c>
      <c r="U15" s="45">
        <v>6</v>
      </c>
      <c r="V15" s="61"/>
    </row>
    <row r="16" spans="2:22" x14ac:dyDescent="0.25">
      <c r="B16" s="58" t="s">
        <v>310</v>
      </c>
      <c r="C16" s="50" t="str">
        <f t="shared" si="0"/>
        <v>Ivani</v>
      </c>
      <c r="D16" s="50">
        <f t="shared" si="1"/>
        <v>205</v>
      </c>
      <c r="E16" s="50">
        <f t="shared" si="2"/>
        <v>2</v>
      </c>
      <c r="F16" s="50">
        <f t="shared" si="3"/>
        <v>3</v>
      </c>
      <c r="G16" s="50">
        <f t="shared" si="4"/>
        <v>9</v>
      </c>
      <c r="H16" s="50">
        <f t="shared" si="5"/>
        <v>4</v>
      </c>
      <c r="I16" s="51">
        <f t="shared" si="6"/>
        <v>8</v>
      </c>
      <c r="K16" s="59" t="s">
        <v>286</v>
      </c>
      <c r="L16" s="59">
        <f>Ivani!Q$11</f>
        <v>205</v>
      </c>
      <c r="M16" s="59"/>
      <c r="N16" s="59"/>
      <c r="O16" s="60" t="s">
        <v>282</v>
      </c>
      <c r="P16" s="56">
        <f>Roberto!Q$11</f>
        <v>190</v>
      </c>
      <c r="Q16" s="45">
        <v>1</v>
      </c>
      <c r="R16" s="45">
        <v>7</v>
      </c>
      <c r="S16" s="45">
        <v>2</v>
      </c>
      <c r="T16" s="45">
        <v>8</v>
      </c>
      <c r="U16" s="45">
        <v>7</v>
      </c>
      <c r="V16" s="61"/>
    </row>
    <row r="17" spans="2:22" x14ac:dyDescent="0.25">
      <c r="B17" s="58" t="s">
        <v>311</v>
      </c>
      <c r="C17" s="50" t="str">
        <f t="shared" si="0"/>
        <v>Gabriel</v>
      </c>
      <c r="D17" s="50">
        <f t="shared" si="1"/>
        <v>200</v>
      </c>
      <c r="E17" s="50">
        <f t="shared" si="2"/>
        <v>2</v>
      </c>
      <c r="F17" s="50">
        <f t="shared" si="3"/>
        <v>3</v>
      </c>
      <c r="G17" s="50">
        <f t="shared" si="4"/>
        <v>7</v>
      </c>
      <c r="H17" s="50">
        <f t="shared" si="5"/>
        <v>7</v>
      </c>
      <c r="I17" s="51">
        <f t="shared" si="6"/>
        <v>6</v>
      </c>
      <c r="K17" s="59" t="s">
        <v>273</v>
      </c>
      <c r="L17" s="59">
        <f>Gabriel!Q$11</f>
        <v>200</v>
      </c>
      <c r="M17" s="59"/>
      <c r="N17" s="59"/>
      <c r="O17" s="60" t="s">
        <v>283</v>
      </c>
      <c r="P17" s="56">
        <f>Andréia!Q$11</f>
        <v>135</v>
      </c>
      <c r="Q17" s="45"/>
      <c r="R17" s="45">
        <v>2</v>
      </c>
      <c r="S17" s="45">
        <v>8</v>
      </c>
      <c r="T17" s="45">
        <v>5</v>
      </c>
      <c r="U17" s="45">
        <v>10</v>
      </c>
      <c r="V17" s="61"/>
    </row>
    <row r="18" spans="2:22" x14ac:dyDescent="0.25">
      <c r="B18" s="58" t="s">
        <v>312</v>
      </c>
      <c r="C18" s="50" t="str">
        <f t="shared" si="0"/>
        <v>Cléofaz</v>
      </c>
      <c r="D18" s="50">
        <f t="shared" si="1"/>
        <v>200</v>
      </c>
      <c r="E18" s="50">
        <f t="shared" si="2"/>
        <v>1</v>
      </c>
      <c r="F18" s="50">
        <f t="shared" si="3"/>
        <v>5</v>
      </c>
      <c r="G18" s="50">
        <f t="shared" si="4"/>
        <v>9</v>
      </c>
      <c r="H18" s="50">
        <f t="shared" si="5"/>
        <v>2</v>
      </c>
      <c r="I18" s="51">
        <f t="shared" si="6"/>
        <v>7</v>
      </c>
      <c r="K18" s="59" t="s">
        <v>291</v>
      </c>
      <c r="L18" s="59">
        <f>Cléofaz!Q$11</f>
        <v>200</v>
      </c>
      <c r="M18" s="59"/>
      <c r="N18" s="59"/>
      <c r="O18" s="60" t="s">
        <v>284</v>
      </c>
      <c r="P18" s="56">
        <f>Joseir_1!Q$11</f>
        <v>170</v>
      </c>
      <c r="Q18" s="45">
        <v>2</v>
      </c>
      <c r="R18" s="45">
        <v>3</v>
      </c>
      <c r="S18" s="45">
        <v>3</v>
      </c>
      <c r="T18" s="45">
        <v>9</v>
      </c>
      <c r="U18" s="45">
        <v>8</v>
      </c>
      <c r="V18" s="61"/>
    </row>
    <row r="19" spans="2:22" x14ac:dyDescent="0.25">
      <c r="B19" s="58" t="s">
        <v>313</v>
      </c>
      <c r="C19" s="50" t="str">
        <f t="shared" si="0"/>
        <v>Julio</v>
      </c>
      <c r="D19" s="50">
        <f t="shared" si="1"/>
        <v>190</v>
      </c>
      <c r="E19" s="50">
        <f t="shared" si="2"/>
        <v>2</v>
      </c>
      <c r="F19" s="50">
        <f t="shared" si="3"/>
        <v>3</v>
      </c>
      <c r="G19" s="50">
        <f t="shared" si="4"/>
        <v>9</v>
      </c>
      <c r="H19" s="50">
        <f t="shared" si="5"/>
        <v>1</v>
      </c>
      <c r="I19" s="51">
        <f t="shared" si="6"/>
        <v>10</v>
      </c>
      <c r="K19" s="59" t="s">
        <v>288</v>
      </c>
      <c r="L19" s="59">
        <f>Julio!Q$11</f>
        <v>190</v>
      </c>
      <c r="M19" s="59"/>
      <c r="N19" s="59"/>
      <c r="O19" s="60" t="s">
        <v>285</v>
      </c>
      <c r="P19" s="56">
        <f>Joseir_2!Q$11</f>
        <v>215</v>
      </c>
      <c r="Q19" s="45">
        <v>2</v>
      </c>
      <c r="R19" s="45">
        <v>5</v>
      </c>
      <c r="S19" s="45">
        <v>4</v>
      </c>
      <c r="T19" s="45">
        <v>10</v>
      </c>
      <c r="U19" s="45">
        <v>4</v>
      </c>
      <c r="V19" s="61"/>
    </row>
    <row r="20" spans="2:22" x14ac:dyDescent="0.25">
      <c r="B20" s="58" t="s">
        <v>314</v>
      </c>
      <c r="C20" s="50" t="str">
        <f t="shared" si="0"/>
        <v>Talita</v>
      </c>
      <c r="D20" s="50">
        <f t="shared" si="1"/>
        <v>190</v>
      </c>
      <c r="E20" s="50">
        <f t="shared" si="2"/>
        <v>2</v>
      </c>
      <c r="F20" s="50">
        <f t="shared" si="3"/>
        <v>3</v>
      </c>
      <c r="G20" s="50">
        <f t="shared" si="4"/>
        <v>5</v>
      </c>
      <c r="H20" s="50">
        <f t="shared" si="5"/>
        <v>9</v>
      </c>
      <c r="I20" s="51">
        <f t="shared" si="6"/>
        <v>6</v>
      </c>
      <c r="K20" s="59" t="s">
        <v>289</v>
      </c>
      <c r="L20" s="59">
        <f>Talita!Q$11</f>
        <v>190</v>
      </c>
      <c r="M20" s="59"/>
      <c r="N20" s="59"/>
      <c r="O20" s="60" t="s">
        <v>286</v>
      </c>
      <c r="P20" s="56">
        <f>Ivani!Q$11</f>
        <v>205</v>
      </c>
      <c r="Q20" s="45">
        <v>2</v>
      </c>
      <c r="R20" s="45">
        <v>3</v>
      </c>
      <c r="S20" s="45">
        <v>9</v>
      </c>
      <c r="T20" s="45">
        <v>4</v>
      </c>
      <c r="U20" s="45">
        <v>8</v>
      </c>
      <c r="V20" s="61"/>
    </row>
    <row r="21" spans="2:22" x14ac:dyDescent="0.25">
      <c r="B21" s="58" t="s">
        <v>315</v>
      </c>
      <c r="C21" s="50" t="str">
        <f t="shared" si="0"/>
        <v>Roberto</v>
      </c>
      <c r="D21" s="50">
        <f t="shared" si="1"/>
        <v>190</v>
      </c>
      <c r="E21" s="50">
        <f t="shared" si="2"/>
        <v>1</v>
      </c>
      <c r="F21" s="50">
        <f t="shared" si="3"/>
        <v>7</v>
      </c>
      <c r="G21" s="50">
        <f t="shared" si="4"/>
        <v>2</v>
      </c>
      <c r="H21" s="50">
        <f t="shared" si="5"/>
        <v>8</v>
      </c>
      <c r="I21" s="51">
        <f t="shared" si="6"/>
        <v>7</v>
      </c>
      <c r="K21" s="59" t="s">
        <v>282</v>
      </c>
      <c r="L21" s="59">
        <f>Roberto!Q$11</f>
        <v>190</v>
      </c>
      <c r="M21" s="59"/>
      <c r="N21" s="59"/>
      <c r="O21" s="60" t="s">
        <v>287</v>
      </c>
      <c r="P21" s="56">
        <f>Josimar!Q$11</f>
        <v>135</v>
      </c>
      <c r="Q21" s="45">
        <v>1</v>
      </c>
      <c r="R21" s="45">
        <v>3</v>
      </c>
      <c r="S21" s="45">
        <v>2</v>
      </c>
      <c r="T21" s="45">
        <v>9</v>
      </c>
      <c r="U21" s="45">
        <v>10</v>
      </c>
      <c r="V21" s="61"/>
    </row>
    <row r="22" spans="2:22" x14ac:dyDescent="0.25">
      <c r="B22" s="58" t="s">
        <v>316</v>
      </c>
      <c r="C22" s="50" t="str">
        <f t="shared" si="0"/>
        <v>Luis</v>
      </c>
      <c r="D22" s="50">
        <f t="shared" si="1"/>
        <v>185</v>
      </c>
      <c r="E22" s="50">
        <f t="shared" si="2"/>
        <v>3</v>
      </c>
      <c r="F22" s="50">
        <f t="shared" si="3"/>
        <v>3</v>
      </c>
      <c r="G22" s="50">
        <f t="shared" si="4"/>
        <v>5</v>
      </c>
      <c r="H22" s="50">
        <f t="shared" si="5"/>
        <v>3</v>
      </c>
      <c r="I22" s="51">
        <f t="shared" si="6"/>
        <v>11</v>
      </c>
      <c r="K22" s="59" t="s">
        <v>272</v>
      </c>
      <c r="L22" s="59">
        <f>Luis!Q$11</f>
        <v>185</v>
      </c>
      <c r="M22" s="59"/>
      <c r="N22" s="59"/>
      <c r="O22" s="60" t="s">
        <v>288</v>
      </c>
      <c r="P22" s="56">
        <f>Julio!Q$11</f>
        <v>190</v>
      </c>
      <c r="Q22" s="45">
        <v>2</v>
      </c>
      <c r="R22" s="45">
        <v>3</v>
      </c>
      <c r="S22" s="45">
        <v>9</v>
      </c>
      <c r="T22" s="45">
        <v>1</v>
      </c>
      <c r="U22" s="45">
        <v>10</v>
      </c>
      <c r="V22" s="61"/>
    </row>
    <row r="23" spans="2:22" x14ac:dyDescent="0.25">
      <c r="B23" s="58" t="s">
        <v>317</v>
      </c>
      <c r="C23" s="50" t="str">
        <f t="shared" si="0"/>
        <v>Joseir_1</v>
      </c>
      <c r="D23" s="50">
        <f t="shared" si="1"/>
        <v>170</v>
      </c>
      <c r="E23" s="50">
        <f t="shared" si="2"/>
        <v>2</v>
      </c>
      <c r="F23" s="50">
        <f t="shared" si="3"/>
        <v>3</v>
      </c>
      <c r="G23" s="50">
        <f t="shared" si="4"/>
        <v>3</v>
      </c>
      <c r="H23" s="50">
        <f t="shared" si="5"/>
        <v>9</v>
      </c>
      <c r="I23" s="51">
        <f t="shared" si="6"/>
        <v>8</v>
      </c>
      <c r="K23" s="59" t="s">
        <v>284</v>
      </c>
      <c r="L23" s="59">
        <f>Joseir_1!Q$11</f>
        <v>170</v>
      </c>
      <c r="M23" s="59"/>
      <c r="N23" s="59"/>
      <c r="O23" s="60" t="s">
        <v>289</v>
      </c>
      <c r="P23" s="56">
        <f>Talita!Q$11</f>
        <v>190</v>
      </c>
      <c r="Q23" s="45">
        <v>2</v>
      </c>
      <c r="R23" s="45">
        <v>3</v>
      </c>
      <c r="S23" s="45">
        <v>5</v>
      </c>
      <c r="T23" s="45">
        <v>9</v>
      </c>
      <c r="U23" s="45">
        <v>6</v>
      </c>
      <c r="V23" s="61"/>
    </row>
    <row r="24" spans="2:22" x14ac:dyDescent="0.25">
      <c r="B24" s="58" t="s">
        <v>318</v>
      </c>
      <c r="C24" s="50" t="str">
        <f t="shared" si="0"/>
        <v>Josimar</v>
      </c>
      <c r="D24" s="50">
        <f t="shared" si="1"/>
        <v>135</v>
      </c>
      <c r="E24" s="50">
        <f t="shared" si="2"/>
        <v>1</v>
      </c>
      <c r="F24" s="50">
        <f t="shared" si="3"/>
        <v>3</v>
      </c>
      <c r="G24" s="50">
        <f t="shared" si="4"/>
        <v>2</v>
      </c>
      <c r="H24" s="50">
        <f t="shared" si="5"/>
        <v>9</v>
      </c>
      <c r="I24" s="51">
        <f t="shared" si="6"/>
        <v>10</v>
      </c>
      <c r="K24" s="59" t="s">
        <v>287</v>
      </c>
      <c r="L24" s="59">
        <f>Josimar!Q$11</f>
        <v>135</v>
      </c>
      <c r="M24" s="59"/>
      <c r="N24" s="59"/>
      <c r="O24" s="60" t="s">
        <v>290</v>
      </c>
      <c r="P24" s="56">
        <f>Anderson!Q$11</f>
        <v>210</v>
      </c>
      <c r="Q24" s="45">
        <v>2</v>
      </c>
      <c r="R24" s="45">
        <v>6</v>
      </c>
      <c r="S24" s="45">
        <v>5</v>
      </c>
      <c r="T24" s="45">
        <v>4</v>
      </c>
      <c r="U24" s="45">
        <v>8</v>
      </c>
      <c r="V24" s="61"/>
    </row>
    <row r="25" spans="2:22" ht="15.75" thickBot="1" x14ac:dyDescent="0.3">
      <c r="B25" s="62" t="s">
        <v>319</v>
      </c>
      <c r="C25" s="52" t="str">
        <f t="shared" si="0"/>
        <v>Andréia</v>
      </c>
      <c r="D25" s="52">
        <f t="shared" si="1"/>
        <v>135</v>
      </c>
      <c r="E25" s="52">
        <f t="shared" si="2"/>
        <v>0</v>
      </c>
      <c r="F25" s="52">
        <f t="shared" si="3"/>
        <v>2</v>
      </c>
      <c r="G25" s="52">
        <f t="shared" si="4"/>
        <v>8</v>
      </c>
      <c r="H25" s="52">
        <f t="shared" si="5"/>
        <v>5</v>
      </c>
      <c r="I25" s="53">
        <f t="shared" si="6"/>
        <v>10</v>
      </c>
      <c r="K25" s="59" t="s">
        <v>283</v>
      </c>
      <c r="L25" s="59">
        <f>Andréia!Q$11</f>
        <v>135</v>
      </c>
      <c r="M25" s="59"/>
      <c r="N25" s="59"/>
      <c r="O25" s="60" t="s">
        <v>291</v>
      </c>
      <c r="P25" s="56">
        <f>Cléofaz!Q$11</f>
        <v>200</v>
      </c>
      <c r="Q25" s="45">
        <v>1</v>
      </c>
      <c r="R25" s="45">
        <v>5</v>
      </c>
      <c r="S25" s="45">
        <v>9</v>
      </c>
      <c r="T25" s="45">
        <v>2</v>
      </c>
      <c r="U25" s="45">
        <v>7</v>
      </c>
      <c r="V25" s="61"/>
    </row>
    <row r="26" spans="2:22" ht="15.75" thickTop="1" x14ac:dyDescent="0.25">
      <c r="N26" s="59"/>
      <c r="P26" s="57"/>
    </row>
    <row r="28" spans="2:22" ht="15.75" x14ac:dyDescent="0.25">
      <c r="B28" s="6" t="s">
        <v>42</v>
      </c>
      <c r="C28" s="7">
        <v>0</v>
      </c>
      <c r="D28" s="7" t="s">
        <v>70</v>
      </c>
      <c r="E28" s="7">
        <v>2</v>
      </c>
      <c r="F28" s="11" t="s">
        <v>60</v>
      </c>
    </row>
    <row r="36" spans="2:10" x14ac:dyDescent="0.25">
      <c r="B36" s="120"/>
      <c r="C36" s="120"/>
      <c r="D36" s="120"/>
      <c r="E36" s="78"/>
      <c r="F36" s="78"/>
      <c r="G36" s="78"/>
      <c r="H36" s="120"/>
      <c r="I36" s="120"/>
      <c r="J36" s="120"/>
    </row>
    <row r="42" spans="2:10" x14ac:dyDescent="0.25">
      <c r="B42" s="120"/>
      <c r="C42" s="120"/>
      <c r="D42" s="120"/>
      <c r="E42" s="78"/>
      <c r="F42" s="78"/>
      <c r="G42" s="78"/>
      <c r="H42" s="120"/>
      <c r="I42" s="120"/>
      <c r="J42" s="120"/>
    </row>
    <row r="48" spans="2:10" x14ac:dyDescent="0.25">
      <c r="B48" s="120"/>
      <c r="C48" s="120"/>
      <c r="D48" s="120"/>
      <c r="E48" s="78"/>
      <c r="F48" s="78"/>
      <c r="G48" s="78"/>
      <c r="H48" s="120"/>
      <c r="I48" s="120"/>
      <c r="J48" s="120"/>
    </row>
    <row r="54" spans="2:10" x14ac:dyDescent="0.25">
      <c r="B54" s="120"/>
      <c r="C54" s="120"/>
      <c r="D54" s="120"/>
      <c r="E54" s="78"/>
      <c r="F54" s="78"/>
      <c r="G54" s="78"/>
      <c r="H54" s="120"/>
      <c r="I54" s="120"/>
      <c r="J54" s="120"/>
    </row>
    <row r="55" spans="2:10" x14ac:dyDescent="0.25">
      <c r="B55" s="120"/>
      <c r="C55" s="120"/>
      <c r="D55" s="120"/>
      <c r="E55" s="78"/>
      <c r="F55" s="78"/>
      <c r="G55" s="78"/>
      <c r="H55" s="120"/>
      <c r="I55" s="120"/>
      <c r="J55" s="120"/>
    </row>
    <row r="60" spans="2:10" x14ac:dyDescent="0.25">
      <c r="B60" s="120"/>
      <c r="C60" s="120"/>
      <c r="D60" s="120"/>
      <c r="E60" s="78"/>
      <c r="F60" s="78"/>
      <c r="G60" s="78"/>
      <c r="H60" s="120"/>
      <c r="I60" s="120"/>
      <c r="J60" s="120"/>
    </row>
    <row r="61" spans="2:10" x14ac:dyDescent="0.25">
      <c r="B61" s="120"/>
      <c r="C61" s="120"/>
      <c r="D61" s="120"/>
      <c r="E61" s="78"/>
      <c r="F61" s="78"/>
      <c r="G61" s="78"/>
      <c r="H61" s="120"/>
      <c r="I61" s="120"/>
      <c r="J61" s="120"/>
    </row>
    <row r="66" spans="2:10" x14ac:dyDescent="0.25">
      <c r="B66" s="120"/>
      <c r="C66" s="120"/>
      <c r="D66" s="120"/>
      <c r="E66" s="78"/>
      <c r="F66" s="78"/>
      <c r="G66" s="78"/>
      <c r="H66" s="120"/>
      <c r="I66" s="120"/>
      <c r="J66" s="120"/>
    </row>
    <row r="72" spans="2:10" x14ac:dyDescent="0.25">
      <c r="B72" s="120"/>
      <c r="C72" s="120"/>
      <c r="D72" s="120"/>
      <c r="E72" s="78"/>
      <c r="F72" s="78"/>
      <c r="G72" s="78"/>
      <c r="H72" s="120"/>
      <c r="I72" s="120"/>
      <c r="J72" s="120"/>
    </row>
    <row r="78" spans="2:10" x14ac:dyDescent="0.25">
      <c r="B78" s="120"/>
      <c r="C78" s="120"/>
      <c r="D78" s="120"/>
      <c r="E78" s="78"/>
      <c r="F78" s="78"/>
      <c r="G78" s="78"/>
      <c r="H78" s="120"/>
      <c r="I78" s="120"/>
      <c r="J78" s="120"/>
    </row>
    <row r="79" spans="2:10" x14ac:dyDescent="0.25">
      <c r="B79" s="120"/>
      <c r="C79" s="120"/>
      <c r="D79" s="120"/>
      <c r="E79" s="78"/>
      <c r="F79" s="78"/>
      <c r="G79" s="78"/>
      <c r="H79" s="120"/>
      <c r="I79" s="120"/>
      <c r="J79" s="120"/>
    </row>
    <row r="84" spans="2:10" x14ac:dyDescent="0.25">
      <c r="B84" s="120"/>
      <c r="C84" s="120"/>
      <c r="D84" s="120"/>
      <c r="E84" s="78"/>
      <c r="F84" s="78"/>
      <c r="G84" s="78"/>
      <c r="H84" s="120"/>
      <c r="I84" s="120"/>
      <c r="J84" s="120"/>
    </row>
    <row r="85" spans="2:10" x14ac:dyDescent="0.25">
      <c r="B85" s="120"/>
      <c r="C85" s="120"/>
      <c r="D85" s="120"/>
      <c r="E85" s="78"/>
      <c r="F85" s="78"/>
      <c r="G85" s="78"/>
      <c r="H85" s="120"/>
      <c r="I85" s="120"/>
      <c r="J85" s="120"/>
    </row>
    <row r="86" spans="2:10" x14ac:dyDescent="0.25">
      <c r="B86" s="120"/>
      <c r="C86" s="120"/>
      <c r="D86" s="120"/>
      <c r="E86" s="78"/>
      <c r="F86" s="78"/>
      <c r="G86" s="78"/>
      <c r="H86" s="120"/>
      <c r="I86" s="120"/>
      <c r="J86" s="120"/>
    </row>
    <row r="90" spans="2:10" x14ac:dyDescent="0.25">
      <c r="B90" s="120"/>
      <c r="C90" s="120"/>
      <c r="D90" s="120"/>
      <c r="E90" s="78"/>
      <c r="F90" s="78"/>
      <c r="G90" s="78"/>
      <c r="H90" s="120"/>
      <c r="I90" s="120"/>
      <c r="J90" s="120"/>
    </row>
    <row r="91" spans="2:10" x14ac:dyDescent="0.25">
      <c r="B91" s="120"/>
      <c r="C91" s="120"/>
      <c r="D91" s="120"/>
      <c r="E91" s="78"/>
      <c r="F91" s="78"/>
      <c r="G91" s="78"/>
      <c r="H91" s="120"/>
      <c r="I91" s="120"/>
      <c r="J91" s="120"/>
    </row>
    <row r="96" spans="2:10" x14ac:dyDescent="0.25">
      <c r="B96" s="120"/>
      <c r="C96" s="120"/>
      <c r="D96" s="120"/>
      <c r="E96" s="78"/>
      <c r="F96" s="78"/>
      <c r="G96" s="78"/>
      <c r="H96" s="120"/>
      <c r="I96" s="120"/>
      <c r="J96" s="120"/>
    </row>
    <row r="102" spans="2:10" x14ac:dyDescent="0.25">
      <c r="B102" s="120"/>
      <c r="C102" s="120"/>
      <c r="D102" s="120"/>
      <c r="E102" s="78"/>
      <c r="F102" s="78"/>
      <c r="G102" s="78"/>
      <c r="H102" s="120"/>
      <c r="I102" s="120"/>
      <c r="J102" s="120"/>
    </row>
    <row r="103" spans="2:10" x14ac:dyDescent="0.25">
      <c r="B103" s="120"/>
      <c r="C103" s="120"/>
      <c r="D103" s="120"/>
      <c r="E103" s="78"/>
      <c r="F103" s="78"/>
      <c r="G103" s="78"/>
      <c r="H103" s="120"/>
      <c r="I103" s="120"/>
      <c r="J103" s="120"/>
    </row>
    <row r="104" spans="2:10" x14ac:dyDescent="0.25">
      <c r="B104" s="120"/>
      <c r="C104" s="120"/>
      <c r="D104" s="120"/>
      <c r="E104" s="78"/>
      <c r="F104" s="78"/>
      <c r="G104" s="78"/>
      <c r="H104" s="120"/>
      <c r="I104" s="120"/>
      <c r="J104" s="120"/>
    </row>
    <row r="108" spans="2:10" x14ac:dyDescent="0.25">
      <c r="B108" s="120"/>
      <c r="C108" s="120"/>
      <c r="D108" s="120"/>
      <c r="E108" s="78"/>
      <c r="F108" s="78"/>
      <c r="G108" s="78"/>
      <c r="H108" s="120"/>
      <c r="I108" s="120"/>
      <c r="J108" s="120"/>
    </row>
    <row r="109" spans="2:10" x14ac:dyDescent="0.25">
      <c r="B109" s="120"/>
      <c r="C109" s="120"/>
      <c r="D109" s="120"/>
      <c r="E109" s="78"/>
      <c r="F109" s="78"/>
      <c r="G109" s="78"/>
      <c r="H109" s="120"/>
      <c r="I109" s="120"/>
      <c r="J109" s="120"/>
    </row>
    <row r="114" spans="2:10" x14ac:dyDescent="0.25">
      <c r="B114" s="120"/>
      <c r="C114" s="120"/>
      <c r="D114" s="120"/>
      <c r="E114" s="78"/>
      <c r="F114" s="78"/>
      <c r="G114" s="78"/>
      <c r="H114" s="120"/>
      <c r="I114" s="120"/>
      <c r="J114" s="120"/>
    </row>
    <row r="120" spans="2:10" x14ac:dyDescent="0.25">
      <c r="B120" s="120"/>
      <c r="C120" s="120"/>
      <c r="D120" s="120"/>
      <c r="E120" s="78"/>
      <c r="F120" s="78"/>
      <c r="G120" s="78"/>
      <c r="H120" s="120"/>
      <c r="I120" s="120"/>
      <c r="J120" s="120"/>
    </row>
    <row r="121" spans="2:10" x14ac:dyDescent="0.25">
      <c r="B121" s="120"/>
      <c r="C121" s="120"/>
      <c r="D121" s="120"/>
      <c r="E121" s="78"/>
      <c r="F121" s="78"/>
      <c r="G121" s="78"/>
      <c r="H121" s="120"/>
      <c r="I121" s="120"/>
      <c r="J121" s="120"/>
    </row>
    <row r="122" spans="2:10" x14ac:dyDescent="0.25">
      <c r="B122" s="120"/>
      <c r="C122" s="120"/>
      <c r="D122" s="120"/>
      <c r="E122" s="78"/>
      <c r="F122" s="78"/>
      <c r="G122" s="78"/>
      <c r="H122" s="120"/>
      <c r="I122" s="120"/>
      <c r="J122" s="120"/>
    </row>
    <row r="123" spans="2:10" x14ac:dyDescent="0.25">
      <c r="B123" s="120"/>
      <c r="C123" s="120"/>
      <c r="D123" s="120"/>
      <c r="E123" s="78"/>
      <c r="F123" s="78"/>
      <c r="G123" s="78"/>
      <c r="H123" s="120"/>
      <c r="I123" s="120"/>
      <c r="J123" s="120"/>
    </row>
    <row r="126" spans="2:10" x14ac:dyDescent="0.25">
      <c r="B126" s="120"/>
      <c r="C126" s="120"/>
      <c r="D126" s="120"/>
      <c r="E126" s="78"/>
      <c r="F126" s="78"/>
      <c r="G126" s="78"/>
      <c r="H126" s="120"/>
      <c r="I126" s="120"/>
      <c r="J126" s="120"/>
    </row>
    <row r="132" spans="2:10" x14ac:dyDescent="0.25">
      <c r="B132" s="120"/>
      <c r="C132" s="120"/>
      <c r="D132" s="120"/>
      <c r="E132" s="78"/>
      <c r="F132" s="78"/>
      <c r="G132" s="78"/>
      <c r="H132" s="120"/>
      <c r="I132" s="120"/>
      <c r="J132" s="120"/>
    </row>
    <row r="133" spans="2:10" x14ac:dyDescent="0.25">
      <c r="B133" s="120"/>
      <c r="C133" s="120"/>
      <c r="D133" s="120"/>
      <c r="E133" s="78"/>
      <c r="F133" s="78"/>
      <c r="G133" s="78"/>
      <c r="H133" s="120"/>
      <c r="I133" s="120"/>
      <c r="J133" s="120"/>
    </row>
    <row r="136" spans="2:10" x14ac:dyDescent="0.25">
      <c r="B136" s="120"/>
      <c r="C136" s="120"/>
      <c r="D136" s="120"/>
      <c r="E136" s="78"/>
      <c r="F136" s="78"/>
      <c r="G136" s="78"/>
      <c r="H136" s="120"/>
      <c r="I136" s="120"/>
      <c r="J136" s="120"/>
    </row>
    <row r="142" spans="2:10" x14ac:dyDescent="0.25">
      <c r="B142" s="120"/>
      <c r="C142" s="120"/>
      <c r="D142" s="120"/>
      <c r="E142" s="78"/>
      <c r="F142" s="78"/>
      <c r="G142" s="78"/>
      <c r="H142" s="120"/>
      <c r="I142" s="120"/>
      <c r="J142" s="120"/>
    </row>
    <row r="148" spans="2:10" x14ac:dyDescent="0.25">
      <c r="B148" s="120"/>
      <c r="C148" s="120"/>
      <c r="D148" s="120"/>
      <c r="E148" s="78"/>
      <c r="F148" s="78"/>
      <c r="G148" s="78"/>
      <c r="H148" s="120"/>
      <c r="I148" s="120"/>
      <c r="J148" s="120"/>
    </row>
    <row r="154" spans="2:10" x14ac:dyDescent="0.25">
      <c r="B154" s="120"/>
      <c r="C154" s="120"/>
      <c r="D154" s="120"/>
      <c r="E154" s="78"/>
      <c r="F154" s="78"/>
      <c r="G154" s="78"/>
      <c r="H154" s="120"/>
      <c r="I154" s="120"/>
      <c r="J154" s="120"/>
    </row>
    <row r="160" spans="2:10" x14ac:dyDescent="0.25">
      <c r="B160" s="120"/>
      <c r="C160" s="120"/>
      <c r="D160" s="120"/>
      <c r="E160" s="78"/>
      <c r="F160" s="78"/>
      <c r="G160" s="78"/>
      <c r="H160" s="120"/>
      <c r="I160" s="120"/>
      <c r="J160" s="120"/>
    </row>
    <row r="161" spans="2:10" x14ac:dyDescent="0.25">
      <c r="B161" s="120"/>
      <c r="C161" s="120"/>
      <c r="D161" s="120"/>
      <c r="E161" s="78"/>
      <c r="F161" s="78"/>
      <c r="G161" s="78"/>
      <c r="H161" s="120"/>
      <c r="I161" s="120"/>
      <c r="J161" s="120"/>
    </row>
    <row r="166" spans="2:10" x14ac:dyDescent="0.25">
      <c r="B166" s="120"/>
      <c r="C166" s="120"/>
      <c r="D166" s="120"/>
      <c r="E166" s="78"/>
      <c r="F166" s="78"/>
      <c r="G166" s="78"/>
      <c r="H166" s="120"/>
      <c r="I166" s="120"/>
      <c r="J166" s="120"/>
    </row>
    <row r="167" spans="2:10" x14ac:dyDescent="0.25">
      <c r="B167" s="120"/>
      <c r="C167" s="120"/>
      <c r="D167" s="120"/>
      <c r="E167" s="78"/>
      <c r="F167" s="78"/>
      <c r="G167" s="78"/>
      <c r="H167" s="120"/>
      <c r="I167" s="120"/>
      <c r="J167" s="120"/>
    </row>
    <row r="172" spans="2:10" x14ac:dyDescent="0.25">
      <c r="B172" s="120"/>
      <c r="C172" s="120"/>
      <c r="D172" s="120"/>
      <c r="E172" s="78"/>
      <c r="F172" s="78"/>
      <c r="G172" s="78"/>
      <c r="H172" s="120"/>
      <c r="I172" s="120"/>
      <c r="J172" s="120"/>
    </row>
    <row r="178" spans="2:10" x14ac:dyDescent="0.25">
      <c r="B178" s="120"/>
      <c r="C178" s="120"/>
      <c r="D178" s="120"/>
      <c r="E178" s="78"/>
      <c r="F178" s="78"/>
      <c r="G178" s="78"/>
      <c r="H178" s="120"/>
      <c r="I178" s="120"/>
      <c r="J178" s="120"/>
    </row>
    <row r="184" spans="2:10" x14ac:dyDescent="0.25">
      <c r="B184" s="120"/>
      <c r="C184" s="120"/>
      <c r="D184" s="120"/>
      <c r="E184" s="78"/>
      <c r="F184" s="78"/>
      <c r="G184" s="78"/>
      <c r="H184" s="120"/>
      <c r="I184" s="120"/>
      <c r="J184" s="120"/>
    </row>
    <row r="185" spans="2:10" x14ac:dyDescent="0.25">
      <c r="B185" s="120"/>
      <c r="C185" s="120"/>
      <c r="D185" s="120"/>
      <c r="E185" s="78"/>
      <c r="F185" s="78"/>
      <c r="G185" s="78"/>
      <c r="H185" s="120"/>
      <c r="I185" s="120"/>
      <c r="J185" s="120"/>
    </row>
    <row r="190" spans="2:10" x14ac:dyDescent="0.25">
      <c r="B190" s="120"/>
      <c r="C190" s="120"/>
      <c r="D190" s="120"/>
      <c r="E190" s="78"/>
      <c r="F190" s="78"/>
      <c r="G190" s="78"/>
      <c r="H190" s="120"/>
      <c r="I190" s="120"/>
      <c r="J190" s="120"/>
    </row>
    <row r="191" spans="2:10" x14ac:dyDescent="0.25">
      <c r="B191" s="120"/>
      <c r="C191" s="120"/>
      <c r="D191" s="120"/>
      <c r="E191" s="78"/>
      <c r="F191" s="78"/>
      <c r="G191" s="78"/>
      <c r="H191" s="120"/>
      <c r="I191" s="120"/>
      <c r="J191" s="120"/>
    </row>
    <row r="192" spans="2:10" x14ac:dyDescent="0.25">
      <c r="B192" s="120"/>
      <c r="C192" s="120"/>
      <c r="D192" s="120"/>
      <c r="E192" s="78"/>
      <c r="F192" s="78"/>
      <c r="G192" s="78"/>
      <c r="H192" s="120"/>
      <c r="I192" s="120"/>
      <c r="J192" s="120"/>
    </row>
    <row r="196" spans="2:10" x14ac:dyDescent="0.25">
      <c r="B196" s="120"/>
      <c r="C196" s="120"/>
      <c r="D196" s="120"/>
      <c r="E196" s="78"/>
      <c r="F196" s="78"/>
      <c r="G196" s="78"/>
      <c r="H196" s="120"/>
      <c r="I196" s="120"/>
      <c r="J196" s="120"/>
    </row>
    <row r="197" spans="2:10" x14ac:dyDescent="0.25">
      <c r="B197" s="120"/>
      <c r="C197" s="120"/>
      <c r="D197" s="120"/>
      <c r="E197" s="78"/>
      <c r="F197" s="78"/>
      <c r="G197" s="78"/>
      <c r="H197" s="120"/>
      <c r="I197" s="120"/>
      <c r="J197" s="120"/>
    </row>
    <row r="202" spans="2:10" x14ac:dyDescent="0.25">
      <c r="B202" s="120"/>
      <c r="C202" s="120"/>
      <c r="D202" s="120"/>
      <c r="E202" s="78"/>
      <c r="F202" s="78"/>
      <c r="G202" s="78"/>
      <c r="H202" s="120"/>
      <c r="I202" s="120"/>
      <c r="J202" s="120"/>
    </row>
    <row r="208" spans="2:10" x14ac:dyDescent="0.25">
      <c r="B208" s="120"/>
      <c r="C208" s="120"/>
      <c r="D208" s="120"/>
      <c r="E208" s="78"/>
      <c r="F208" s="78"/>
      <c r="G208" s="78"/>
      <c r="H208" s="120"/>
      <c r="I208" s="120"/>
      <c r="J208" s="120"/>
    </row>
    <row r="209" spans="2:10" x14ac:dyDescent="0.25">
      <c r="B209" s="120"/>
      <c r="C209" s="120"/>
      <c r="D209" s="120"/>
      <c r="E209" s="78"/>
      <c r="F209" s="78"/>
      <c r="G209" s="78"/>
      <c r="H209" s="120"/>
      <c r="I209" s="120"/>
      <c r="J209" s="120"/>
    </row>
    <row r="210" spans="2:10" x14ac:dyDescent="0.25">
      <c r="B210" s="120"/>
      <c r="C210" s="120"/>
      <c r="D210" s="120"/>
      <c r="E210" s="78"/>
      <c r="F210" s="78"/>
      <c r="G210" s="78"/>
      <c r="H210" s="120"/>
      <c r="I210" s="120"/>
      <c r="J210" s="120"/>
    </row>
    <row r="214" spans="2:10" x14ac:dyDescent="0.25">
      <c r="B214" s="120"/>
      <c r="C214" s="120"/>
      <c r="D214" s="120"/>
      <c r="E214" s="78"/>
      <c r="F214" s="78"/>
      <c r="G214" s="78"/>
      <c r="H214" s="120"/>
      <c r="I214" s="120"/>
      <c r="J214" s="120"/>
    </row>
    <row r="215" spans="2:10" x14ac:dyDescent="0.25">
      <c r="B215" s="120"/>
      <c r="C215" s="120"/>
      <c r="D215" s="120"/>
      <c r="E215" s="78"/>
      <c r="F215" s="78"/>
      <c r="G215" s="78"/>
      <c r="H215" s="120"/>
      <c r="I215" s="120"/>
      <c r="J215" s="120"/>
    </row>
    <row r="220" spans="2:10" x14ac:dyDescent="0.25">
      <c r="B220" s="120"/>
      <c r="C220" s="120"/>
      <c r="D220" s="120"/>
      <c r="E220" s="78"/>
      <c r="F220" s="78"/>
      <c r="G220" s="78"/>
      <c r="H220" s="120"/>
      <c r="I220" s="120"/>
      <c r="J220" s="120"/>
    </row>
    <row r="226" spans="2:10" x14ac:dyDescent="0.25">
      <c r="B226" s="120"/>
      <c r="C226" s="120"/>
      <c r="D226" s="120"/>
      <c r="E226" s="78"/>
      <c r="F226" s="78"/>
      <c r="G226" s="78"/>
      <c r="H226" s="120"/>
      <c r="I226" s="120"/>
      <c r="J226" s="120"/>
    </row>
    <row r="227" spans="2:10" x14ac:dyDescent="0.25">
      <c r="B227" s="120"/>
      <c r="C227" s="120"/>
      <c r="D227" s="120"/>
      <c r="E227" s="78"/>
      <c r="F227" s="78"/>
      <c r="G227" s="78"/>
      <c r="H227" s="120"/>
      <c r="I227" s="120"/>
      <c r="J227" s="120"/>
    </row>
    <row r="228" spans="2:10" x14ac:dyDescent="0.25">
      <c r="B228" s="120"/>
      <c r="C228" s="120"/>
      <c r="D228" s="120"/>
      <c r="E228" s="78"/>
      <c r="F228" s="78"/>
      <c r="G228" s="78"/>
      <c r="H228" s="120"/>
      <c r="I228" s="120"/>
      <c r="J228" s="120"/>
    </row>
    <row r="229" spans="2:10" x14ac:dyDescent="0.25">
      <c r="B229" s="120"/>
      <c r="C229" s="120"/>
      <c r="D229" s="120"/>
      <c r="E229" s="78"/>
      <c r="F229" s="78"/>
      <c r="G229" s="78"/>
      <c r="H229" s="120"/>
      <c r="I229" s="120"/>
      <c r="J229" s="120"/>
    </row>
    <row r="232" spans="2:10" x14ac:dyDescent="0.25">
      <c r="B232" s="120"/>
      <c r="C232" s="120"/>
      <c r="D232" s="120"/>
      <c r="E232" s="78"/>
      <c r="F232" s="78"/>
      <c r="G232" s="78"/>
      <c r="H232" s="120"/>
      <c r="I232" s="120"/>
      <c r="J232" s="120"/>
    </row>
    <row r="238" spans="2:10" x14ac:dyDescent="0.25">
      <c r="B238" s="120"/>
      <c r="C238" s="120"/>
      <c r="D238" s="120"/>
      <c r="E238" s="78"/>
      <c r="F238" s="78"/>
      <c r="G238" s="78"/>
      <c r="H238" s="120"/>
      <c r="I238" s="120"/>
      <c r="J238" s="120"/>
    </row>
    <row r="239" spans="2:10" x14ac:dyDescent="0.25">
      <c r="B239" s="120"/>
      <c r="C239" s="120"/>
      <c r="D239" s="120"/>
      <c r="E239" s="78"/>
      <c r="F239" s="78"/>
      <c r="G239" s="78"/>
      <c r="H239" s="120"/>
      <c r="I239" s="120"/>
      <c r="J239" s="120"/>
    </row>
    <row r="244" spans="2:10" x14ac:dyDescent="0.25">
      <c r="B244" s="120"/>
      <c r="C244" s="120"/>
      <c r="D244" s="120"/>
      <c r="E244" s="78"/>
      <c r="F244" s="78"/>
      <c r="G244" s="78"/>
      <c r="H244" s="120"/>
      <c r="I244" s="120"/>
      <c r="J244" s="120"/>
    </row>
    <row r="245" spans="2:10" x14ac:dyDescent="0.25">
      <c r="B245" s="120"/>
      <c r="C245" s="120"/>
      <c r="D245" s="120"/>
      <c r="E245" s="78"/>
      <c r="F245" s="78"/>
      <c r="G245" s="78"/>
      <c r="H245" s="120"/>
      <c r="I245" s="120"/>
      <c r="J245" s="120"/>
    </row>
    <row r="246" spans="2:10" x14ac:dyDescent="0.25">
      <c r="B246" s="120"/>
      <c r="C246" s="120"/>
      <c r="D246" s="120"/>
      <c r="E246" s="78"/>
      <c r="F246" s="78"/>
      <c r="G246" s="78"/>
      <c r="H246" s="120"/>
      <c r="I246" s="120"/>
      <c r="J246" s="120"/>
    </row>
    <row r="247" spans="2:10" x14ac:dyDescent="0.25">
      <c r="B247" s="120"/>
      <c r="C247" s="120"/>
      <c r="D247" s="120"/>
      <c r="E247" s="78"/>
      <c r="F247" s="78"/>
      <c r="G247" s="78"/>
      <c r="H247" s="120"/>
      <c r="I247" s="120"/>
      <c r="J247" s="120"/>
    </row>
    <row r="250" spans="2:10" x14ac:dyDescent="0.25">
      <c r="B250" s="120"/>
      <c r="C250" s="120"/>
      <c r="D250" s="120"/>
      <c r="E250" s="77"/>
      <c r="F250" s="77"/>
      <c r="G250" s="77"/>
      <c r="H250" s="120"/>
      <c r="I250" s="120"/>
      <c r="J250" s="120"/>
    </row>
    <row r="256" spans="2:10" x14ac:dyDescent="0.25">
      <c r="B256" s="120"/>
      <c r="C256" s="120"/>
      <c r="D256" s="120"/>
      <c r="E256" s="77"/>
      <c r="F256" s="77"/>
      <c r="G256" s="77"/>
      <c r="H256" s="120"/>
      <c r="I256" s="120"/>
      <c r="J256" s="120"/>
    </row>
    <row r="262" spans="2:10" x14ac:dyDescent="0.25">
      <c r="B262" s="120"/>
      <c r="C262" s="120"/>
      <c r="D262" s="120"/>
      <c r="E262" s="77"/>
      <c r="F262" s="77"/>
      <c r="G262" s="77"/>
      <c r="H262" s="120"/>
      <c r="I262" s="120"/>
      <c r="J262" s="120"/>
    </row>
    <row r="268" spans="2:10" x14ac:dyDescent="0.25">
      <c r="B268" s="120"/>
      <c r="C268" s="120"/>
      <c r="D268" s="120"/>
      <c r="E268" s="77"/>
      <c r="F268" s="77"/>
      <c r="G268" s="77"/>
      <c r="H268" s="120"/>
      <c r="I268" s="120"/>
      <c r="J268" s="120"/>
    </row>
    <row r="274" spans="2:10" x14ac:dyDescent="0.25">
      <c r="B274" s="120"/>
      <c r="C274" s="120"/>
      <c r="D274" s="120"/>
      <c r="E274" s="77"/>
      <c r="F274" s="77"/>
      <c r="G274" s="77"/>
      <c r="H274" s="120"/>
      <c r="I274" s="120"/>
      <c r="J274" s="120"/>
    </row>
    <row r="275" spans="2:10" x14ac:dyDescent="0.25">
      <c r="B275" s="120"/>
      <c r="C275" s="120"/>
      <c r="D275" s="120"/>
      <c r="E275" s="77"/>
      <c r="F275" s="77"/>
      <c r="G275" s="77"/>
      <c r="H275" s="120"/>
      <c r="I275" s="120"/>
      <c r="J275" s="120"/>
    </row>
    <row r="280" spans="2:10" x14ac:dyDescent="0.25">
      <c r="B280" s="120"/>
      <c r="C280" s="120"/>
      <c r="D280" s="120"/>
      <c r="E280" s="77"/>
      <c r="F280" s="77"/>
      <c r="G280" s="77"/>
      <c r="H280" s="120"/>
      <c r="I280" s="120"/>
      <c r="J280" s="120"/>
    </row>
    <row r="281" spans="2:10" x14ac:dyDescent="0.25">
      <c r="B281" s="120"/>
      <c r="C281" s="120"/>
      <c r="D281" s="120"/>
      <c r="E281" s="77"/>
      <c r="F281" s="77"/>
      <c r="G281" s="77"/>
      <c r="H281" s="120"/>
      <c r="I281" s="120"/>
      <c r="J281" s="120"/>
    </row>
    <row r="286" spans="2:10" x14ac:dyDescent="0.25">
      <c r="B286" s="120"/>
      <c r="C286" s="120"/>
      <c r="D286" s="120"/>
      <c r="E286" s="77"/>
      <c r="F286" s="77"/>
      <c r="G286" s="77"/>
      <c r="H286" s="120"/>
      <c r="I286" s="120"/>
      <c r="J286" s="120"/>
    </row>
    <row r="292" spans="2:10" x14ac:dyDescent="0.25">
      <c r="B292" s="120"/>
      <c r="C292" s="120"/>
      <c r="D292" s="120"/>
      <c r="E292" s="77"/>
      <c r="F292" s="77"/>
      <c r="G292" s="77"/>
      <c r="H292" s="120"/>
      <c r="I292" s="120"/>
      <c r="J292" s="120"/>
    </row>
    <row r="298" spans="2:10" x14ac:dyDescent="0.25">
      <c r="B298" s="120"/>
      <c r="C298" s="120"/>
      <c r="D298" s="120"/>
      <c r="E298" s="77"/>
      <c r="F298" s="77"/>
      <c r="G298" s="77"/>
      <c r="H298" s="120"/>
      <c r="I298" s="120"/>
      <c r="J298" s="120"/>
    </row>
    <row r="299" spans="2:10" x14ac:dyDescent="0.25">
      <c r="B299" s="120"/>
      <c r="C299" s="120"/>
      <c r="D299" s="120"/>
      <c r="E299" s="77"/>
      <c r="F299" s="77"/>
      <c r="G299" s="77"/>
      <c r="H299" s="120"/>
      <c r="I299" s="120"/>
      <c r="J299" s="120"/>
    </row>
    <row r="304" spans="2:10" x14ac:dyDescent="0.25">
      <c r="B304" s="120"/>
      <c r="C304" s="120"/>
      <c r="D304" s="120"/>
      <c r="E304" s="77"/>
      <c r="F304" s="77"/>
      <c r="G304" s="77"/>
      <c r="H304" s="120"/>
      <c r="I304" s="120"/>
      <c r="J304" s="120"/>
    </row>
    <row r="305" spans="2:10" x14ac:dyDescent="0.25">
      <c r="B305" s="120"/>
      <c r="C305" s="120"/>
      <c r="D305" s="120"/>
      <c r="E305" s="77"/>
      <c r="F305" s="77"/>
      <c r="G305" s="77"/>
      <c r="H305" s="120"/>
      <c r="I305" s="120"/>
      <c r="J305" s="120"/>
    </row>
    <row r="306" spans="2:10" x14ac:dyDescent="0.25">
      <c r="B306" s="120"/>
      <c r="C306" s="120"/>
      <c r="D306" s="120"/>
      <c r="E306" s="77"/>
      <c r="F306" s="77"/>
      <c r="G306" s="77"/>
      <c r="H306" s="120"/>
      <c r="I306" s="120"/>
      <c r="J306" s="120"/>
    </row>
    <row r="310" spans="2:10" x14ac:dyDescent="0.25">
      <c r="B310" s="120"/>
      <c r="C310" s="120"/>
      <c r="D310" s="120"/>
      <c r="E310" s="77"/>
      <c r="F310" s="77"/>
      <c r="G310" s="77"/>
      <c r="H310" s="120"/>
      <c r="I310" s="120"/>
      <c r="J310" s="120"/>
    </row>
    <row r="311" spans="2:10" x14ac:dyDescent="0.25">
      <c r="B311" s="120"/>
      <c r="C311" s="120"/>
      <c r="D311" s="120"/>
      <c r="E311" s="77"/>
      <c r="F311" s="77"/>
      <c r="G311" s="77"/>
      <c r="H311" s="120"/>
      <c r="I311" s="120"/>
      <c r="J311" s="120"/>
    </row>
    <row r="316" spans="2:10" x14ac:dyDescent="0.25">
      <c r="B316" s="120"/>
      <c r="C316" s="120"/>
      <c r="D316" s="120"/>
      <c r="E316" s="77"/>
      <c r="F316" s="77"/>
      <c r="G316" s="77"/>
      <c r="H316" s="120"/>
      <c r="I316" s="120"/>
      <c r="J316" s="120"/>
    </row>
    <row r="322" spans="2:10" x14ac:dyDescent="0.25">
      <c r="B322" s="120"/>
      <c r="C322" s="120"/>
      <c r="D322" s="120"/>
      <c r="E322" s="77"/>
      <c r="F322" s="77"/>
      <c r="G322" s="77"/>
      <c r="H322" s="120"/>
      <c r="I322" s="120"/>
      <c r="J322" s="120"/>
    </row>
    <row r="323" spans="2:10" x14ac:dyDescent="0.25">
      <c r="B323" s="120"/>
      <c r="C323" s="120"/>
      <c r="D323" s="120"/>
      <c r="E323" s="77"/>
      <c r="F323" s="77"/>
      <c r="G323" s="77"/>
      <c r="H323" s="120"/>
      <c r="I323" s="120"/>
      <c r="J323" s="120"/>
    </row>
    <row r="324" spans="2:10" x14ac:dyDescent="0.25">
      <c r="B324" s="120"/>
      <c r="C324" s="120"/>
      <c r="D324" s="120"/>
      <c r="E324" s="77"/>
      <c r="F324" s="77"/>
      <c r="G324" s="77"/>
      <c r="H324" s="120"/>
      <c r="I324" s="120"/>
      <c r="J324" s="120"/>
    </row>
    <row r="328" spans="2:10" x14ac:dyDescent="0.25">
      <c r="B328" s="120"/>
      <c r="C328" s="120"/>
      <c r="D328" s="120"/>
      <c r="E328" s="77"/>
      <c r="F328" s="77"/>
      <c r="G328" s="77"/>
      <c r="H328" s="120"/>
      <c r="I328" s="120"/>
      <c r="J328" s="120"/>
    </row>
    <row r="329" spans="2:10" x14ac:dyDescent="0.25">
      <c r="B329" s="120"/>
      <c r="C329" s="120"/>
      <c r="D329" s="120"/>
      <c r="E329" s="77"/>
      <c r="F329" s="77"/>
      <c r="G329" s="77"/>
      <c r="H329" s="120"/>
      <c r="I329" s="120"/>
      <c r="J329" s="120"/>
    </row>
    <row r="334" spans="2:10" x14ac:dyDescent="0.25">
      <c r="B334" s="120"/>
      <c r="C334" s="120"/>
      <c r="D334" s="120"/>
      <c r="E334" s="77"/>
      <c r="F334" s="77"/>
      <c r="G334" s="77"/>
      <c r="H334" s="120"/>
      <c r="I334" s="120"/>
      <c r="J334" s="120"/>
    </row>
    <row r="340" spans="2:10" x14ac:dyDescent="0.25">
      <c r="B340" s="120"/>
      <c r="C340" s="120"/>
      <c r="D340" s="120"/>
      <c r="E340" s="77"/>
      <c r="F340" s="77"/>
      <c r="G340" s="77"/>
      <c r="H340" s="120"/>
      <c r="I340" s="120"/>
      <c r="J340" s="120"/>
    </row>
    <row r="341" spans="2:10" x14ac:dyDescent="0.25">
      <c r="B341" s="120"/>
      <c r="C341" s="120"/>
      <c r="D341" s="120"/>
      <c r="E341" s="77"/>
      <c r="F341" s="77"/>
      <c r="G341" s="77"/>
      <c r="H341" s="120"/>
      <c r="I341" s="120"/>
      <c r="J341" s="120"/>
    </row>
    <row r="342" spans="2:10" x14ac:dyDescent="0.25">
      <c r="B342" s="120"/>
      <c r="C342" s="120"/>
      <c r="D342" s="120"/>
      <c r="E342" s="77"/>
      <c r="F342" s="77"/>
      <c r="G342" s="77"/>
      <c r="H342" s="120"/>
      <c r="I342" s="120"/>
      <c r="J342" s="120"/>
    </row>
    <row r="343" spans="2:10" x14ac:dyDescent="0.25">
      <c r="B343" s="120"/>
      <c r="C343" s="120"/>
      <c r="D343" s="120"/>
      <c r="E343" s="77"/>
      <c r="F343" s="77"/>
      <c r="G343" s="77"/>
      <c r="H343" s="120"/>
      <c r="I343" s="120"/>
      <c r="J343" s="120"/>
    </row>
    <row r="346" spans="2:10" x14ac:dyDescent="0.25">
      <c r="B346" s="120"/>
      <c r="C346" s="120"/>
      <c r="D346" s="120"/>
      <c r="E346" s="77"/>
      <c r="F346" s="77"/>
      <c r="G346" s="77"/>
      <c r="H346" s="120"/>
      <c r="I346" s="120"/>
      <c r="J346" s="120"/>
    </row>
    <row r="352" spans="2:10" x14ac:dyDescent="0.25">
      <c r="B352" s="120"/>
      <c r="C352" s="120"/>
      <c r="D352" s="120"/>
      <c r="E352" s="77"/>
      <c r="F352" s="77"/>
      <c r="G352" s="77"/>
      <c r="H352" s="120"/>
      <c r="I352" s="120"/>
      <c r="J352" s="120"/>
    </row>
    <row r="353" spans="2:10" x14ac:dyDescent="0.25">
      <c r="B353" s="120"/>
      <c r="C353" s="120"/>
      <c r="D353" s="120"/>
      <c r="E353" s="77"/>
      <c r="F353" s="77"/>
      <c r="G353" s="77"/>
      <c r="H353" s="120"/>
      <c r="I353" s="120"/>
      <c r="J353" s="120"/>
    </row>
    <row r="355" spans="2:10" x14ac:dyDescent="0.25">
      <c r="B355" s="120"/>
      <c r="C355" s="120"/>
      <c r="D355" s="120"/>
      <c r="E355" s="77"/>
      <c r="F355" s="77"/>
      <c r="G355" s="77"/>
      <c r="H355" s="120"/>
      <c r="I355" s="120"/>
      <c r="J355" s="120"/>
    </row>
    <row r="361" spans="2:10" x14ac:dyDescent="0.25">
      <c r="B361" s="120"/>
      <c r="C361" s="120"/>
      <c r="D361" s="120"/>
      <c r="E361" s="77"/>
      <c r="F361" s="77"/>
      <c r="G361" s="77"/>
      <c r="H361" s="120"/>
      <c r="I361" s="120"/>
      <c r="J361" s="120"/>
    </row>
    <row r="362" spans="2:10" x14ac:dyDescent="0.25">
      <c r="B362" s="120"/>
      <c r="C362" s="120"/>
      <c r="D362" s="120"/>
      <c r="E362" s="77"/>
      <c r="F362" s="77"/>
      <c r="G362" s="77"/>
      <c r="H362" s="120"/>
      <c r="I362" s="120"/>
      <c r="J362" s="120"/>
    </row>
    <row r="367" spans="2:10" x14ac:dyDescent="0.25">
      <c r="B367" s="120"/>
      <c r="C367" s="120"/>
      <c r="D367" s="120"/>
      <c r="E367" s="77"/>
      <c r="F367" s="77"/>
      <c r="G367" s="77"/>
      <c r="H367" s="120"/>
      <c r="I367" s="120"/>
      <c r="J367" s="120"/>
    </row>
    <row r="368" spans="2:10" x14ac:dyDescent="0.25">
      <c r="B368" s="120"/>
      <c r="C368" s="120"/>
      <c r="D368" s="120"/>
      <c r="E368" s="77"/>
      <c r="F368" s="77"/>
      <c r="G368" s="77"/>
      <c r="H368" s="120"/>
      <c r="I368" s="120"/>
      <c r="J368" s="120"/>
    </row>
    <row r="369" spans="2:10" x14ac:dyDescent="0.25">
      <c r="B369" s="120"/>
      <c r="C369" s="120"/>
      <c r="D369" s="120"/>
      <c r="E369" s="77"/>
      <c r="F369" s="77"/>
      <c r="G369" s="77"/>
      <c r="H369" s="120"/>
      <c r="I369" s="120"/>
      <c r="J369" s="120"/>
    </row>
    <row r="370" spans="2:10" x14ac:dyDescent="0.25">
      <c r="B370" s="120"/>
      <c r="C370" s="120"/>
      <c r="D370" s="120"/>
      <c r="E370" s="77"/>
      <c r="F370" s="77"/>
      <c r="G370" s="77"/>
      <c r="H370" s="120"/>
      <c r="I370" s="120"/>
      <c r="J370" s="120"/>
    </row>
    <row r="371" spans="2:10" x14ac:dyDescent="0.25">
      <c r="B371" s="120"/>
      <c r="C371" s="120"/>
      <c r="D371" s="120"/>
      <c r="E371" s="77"/>
      <c r="F371" s="77"/>
      <c r="G371" s="77"/>
      <c r="H371" s="120"/>
      <c r="I371" s="120"/>
      <c r="J371" s="120"/>
    </row>
    <row r="372" spans="2:10" x14ac:dyDescent="0.25">
      <c r="B372" s="120"/>
      <c r="C372" s="120"/>
      <c r="D372" s="120"/>
      <c r="E372" s="77"/>
      <c r="F372" s="77"/>
      <c r="G372" s="77"/>
      <c r="H372" s="120"/>
      <c r="I372" s="120"/>
      <c r="J372" s="120"/>
    </row>
    <row r="373" spans="2:10" x14ac:dyDescent="0.25">
      <c r="B373" s="120"/>
      <c r="C373" s="120"/>
      <c r="D373" s="120"/>
      <c r="E373" s="77"/>
      <c r="F373" s="77"/>
      <c r="G373" s="77"/>
      <c r="H373" s="120"/>
      <c r="I373" s="120"/>
      <c r="J373" s="120"/>
    </row>
    <row r="374" spans="2:10" x14ac:dyDescent="0.25">
      <c r="B374" s="120"/>
      <c r="C374" s="120"/>
      <c r="D374" s="120"/>
      <c r="E374" s="77"/>
      <c r="F374" s="77"/>
      <c r="G374" s="77"/>
      <c r="H374" s="120"/>
      <c r="I374" s="120"/>
      <c r="J374" s="120"/>
    </row>
  </sheetData>
  <sortState xmlns:xlrd2="http://schemas.microsoft.com/office/spreadsheetml/2017/richdata2" ref="K3:L25">
    <sortCondition descending="1" ref="L3:L25"/>
  </sortState>
  <mergeCells count="215">
    <mergeCell ref="B250:D250"/>
    <mergeCell ref="H250:J250"/>
    <mergeCell ref="B274:D274"/>
    <mergeCell ref="H274:J274"/>
    <mergeCell ref="B275:D275"/>
    <mergeCell ref="H275:J275"/>
    <mergeCell ref="B268:D268"/>
    <mergeCell ref="H268:J268"/>
    <mergeCell ref="B262:D262"/>
    <mergeCell ref="H262:J262"/>
    <mergeCell ref="B256:D256"/>
    <mergeCell ref="H256:J256"/>
    <mergeCell ref="B298:D298"/>
    <mergeCell ref="H298:J298"/>
    <mergeCell ref="B299:D299"/>
    <mergeCell ref="H299:J299"/>
    <mergeCell ref="B292:D292"/>
    <mergeCell ref="H292:J292"/>
    <mergeCell ref="B286:D286"/>
    <mergeCell ref="H286:J286"/>
    <mergeCell ref="B280:D280"/>
    <mergeCell ref="H280:J280"/>
    <mergeCell ref="B281:D281"/>
    <mergeCell ref="H281:J281"/>
    <mergeCell ref="B316:D316"/>
    <mergeCell ref="H316:J316"/>
    <mergeCell ref="B310:D310"/>
    <mergeCell ref="H310:J310"/>
    <mergeCell ref="B311:D311"/>
    <mergeCell ref="H311:J311"/>
    <mergeCell ref="B304:D304"/>
    <mergeCell ref="H304:J304"/>
    <mergeCell ref="B305:D305"/>
    <mergeCell ref="H305:J305"/>
    <mergeCell ref="B306:D306"/>
    <mergeCell ref="H306:J306"/>
    <mergeCell ref="H343:J343"/>
    <mergeCell ref="B334:D334"/>
    <mergeCell ref="H334:J334"/>
    <mergeCell ref="B328:D328"/>
    <mergeCell ref="H328:J328"/>
    <mergeCell ref="B329:D329"/>
    <mergeCell ref="H329:J329"/>
    <mergeCell ref="B322:D322"/>
    <mergeCell ref="H322:J322"/>
    <mergeCell ref="B323:D323"/>
    <mergeCell ref="H323:J323"/>
    <mergeCell ref="B324:D324"/>
    <mergeCell ref="H324:J324"/>
    <mergeCell ref="B373:D373"/>
    <mergeCell ref="H373:J373"/>
    <mergeCell ref="B374:D374"/>
    <mergeCell ref="H374:J374"/>
    <mergeCell ref="B367:D367"/>
    <mergeCell ref="H367:J367"/>
    <mergeCell ref="B368:D368"/>
    <mergeCell ref="H368:J368"/>
    <mergeCell ref="B369:D369"/>
    <mergeCell ref="H369:J369"/>
    <mergeCell ref="B370:D370"/>
    <mergeCell ref="H370:J370"/>
    <mergeCell ref="B1:I1"/>
    <mergeCell ref="B371:D371"/>
    <mergeCell ref="H371:J371"/>
    <mergeCell ref="B372:D372"/>
    <mergeCell ref="H372:J372"/>
    <mergeCell ref="B361:D361"/>
    <mergeCell ref="H361:J361"/>
    <mergeCell ref="B362:D362"/>
    <mergeCell ref="H362:J362"/>
    <mergeCell ref="B355:D355"/>
    <mergeCell ref="H355:J355"/>
    <mergeCell ref="B352:D352"/>
    <mergeCell ref="H352:J352"/>
    <mergeCell ref="B353:D353"/>
    <mergeCell ref="H353:J353"/>
    <mergeCell ref="B346:D346"/>
    <mergeCell ref="H346:J346"/>
    <mergeCell ref="B340:D340"/>
    <mergeCell ref="H340:J340"/>
    <mergeCell ref="B341:D341"/>
    <mergeCell ref="H341:J341"/>
    <mergeCell ref="B342:D342"/>
    <mergeCell ref="H342:J342"/>
    <mergeCell ref="B343:D343"/>
    <mergeCell ref="B247:D247"/>
    <mergeCell ref="H247:J247"/>
    <mergeCell ref="B238:D238"/>
    <mergeCell ref="H238:J238"/>
    <mergeCell ref="B239:D239"/>
    <mergeCell ref="H239:J239"/>
    <mergeCell ref="B244:D244"/>
    <mergeCell ref="H244:J244"/>
    <mergeCell ref="B245:D245"/>
    <mergeCell ref="H245:J245"/>
    <mergeCell ref="B246:D246"/>
    <mergeCell ref="H246:J246"/>
    <mergeCell ref="B232:D232"/>
    <mergeCell ref="H232:J232"/>
    <mergeCell ref="B226:D226"/>
    <mergeCell ref="H226:J226"/>
    <mergeCell ref="B227:D227"/>
    <mergeCell ref="H227:J227"/>
    <mergeCell ref="B228:D228"/>
    <mergeCell ref="H228:J228"/>
    <mergeCell ref="B229:D229"/>
    <mergeCell ref="H229:J229"/>
    <mergeCell ref="B209:D209"/>
    <mergeCell ref="H209:J209"/>
    <mergeCell ref="B210:D210"/>
    <mergeCell ref="H210:J210"/>
    <mergeCell ref="B220:D220"/>
    <mergeCell ref="H220:J220"/>
    <mergeCell ref="B214:D214"/>
    <mergeCell ref="H214:J214"/>
    <mergeCell ref="B215:D215"/>
    <mergeCell ref="H215:J215"/>
    <mergeCell ref="B192:D192"/>
    <mergeCell ref="H192:J192"/>
    <mergeCell ref="B202:D202"/>
    <mergeCell ref="H202:J202"/>
    <mergeCell ref="B196:D196"/>
    <mergeCell ref="H196:J196"/>
    <mergeCell ref="B197:D197"/>
    <mergeCell ref="H197:J197"/>
    <mergeCell ref="B208:D208"/>
    <mergeCell ref="H208:J208"/>
    <mergeCell ref="B184:D184"/>
    <mergeCell ref="H184:J184"/>
    <mergeCell ref="B185:D185"/>
    <mergeCell ref="H185:J185"/>
    <mergeCell ref="B178:D178"/>
    <mergeCell ref="H178:J178"/>
    <mergeCell ref="B190:D190"/>
    <mergeCell ref="H190:J190"/>
    <mergeCell ref="B191:D191"/>
    <mergeCell ref="H191:J191"/>
    <mergeCell ref="B160:D160"/>
    <mergeCell ref="H160:J160"/>
    <mergeCell ref="B161:D161"/>
    <mergeCell ref="H161:J161"/>
    <mergeCell ref="B154:D154"/>
    <mergeCell ref="H154:J154"/>
    <mergeCell ref="B172:D172"/>
    <mergeCell ref="H172:J172"/>
    <mergeCell ref="B166:D166"/>
    <mergeCell ref="H166:J166"/>
    <mergeCell ref="B167:D167"/>
    <mergeCell ref="H167:J167"/>
    <mergeCell ref="B132:D132"/>
    <mergeCell ref="H132:J132"/>
    <mergeCell ref="B133:D133"/>
    <mergeCell ref="H133:J133"/>
    <mergeCell ref="B126:D126"/>
    <mergeCell ref="H126:J126"/>
    <mergeCell ref="B148:D148"/>
    <mergeCell ref="H148:J148"/>
    <mergeCell ref="B142:D142"/>
    <mergeCell ref="H142:J142"/>
    <mergeCell ref="B136:D136"/>
    <mergeCell ref="H136:J136"/>
    <mergeCell ref="B102:D102"/>
    <mergeCell ref="H102:J102"/>
    <mergeCell ref="B103:D103"/>
    <mergeCell ref="H103:J103"/>
    <mergeCell ref="B104:D104"/>
    <mergeCell ref="H104:J104"/>
    <mergeCell ref="B123:D123"/>
    <mergeCell ref="H123:J123"/>
    <mergeCell ref="B114:D114"/>
    <mergeCell ref="H114:J114"/>
    <mergeCell ref="B108:D108"/>
    <mergeCell ref="H108:J108"/>
    <mergeCell ref="B109:D109"/>
    <mergeCell ref="H109:J109"/>
    <mergeCell ref="B120:D120"/>
    <mergeCell ref="H120:J120"/>
    <mergeCell ref="B121:D121"/>
    <mergeCell ref="H121:J121"/>
    <mergeCell ref="B122:D122"/>
    <mergeCell ref="H122:J122"/>
    <mergeCell ref="B84:D84"/>
    <mergeCell ref="H84:J84"/>
    <mergeCell ref="B85:D85"/>
    <mergeCell ref="H85:J85"/>
    <mergeCell ref="B86:D86"/>
    <mergeCell ref="H86:J86"/>
    <mergeCell ref="B96:D96"/>
    <mergeCell ref="H96:J96"/>
    <mergeCell ref="B90:D90"/>
    <mergeCell ref="H90:J90"/>
    <mergeCell ref="B91:D91"/>
    <mergeCell ref="H91:J91"/>
    <mergeCell ref="B66:D66"/>
    <mergeCell ref="H66:J66"/>
    <mergeCell ref="B60:D60"/>
    <mergeCell ref="H60:J60"/>
    <mergeCell ref="B61:D61"/>
    <mergeCell ref="H61:J61"/>
    <mergeCell ref="B78:D78"/>
    <mergeCell ref="H78:J78"/>
    <mergeCell ref="B79:D79"/>
    <mergeCell ref="H79:J79"/>
    <mergeCell ref="B72:D72"/>
    <mergeCell ref="H72:J72"/>
    <mergeCell ref="B42:D42"/>
    <mergeCell ref="H42:J42"/>
    <mergeCell ref="B36:D36"/>
    <mergeCell ref="H36:J36"/>
    <mergeCell ref="B54:D54"/>
    <mergeCell ref="H54:J54"/>
    <mergeCell ref="B55:D55"/>
    <mergeCell ref="H55:J55"/>
    <mergeCell ref="B48:D48"/>
    <mergeCell ref="H48:J48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30"/>
  <sheetViews>
    <sheetView showGridLines="0" topLeftCell="A4" zoomScale="90" zoomScaleNormal="90" workbookViewId="0">
      <selection activeCell="K12" sqref="G12:K12"/>
    </sheetView>
  </sheetViews>
  <sheetFormatPr defaultColWidth="8.85546875" defaultRowHeight="15.75" x14ac:dyDescent="0.25"/>
  <cols>
    <col min="1" max="1" width="15.42578125" style="3" bestFit="1" customWidth="1"/>
    <col min="2" max="2" width="5.28515625" style="32" customWidth="1"/>
    <col min="3" max="3" width="5.28515625" style="4" customWidth="1"/>
    <col min="4" max="4" width="5.28515625" style="32" customWidth="1"/>
    <col min="5" max="5" width="15.42578125" style="12" bestFit="1" customWidth="1"/>
    <col min="6" max="6" width="1.7109375" style="46" customWidth="1"/>
    <col min="7" max="7" width="13.42578125" style="3" bestFit="1" customWidth="1"/>
    <col min="8" max="10" width="5.28515625" style="3" customWidth="1"/>
    <col min="11" max="11" width="13.42578125" style="12" bestFit="1" customWidth="1"/>
    <col min="12" max="12" width="1.85546875" style="46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23" t="s">
        <v>77</v>
      </c>
      <c r="B1" s="124"/>
      <c r="C1" s="124"/>
      <c r="D1" s="124"/>
      <c r="E1" s="124"/>
      <c r="F1" s="124"/>
      <c r="G1" s="124"/>
      <c r="H1" s="124"/>
      <c r="I1" s="124"/>
      <c r="J1" s="124"/>
      <c r="K1" s="125"/>
    </row>
    <row r="2" spans="1:24" ht="16.5" thickTop="1" x14ac:dyDescent="0.25">
      <c r="A2" s="128" t="s">
        <v>1</v>
      </c>
      <c r="B2" s="121"/>
      <c r="C2" s="121"/>
      <c r="D2" s="121"/>
      <c r="E2" s="121"/>
      <c r="F2" s="47"/>
      <c r="G2" s="121" t="s">
        <v>73</v>
      </c>
      <c r="H2" s="121"/>
      <c r="I2" s="121"/>
      <c r="J2" s="121"/>
      <c r="K2" s="122"/>
      <c r="O2" s="126" t="s">
        <v>72</v>
      </c>
      <c r="P2" s="127"/>
      <c r="R2" s="144" t="s">
        <v>208</v>
      </c>
      <c r="S2" s="145"/>
      <c r="T2" s="146"/>
      <c r="V2" s="141" t="s">
        <v>209</v>
      </c>
      <c r="W2" s="142"/>
      <c r="X2" s="143"/>
    </row>
    <row r="3" spans="1:24" ht="18" customHeight="1" x14ac:dyDescent="0.25">
      <c r="A3" s="5" t="s">
        <v>46</v>
      </c>
      <c r="B3" s="7">
        <v>0</v>
      </c>
      <c r="C3" s="7" t="s">
        <v>70</v>
      </c>
      <c r="D3" s="7">
        <v>2</v>
      </c>
      <c r="E3" s="14" t="s">
        <v>51</v>
      </c>
      <c r="F3" s="48"/>
      <c r="G3" s="6" t="s">
        <v>38</v>
      </c>
      <c r="H3" s="7">
        <v>1</v>
      </c>
      <c r="I3" s="7" t="s">
        <v>70</v>
      </c>
      <c r="J3" s="7">
        <v>2</v>
      </c>
      <c r="K3" s="11" t="s">
        <v>59</v>
      </c>
      <c r="O3" s="5" t="s">
        <v>38</v>
      </c>
      <c r="P3" s="11" t="s">
        <v>54</v>
      </c>
      <c r="R3" s="129">
        <v>50</v>
      </c>
      <c r="S3" s="130"/>
      <c r="T3" s="131"/>
      <c r="V3" s="147">
        <v>23</v>
      </c>
      <c r="W3" s="148"/>
      <c r="X3" s="149"/>
    </row>
    <row r="4" spans="1:24" ht="18" customHeight="1" x14ac:dyDescent="0.25">
      <c r="A4" s="5" t="s">
        <v>65</v>
      </c>
      <c r="B4" s="7">
        <v>0</v>
      </c>
      <c r="C4" s="7" t="s">
        <v>70</v>
      </c>
      <c r="D4" s="7">
        <v>2</v>
      </c>
      <c r="E4" s="14" t="s">
        <v>56</v>
      </c>
      <c r="F4" s="48"/>
      <c r="G4" s="6" t="s">
        <v>52</v>
      </c>
      <c r="H4" s="7">
        <v>7</v>
      </c>
      <c r="I4" s="7" t="s">
        <v>70</v>
      </c>
      <c r="J4" s="7">
        <v>0</v>
      </c>
      <c r="K4" s="11" t="s">
        <v>233</v>
      </c>
      <c r="O4" s="5" t="s">
        <v>232</v>
      </c>
      <c r="P4" s="11" t="s">
        <v>55</v>
      </c>
      <c r="R4" s="129"/>
      <c r="S4" s="130"/>
      <c r="T4" s="131"/>
      <c r="V4" s="147"/>
      <c r="W4" s="148"/>
      <c r="X4" s="149"/>
    </row>
    <row r="5" spans="1:24" ht="18" customHeight="1" x14ac:dyDescent="0.25">
      <c r="A5" s="5" t="s">
        <v>46</v>
      </c>
      <c r="B5" s="7">
        <v>1</v>
      </c>
      <c r="C5" s="7" t="s">
        <v>70</v>
      </c>
      <c r="D5" s="7">
        <v>3</v>
      </c>
      <c r="E5" s="14" t="s">
        <v>65</v>
      </c>
      <c r="F5" s="48"/>
      <c r="G5" s="6" t="s">
        <v>59</v>
      </c>
      <c r="H5" s="7">
        <v>0</v>
      </c>
      <c r="I5" s="7" t="s">
        <v>70</v>
      </c>
      <c r="J5" s="7">
        <v>1</v>
      </c>
      <c r="K5" s="11" t="s">
        <v>233</v>
      </c>
      <c r="O5" s="5" t="s">
        <v>40</v>
      </c>
      <c r="P5" s="11" t="s">
        <v>56</v>
      </c>
      <c r="R5" s="132"/>
      <c r="S5" s="133"/>
      <c r="T5" s="134"/>
      <c r="V5" s="150"/>
      <c r="W5" s="151"/>
      <c r="X5" s="152"/>
    </row>
    <row r="6" spans="1:24" x14ac:dyDescent="0.25">
      <c r="A6" s="5" t="s">
        <v>56</v>
      </c>
      <c r="B6" s="7">
        <v>1</v>
      </c>
      <c r="C6" s="7" t="s">
        <v>70</v>
      </c>
      <c r="D6" s="7">
        <v>1</v>
      </c>
      <c r="E6" s="14" t="s">
        <v>51</v>
      </c>
      <c r="F6" s="48"/>
      <c r="G6" s="6" t="s">
        <v>52</v>
      </c>
      <c r="H6" s="7"/>
      <c r="I6" s="7" t="s">
        <v>70</v>
      </c>
      <c r="J6" s="7"/>
      <c r="K6" s="11" t="s">
        <v>38</v>
      </c>
      <c r="L6" s="46" t="s">
        <v>269</v>
      </c>
      <c r="O6" s="5" t="s">
        <v>41</v>
      </c>
      <c r="P6" s="11" t="s">
        <v>57</v>
      </c>
    </row>
    <row r="7" spans="1:24" x14ac:dyDescent="0.25">
      <c r="A7" s="5" t="s">
        <v>56</v>
      </c>
      <c r="B7" s="7"/>
      <c r="C7" s="7" t="s">
        <v>70</v>
      </c>
      <c r="D7" s="7"/>
      <c r="E7" s="14" t="s">
        <v>46</v>
      </c>
      <c r="F7" s="48" t="s">
        <v>269</v>
      </c>
      <c r="G7" s="6" t="s">
        <v>59</v>
      </c>
      <c r="H7" s="7"/>
      <c r="I7" s="7" t="s">
        <v>70</v>
      </c>
      <c r="J7" s="7"/>
      <c r="K7" s="11" t="s">
        <v>52</v>
      </c>
      <c r="L7" s="46" t="s">
        <v>269</v>
      </c>
      <c r="O7" s="5" t="s">
        <v>42</v>
      </c>
      <c r="P7" s="11" t="s">
        <v>58</v>
      </c>
      <c r="R7" s="165" t="s">
        <v>212</v>
      </c>
      <c r="S7" s="166"/>
      <c r="T7" s="167"/>
      <c r="V7" s="141" t="s">
        <v>210</v>
      </c>
      <c r="W7" s="142"/>
      <c r="X7" s="143"/>
    </row>
    <row r="8" spans="1:24" x14ac:dyDescent="0.25">
      <c r="A8" s="5" t="s">
        <v>51</v>
      </c>
      <c r="B8" s="7"/>
      <c r="C8" s="7" t="s">
        <v>70</v>
      </c>
      <c r="D8" s="7"/>
      <c r="E8" s="14" t="s">
        <v>65</v>
      </c>
      <c r="F8" s="48" t="s">
        <v>269</v>
      </c>
      <c r="G8" s="6" t="s">
        <v>233</v>
      </c>
      <c r="H8" s="7"/>
      <c r="I8" s="7" t="s">
        <v>70</v>
      </c>
      <c r="J8" s="7"/>
      <c r="K8" s="11" t="s">
        <v>38</v>
      </c>
      <c r="L8" s="46" t="s">
        <v>269</v>
      </c>
      <c r="O8" s="5" t="s">
        <v>43</v>
      </c>
      <c r="P8" s="11" t="s">
        <v>59</v>
      </c>
      <c r="R8" s="129">
        <f>V16*0.5</f>
        <v>90</v>
      </c>
      <c r="S8" s="130"/>
      <c r="T8" s="131"/>
      <c r="V8" s="153">
        <v>10</v>
      </c>
      <c r="W8" s="154"/>
      <c r="X8" s="155"/>
    </row>
    <row r="9" spans="1:24" x14ac:dyDescent="0.25">
      <c r="A9" s="128" t="s">
        <v>5</v>
      </c>
      <c r="B9" s="121"/>
      <c r="C9" s="121"/>
      <c r="D9" s="121"/>
      <c r="E9" s="121"/>
      <c r="F9" s="48"/>
      <c r="G9" s="121" t="s">
        <v>74</v>
      </c>
      <c r="H9" s="121"/>
      <c r="I9" s="121"/>
      <c r="J9" s="121"/>
      <c r="K9" s="122"/>
      <c r="O9" s="5" t="s">
        <v>44</v>
      </c>
      <c r="P9" s="11" t="s">
        <v>60</v>
      </c>
      <c r="R9" s="132"/>
      <c r="S9" s="133"/>
      <c r="T9" s="134"/>
      <c r="V9" s="156"/>
      <c r="W9" s="157"/>
      <c r="X9" s="158"/>
    </row>
    <row r="10" spans="1:24" x14ac:dyDescent="0.25">
      <c r="A10" s="5" t="s">
        <v>57</v>
      </c>
      <c r="B10" s="7">
        <v>6</v>
      </c>
      <c r="C10" s="7" t="s">
        <v>70</v>
      </c>
      <c r="D10" s="7">
        <v>2</v>
      </c>
      <c r="E10" s="14" t="s">
        <v>58</v>
      </c>
      <c r="F10" s="48"/>
      <c r="G10" s="6" t="s">
        <v>60</v>
      </c>
      <c r="H10" s="7">
        <v>0</v>
      </c>
      <c r="I10" s="7" t="s">
        <v>70</v>
      </c>
      <c r="J10" s="7">
        <v>0</v>
      </c>
      <c r="K10" s="11" t="s">
        <v>49</v>
      </c>
      <c r="O10" s="5" t="s">
        <v>45</v>
      </c>
      <c r="P10" s="11" t="s">
        <v>61</v>
      </c>
    </row>
    <row r="11" spans="1:24" x14ac:dyDescent="0.25">
      <c r="A11" s="5" t="s">
        <v>53</v>
      </c>
      <c r="B11" s="7">
        <v>1</v>
      </c>
      <c r="C11" s="7" t="s">
        <v>70</v>
      </c>
      <c r="D11" s="7">
        <v>1</v>
      </c>
      <c r="E11" s="14" t="s">
        <v>71</v>
      </c>
      <c r="F11" s="48"/>
      <c r="G11" s="6" t="s">
        <v>42</v>
      </c>
      <c r="H11" s="7">
        <v>1</v>
      </c>
      <c r="I11" s="7" t="s">
        <v>70</v>
      </c>
      <c r="J11" s="7">
        <v>0</v>
      </c>
      <c r="K11" s="11" t="s">
        <v>45</v>
      </c>
      <c r="O11" s="5" t="s">
        <v>46</v>
      </c>
      <c r="P11" s="11" t="s">
        <v>62</v>
      </c>
      <c r="R11" s="162" t="s">
        <v>213</v>
      </c>
      <c r="S11" s="163"/>
      <c r="T11" s="164"/>
      <c r="V11" s="141" t="s">
        <v>211</v>
      </c>
      <c r="W11" s="142"/>
      <c r="X11" s="143"/>
    </row>
    <row r="12" spans="1:24" ht="15.75" customHeight="1" x14ac:dyDescent="0.25">
      <c r="A12" s="5" t="s">
        <v>71</v>
      </c>
      <c r="B12" s="7">
        <v>0</v>
      </c>
      <c r="C12" s="7" t="s">
        <v>70</v>
      </c>
      <c r="D12" s="7">
        <v>2</v>
      </c>
      <c r="E12" s="14" t="s">
        <v>58</v>
      </c>
      <c r="F12" s="48"/>
      <c r="G12" s="6" t="s">
        <v>42</v>
      </c>
      <c r="H12" s="7">
        <v>0</v>
      </c>
      <c r="I12" s="7" t="s">
        <v>70</v>
      </c>
      <c r="J12" s="7">
        <v>2</v>
      </c>
      <c r="K12" s="11" t="s">
        <v>60</v>
      </c>
      <c r="O12" s="5" t="s">
        <v>246</v>
      </c>
      <c r="P12" s="11" t="s">
        <v>63</v>
      </c>
      <c r="R12" s="129">
        <f>V16*0.3</f>
        <v>54</v>
      </c>
      <c r="S12" s="130"/>
      <c r="T12" s="131"/>
      <c r="V12" s="135">
        <f>V3*V8</f>
        <v>230</v>
      </c>
      <c r="W12" s="136"/>
      <c r="X12" s="137"/>
    </row>
    <row r="13" spans="1:24" ht="15.75" customHeight="1" x14ac:dyDescent="0.25">
      <c r="A13" s="5" t="s">
        <v>57</v>
      </c>
      <c r="B13" s="7">
        <v>0</v>
      </c>
      <c r="C13" s="7" t="s">
        <v>70</v>
      </c>
      <c r="D13" s="7">
        <v>0</v>
      </c>
      <c r="E13" s="14" t="s">
        <v>53</v>
      </c>
      <c r="F13" s="48"/>
      <c r="G13" s="6" t="s">
        <v>49</v>
      </c>
      <c r="H13" s="7"/>
      <c r="I13" s="7" t="s">
        <v>70</v>
      </c>
      <c r="J13" s="7"/>
      <c r="K13" s="11" t="s">
        <v>45</v>
      </c>
      <c r="L13" s="46" t="s">
        <v>269</v>
      </c>
      <c r="O13" s="5" t="s">
        <v>233</v>
      </c>
      <c r="P13" s="11" t="s">
        <v>64</v>
      </c>
      <c r="R13" s="132"/>
      <c r="S13" s="133"/>
      <c r="T13" s="134"/>
      <c r="V13" s="138"/>
      <c r="W13" s="139"/>
      <c r="X13" s="140"/>
    </row>
    <row r="14" spans="1:24" ht="15.75" customHeight="1" x14ac:dyDescent="0.25">
      <c r="A14" s="5" t="s">
        <v>58</v>
      </c>
      <c r="B14" s="7"/>
      <c r="C14" s="7" t="s">
        <v>70</v>
      </c>
      <c r="D14" s="7"/>
      <c r="E14" s="14" t="s">
        <v>53</v>
      </c>
      <c r="F14" s="48" t="s">
        <v>269</v>
      </c>
      <c r="G14" s="6" t="s">
        <v>49</v>
      </c>
      <c r="H14" s="7"/>
      <c r="I14" s="7" t="s">
        <v>70</v>
      </c>
      <c r="J14" s="7"/>
      <c r="K14" s="11" t="s">
        <v>42</v>
      </c>
      <c r="L14" s="46" t="s">
        <v>269</v>
      </c>
      <c r="O14" s="5" t="s">
        <v>49</v>
      </c>
      <c r="P14" s="11" t="s">
        <v>65</v>
      </c>
      <c r="V14" s="28"/>
      <c r="W14" s="28"/>
      <c r="X14" s="28"/>
    </row>
    <row r="15" spans="1:24" x14ac:dyDescent="0.25">
      <c r="A15" s="5" t="s">
        <v>71</v>
      </c>
      <c r="B15" s="7"/>
      <c r="C15" s="7" t="s">
        <v>70</v>
      </c>
      <c r="D15" s="7"/>
      <c r="E15" s="14" t="s">
        <v>57</v>
      </c>
      <c r="F15" s="48" t="s">
        <v>269</v>
      </c>
      <c r="G15" s="6" t="s">
        <v>45</v>
      </c>
      <c r="H15" s="7"/>
      <c r="I15" s="7" t="s">
        <v>70</v>
      </c>
      <c r="J15" s="7"/>
      <c r="K15" s="11" t="s">
        <v>60</v>
      </c>
      <c r="L15" s="46" t="s">
        <v>269</v>
      </c>
      <c r="O15" s="5" t="s">
        <v>50</v>
      </c>
      <c r="P15" s="11" t="s">
        <v>66</v>
      </c>
      <c r="R15" s="159" t="s">
        <v>214</v>
      </c>
      <c r="S15" s="160"/>
      <c r="T15" s="161"/>
      <c r="V15" s="141" t="s">
        <v>215</v>
      </c>
      <c r="W15" s="142"/>
      <c r="X15" s="143"/>
    </row>
    <row r="16" spans="1:24" ht="21" customHeight="1" x14ac:dyDescent="0.25">
      <c r="A16" s="128" t="s">
        <v>9</v>
      </c>
      <c r="B16" s="121"/>
      <c r="C16" s="121"/>
      <c r="D16" s="121"/>
      <c r="E16" s="121"/>
      <c r="F16" s="48"/>
      <c r="G16" s="121" t="s">
        <v>75</v>
      </c>
      <c r="H16" s="121"/>
      <c r="I16" s="121"/>
      <c r="J16" s="121"/>
      <c r="K16" s="122"/>
      <c r="O16" s="5" t="s">
        <v>51</v>
      </c>
      <c r="P16" s="11" t="s">
        <v>67</v>
      </c>
      <c r="R16" s="129">
        <f>V16*0.2</f>
        <v>36</v>
      </c>
      <c r="S16" s="130"/>
      <c r="T16" s="131"/>
      <c r="V16" s="135">
        <f>V12-R3</f>
        <v>180</v>
      </c>
      <c r="W16" s="136"/>
      <c r="X16" s="137"/>
    </row>
    <row r="17" spans="1:24" ht="21" customHeight="1" x14ac:dyDescent="0.25">
      <c r="A17" s="5" t="s">
        <v>40</v>
      </c>
      <c r="B17" s="7">
        <v>1</v>
      </c>
      <c r="C17" s="7" t="s">
        <v>70</v>
      </c>
      <c r="D17" s="7">
        <v>2</v>
      </c>
      <c r="E17" s="14" t="s">
        <v>232</v>
      </c>
      <c r="F17" s="48"/>
      <c r="G17" s="6" t="s">
        <v>67</v>
      </c>
      <c r="H17" s="7">
        <v>1</v>
      </c>
      <c r="I17" s="7" t="s">
        <v>70</v>
      </c>
      <c r="J17" s="7">
        <v>0</v>
      </c>
      <c r="K17" s="11" t="s">
        <v>44</v>
      </c>
      <c r="O17" s="5" t="s">
        <v>52</v>
      </c>
      <c r="P17" s="11" t="s">
        <v>68</v>
      </c>
      <c r="R17" s="132"/>
      <c r="S17" s="133"/>
      <c r="T17" s="134"/>
      <c r="V17" s="138"/>
      <c r="W17" s="139"/>
      <c r="X17" s="140"/>
    </row>
    <row r="18" spans="1:24" ht="16.5" thickBot="1" x14ac:dyDescent="0.3">
      <c r="A18" s="5" t="s">
        <v>61</v>
      </c>
      <c r="B18" s="7">
        <v>0</v>
      </c>
      <c r="C18" s="7" t="s">
        <v>70</v>
      </c>
      <c r="D18" s="7">
        <v>0</v>
      </c>
      <c r="E18" s="14" t="s">
        <v>63</v>
      </c>
      <c r="F18" s="48"/>
      <c r="G18" s="6" t="s">
        <v>43</v>
      </c>
      <c r="H18" s="7">
        <v>2</v>
      </c>
      <c r="I18" s="7" t="s">
        <v>70</v>
      </c>
      <c r="J18" s="7">
        <v>0</v>
      </c>
      <c r="K18" s="11" t="s">
        <v>66</v>
      </c>
      <c r="O18" s="8" t="s">
        <v>53</v>
      </c>
      <c r="P18" s="13" t="s">
        <v>69</v>
      </c>
    </row>
    <row r="19" spans="1:24" ht="16.5" thickTop="1" x14ac:dyDescent="0.25">
      <c r="A19" s="5" t="s">
        <v>63</v>
      </c>
      <c r="B19" s="7">
        <v>2</v>
      </c>
      <c r="C19" s="7" t="s">
        <v>70</v>
      </c>
      <c r="D19" s="7">
        <v>0</v>
      </c>
      <c r="E19" s="14" t="s">
        <v>232</v>
      </c>
      <c r="F19" s="48"/>
      <c r="G19" s="6" t="s">
        <v>44</v>
      </c>
      <c r="H19" s="7"/>
      <c r="I19" s="7" t="s">
        <v>70</v>
      </c>
      <c r="J19" s="7"/>
      <c r="K19" s="11" t="s">
        <v>66</v>
      </c>
      <c r="L19" s="46" t="s">
        <v>269</v>
      </c>
    </row>
    <row r="20" spans="1:24" x14ac:dyDescent="0.25">
      <c r="A20" s="5" t="s">
        <v>40</v>
      </c>
      <c r="B20" s="7">
        <v>2</v>
      </c>
      <c r="C20" s="7" t="s">
        <v>70</v>
      </c>
      <c r="D20" s="7">
        <v>0</v>
      </c>
      <c r="E20" s="14" t="s">
        <v>61</v>
      </c>
      <c r="F20" s="48">
        <v>0</v>
      </c>
      <c r="G20" s="6" t="s">
        <v>43</v>
      </c>
      <c r="H20" s="7"/>
      <c r="I20" s="7" t="s">
        <v>70</v>
      </c>
      <c r="J20" s="7"/>
      <c r="K20" s="11" t="s">
        <v>67</v>
      </c>
      <c r="L20" s="46" t="s">
        <v>269</v>
      </c>
    </row>
    <row r="21" spans="1:24" x14ac:dyDescent="0.25">
      <c r="A21" s="5" t="s">
        <v>63</v>
      </c>
      <c r="B21" s="7"/>
      <c r="C21" s="7" t="s">
        <v>70</v>
      </c>
      <c r="D21" s="7"/>
      <c r="E21" s="14" t="s">
        <v>40</v>
      </c>
      <c r="F21" s="48" t="s">
        <v>269</v>
      </c>
      <c r="G21" s="6" t="s">
        <v>44</v>
      </c>
      <c r="H21" s="7"/>
      <c r="I21" s="7" t="s">
        <v>70</v>
      </c>
      <c r="J21" s="7"/>
      <c r="K21" s="11" t="s">
        <v>43</v>
      </c>
      <c r="L21" s="46" t="s">
        <v>269</v>
      </c>
    </row>
    <row r="22" spans="1:24" x14ac:dyDescent="0.25">
      <c r="A22" s="5" t="s">
        <v>232</v>
      </c>
      <c r="B22" s="7"/>
      <c r="C22" s="7" t="s">
        <v>70</v>
      </c>
      <c r="D22" s="7"/>
      <c r="E22" s="14" t="s">
        <v>61</v>
      </c>
      <c r="F22" s="48" t="s">
        <v>269</v>
      </c>
      <c r="G22" s="6" t="s">
        <v>66</v>
      </c>
      <c r="H22" s="7"/>
      <c r="I22" s="7" t="s">
        <v>70</v>
      </c>
      <c r="J22" s="7"/>
      <c r="K22" s="11" t="s">
        <v>67</v>
      </c>
      <c r="L22" s="46" t="s">
        <v>269</v>
      </c>
    </row>
    <row r="23" spans="1:24" x14ac:dyDescent="0.25">
      <c r="A23" s="128" t="s">
        <v>13</v>
      </c>
      <c r="B23" s="121"/>
      <c r="C23" s="121"/>
      <c r="D23" s="121"/>
      <c r="E23" s="121"/>
      <c r="F23" s="48"/>
      <c r="G23" s="121" t="s">
        <v>76</v>
      </c>
      <c r="H23" s="121"/>
      <c r="I23" s="121"/>
      <c r="J23" s="121"/>
      <c r="K23" s="122"/>
    </row>
    <row r="24" spans="1:24" x14ac:dyDescent="0.25">
      <c r="A24" s="5" t="s">
        <v>50</v>
      </c>
      <c r="B24" s="7">
        <v>0</v>
      </c>
      <c r="C24" s="7" t="s">
        <v>70</v>
      </c>
      <c r="D24" s="7">
        <v>0</v>
      </c>
      <c r="E24" s="14" t="s">
        <v>68</v>
      </c>
      <c r="F24" s="48"/>
      <c r="G24" s="6" t="s">
        <v>69</v>
      </c>
      <c r="H24" s="7">
        <v>0</v>
      </c>
      <c r="I24" s="7" t="s">
        <v>70</v>
      </c>
      <c r="J24" s="7">
        <v>0</v>
      </c>
      <c r="K24" s="11" t="s">
        <v>246</v>
      </c>
    </row>
    <row r="25" spans="1:24" x14ac:dyDescent="0.25">
      <c r="A25" s="5" t="s">
        <v>54</v>
      </c>
      <c r="B25" s="7">
        <v>4</v>
      </c>
      <c r="C25" s="7" t="s">
        <v>70</v>
      </c>
      <c r="D25" s="7">
        <v>1</v>
      </c>
      <c r="E25" s="14" t="s">
        <v>41</v>
      </c>
      <c r="F25" s="48"/>
      <c r="G25" s="6" t="s">
        <v>64</v>
      </c>
      <c r="H25" s="7">
        <v>3</v>
      </c>
      <c r="I25" s="7" t="s">
        <v>70</v>
      </c>
      <c r="J25" s="7">
        <v>2</v>
      </c>
      <c r="K25" s="11" t="s">
        <v>55</v>
      </c>
    </row>
    <row r="26" spans="1:24" x14ac:dyDescent="0.25">
      <c r="A26" s="5" t="s">
        <v>68</v>
      </c>
      <c r="B26" s="7">
        <v>0</v>
      </c>
      <c r="C26" s="7" t="s">
        <v>70</v>
      </c>
      <c r="D26" s="7">
        <v>1</v>
      </c>
      <c r="E26" s="14" t="s">
        <v>41</v>
      </c>
      <c r="F26" s="48"/>
      <c r="G26" s="6" t="s">
        <v>246</v>
      </c>
      <c r="H26" s="7"/>
      <c r="I26" s="7" t="s">
        <v>70</v>
      </c>
      <c r="J26" s="7"/>
      <c r="K26" s="11" t="s">
        <v>55</v>
      </c>
      <c r="L26" s="46" t="s">
        <v>269</v>
      </c>
    </row>
    <row r="27" spans="1:24" x14ac:dyDescent="0.25">
      <c r="A27" s="5" t="s">
        <v>54</v>
      </c>
      <c r="B27" s="7">
        <v>2</v>
      </c>
      <c r="C27" s="7" t="s">
        <v>70</v>
      </c>
      <c r="D27" s="7">
        <v>1</v>
      </c>
      <c r="E27" s="14" t="s">
        <v>50</v>
      </c>
      <c r="F27" s="48"/>
      <c r="G27" s="6" t="s">
        <v>64</v>
      </c>
      <c r="H27" s="7"/>
      <c r="I27" s="7" t="s">
        <v>70</v>
      </c>
      <c r="J27" s="7"/>
      <c r="K27" s="11" t="s">
        <v>69</v>
      </c>
      <c r="L27" s="46" t="s">
        <v>269</v>
      </c>
    </row>
    <row r="28" spans="1:24" x14ac:dyDescent="0.25">
      <c r="A28" s="5" t="s">
        <v>68</v>
      </c>
      <c r="B28" s="7"/>
      <c r="C28" s="7" t="s">
        <v>70</v>
      </c>
      <c r="D28" s="7"/>
      <c r="E28" s="14" t="s">
        <v>54</v>
      </c>
      <c r="F28" s="48" t="s">
        <v>269</v>
      </c>
      <c r="G28" s="6" t="s">
        <v>246</v>
      </c>
      <c r="H28" s="7"/>
      <c r="I28" s="7" t="s">
        <v>70</v>
      </c>
      <c r="J28" s="7"/>
      <c r="K28" s="11" t="s">
        <v>64</v>
      </c>
      <c r="L28" s="46" t="s">
        <v>269</v>
      </c>
    </row>
    <row r="29" spans="1:24" ht="16.5" thickBot="1" x14ac:dyDescent="0.3">
      <c r="A29" s="8" t="s">
        <v>41</v>
      </c>
      <c r="B29" s="10"/>
      <c r="C29" s="10" t="s">
        <v>70</v>
      </c>
      <c r="D29" s="10"/>
      <c r="E29" s="15" t="s">
        <v>50</v>
      </c>
      <c r="F29" s="49" t="s">
        <v>269</v>
      </c>
      <c r="G29" s="9" t="s">
        <v>55</v>
      </c>
      <c r="H29" s="10"/>
      <c r="I29" s="10" t="s">
        <v>70</v>
      </c>
      <c r="J29" s="10"/>
      <c r="K29" s="13" t="s">
        <v>69</v>
      </c>
      <c r="L29" s="46" t="s">
        <v>269</v>
      </c>
    </row>
    <row r="30" spans="1:24" ht="16.5" thickTop="1" x14ac:dyDescent="0.25"/>
  </sheetData>
  <mergeCells count="26">
    <mergeCell ref="R16:T17"/>
    <mergeCell ref="V16:X17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G23:K23"/>
    <mergeCell ref="A1:K1"/>
    <mergeCell ref="O2:P2"/>
    <mergeCell ref="A2:E2"/>
    <mergeCell ref="A9:E9"/>
    <mergeCell ref="A16:E16"/>
    <mergeCell ref="A23:E23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65"/>
  <sheetViews>
    <sheetView topLeftCell="A4" zoomScale="90" zoomScaleNormal="90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84" width="4.7109375" style="36" customWidth="1"/>
    <col min="85" max="16384" width="9.140625" style="36"/>
  </cols>
  <sheetData>
    <row r="1" spans="1:56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56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293</v>
      </c>
      <c r="X2" s="170"/>
      <c r="Y2" s="170"/>
      <c r="Z2" s="170"/>
      <c r="AA2" s="170"/>
      <c r="AB2" s="170"/>
      <c r="AC2" s="170"/>
      <c r="AD2" s="170"/>
      <c r="AE2" s="170"/>
    </row>
    <row r="3" spans="1:56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56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56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56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56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56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56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56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J10" s="36" t="s">
        <v>269</v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56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240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56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56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56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  <c r="BD14" s="36">
        <v>5</v>
      </c>
    </row>
    <row r="15" spans="1:56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56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67">
        <v>3</v>
      </c>
      <c r="R25" s="67">
        <v>6</v>
      </c>
      <c r="S25" s="67">
        <v>7</v>
      </c>
      <c r="T25" s="67">
        <v>1</v>
      </c>
      <c r="U25" s="67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S27" s="45"/>
      <c r="T27" s="45"/>
      <c r="U27" s="45"/>
      <c r="V27" s="45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4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3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234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234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234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8" t="s">
        <v>89</v>
      </c>
    </row>
    <row r="60" spans="1:15" x14ac:dyDescent="0.25">
      <c r="A60" s="37" t="s">
        <v>144</v>
      </c>
    </row>
    <row r="61" spans="1:15" x14ac:dyDescent="0.25">
      <c r="A61" s="37" t="s">
        <v>145</v>
      </c>
    </row>
    <row r="63" spans="1:15" x14ac:dyDescent="0.25">
      <c r="A63" s="38" t="s">
        <v>88</v>
      </c>
    </row>
    <row r="64" spans="1:15" x14ac:dyDescent="0.25">
      <c r="A64" s="37" t="s">
        <v>142</v>
      </c>
    </row>
    <row r="65" spans="1:1" x14ac:dyDescent="0.25">
      <c r="A65" s="37" t="s">
        <v>143</v>
      </c>
    </row>
  </sheetData>
  <mergeCells count="62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9:AE9"/>
    <mergeCell ref="W10:Y10"/>
    <mergeCell ref="A1:E1"/>
    <mergeCell ref="K1:O1"/>
    <mergeCell ref="A8:E8"/>
    <mergeCell ref="A15:E15"/>
    <mergeCell ref="K8:O8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6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270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6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56</v>
      </c>
      <c r="X10" s="120"/>
      <c r="Y10" s="120"/>
      <c r="Z10" s="82">
        <v>1</v>
      </c>
      <c r="AB10" s="82">
        <v>1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6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5</v>
      </c>
      <c r="S25" s="45">
        <v>9</v>
      </c>
      <c r="T25" s="45">
        <v>5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6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37" t="s">
        <v>146</v>
      </c>
    </row>
    <row r="60" spans="1:15" x14ac:dyDescent="0.25">
      <c r="A60" s="37" t="s">
        <v>145</v>
      </c>
    </row>
    <row r="62" spans="1:15" x14ac:dyDescent="0.25">
      <c r="A62" s="38" t="s">
        <v>88</v>
      </c>
    </row>
    <row r="63" spans="1:15" x14ac:dyDescent="0.25">
      <c r="A63" s="37" t="s">
        <v>147</v>
      </c>
    </row>
    <row r="64" spans="1:15" x14ac:dyDescent="0.25">
      <c r="A64" s="37" t="s">
        <v>148</v>
      </c>
    </row>
  </sheetData>
  <mergeCells count="62"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1:Y11"/>
    <mergeCell ref="AC11:AE11"/>
    <mergeCell ref="A50:E50"/>
    <mergeCell ref="K36:O36"/>
    <mergeCell ref="K43:O43"/>
    <mergeCell ref="K50:O50"/>
    <mergeCell ref="K29:O29"/>
    <mergeCell ref="A29:E29"/>
    <mergeCell ref="A36:E36"/>
    <mergeCell ref="A43:E43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4" width="5.7109375" style="36" customWidth="1"/>
    <col min="55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0</v>
      </c>
      <c r="C2" s="35" t="s">
        <v>230</v>
      </c>
      <c r="D2" s="35">
        <v>2</v>
      </c>
      <c r="E2" s="39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294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315</v>
      </c>
      <c r="R11" s="171"/>
      <c r="S11" s="171"/>
      <c r="T11" s="171"/>
      <c r="U11" s="171"/>
      <c r="W11" s="120" t="s">
        <v>65</v>
      </c>
      <c r="X11" s="120"/>
      <c r="Y11" s="120"/>
      <c r="Z11" s="82">
        <v>0</v>
      </c>
      <c r="AB11" s="82">
        <v>2</v>
      </c>
      <c r="AC11" s="120" t="s">
        <v>56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56</v>
      </c>
      <c r="X12" s="120"/>
      <c r="Y12" s="120"/>
      <c r="Z12" s="82">
        <v>1</v>
      </c>
      <c r="AB12" s="82">
        <v>1</v>
      </c>
      <c r="AC12" s="120" t="s">
        <v>51</v>
      </c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63</v>
      </c>
      <c r="X13" s="120"/>
      <c r="Y13" s="120"/>
      <c r="Z13" s="82">
        <v>2</v>
      </c>
      <c r="AB13" s="82">
        <v>0</v>
      </c>
      <c r="AC13" s="120" t="s">
        <v>232</v>
      </c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68</v>
      </c>
      <c r="X14" s="120"/>
      <c r="Y14" s="120"/>
      <c r="Z14" s="82">
        <v>0</v>
      </c>
      <c r="AB14" s="82">
        <v>1</v>
      </c>
      <c r="AC14" s="120" t="s">
        <v>41</v>
      </c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 t="s">
        <v>59</v>
      </c>
      <c r="X15" s="120"/>
      <c r="Y15" s="120"/>
      <c r="Z15" s="82">
        <v>0</v>
      </c>
      <c r="AB15" s="82">
        <v>1</v>
      </c>
      <c r="AC15" s="120" t="s">
        <v>233</v>
      </c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 t="s">
        <v>67</v>
      </c>
      <c r="X16" s="120"/>
      <c r="Y16" s="120"/>
      <c r="Z16" s="82">
        <v>1</v>
      </c>
      <c r="AB16" s="82">
        <v>0</v>
      </c>
      <c r="AC16" s="120" t="s">
        <v>44</v>
      </c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 t="s">
        <v>43</v>
      </c>
      <c r="X17" s="120"/>
      <c r="Y17" s="120"/>
      <c r="Z17" s="82">
        <v>2</v>
      </c>
      <c r="AB17" s="82">
        <v>0</v>
      </c>
      <c r="AC17" s="120" t="s">
        <v>66</v>
      </c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8</v>
      </c>
      <c r="R25" s="45">
        <v>3</v>
      </c>
      <c r="S25" s="45">
        <v>5</v>
      </c>
      <c r="T25" s="45">
        <v>4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2</v>
      </c>
      <c r="E26" s="39" t="s">
        <v>50</v>
      </c>
      <c r="H26" s="35">
        <v>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3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154</v>
      </c>
    </row>
    <row r="61" spans="1:15" x14ac:dyDescent="0.25">
      <c r="A61" s="36" t="s">
        <v>155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152</v>
      </c>
    </row>
    <row r="65" spans="1:1" x14ac:dyDescent="0.25">
      <c r="A65" s="36" t="s">
        <v>153</v>
      </c>
    </row>
  </sheetData>
  <mergeCells count="62"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A22:E22"/>
    <mergeCell ref="A29:E29"/>
    <mergeCell ref="K1:O1"/>
    <mergeCell ref="K8:O8"/>
    <mergeCell ref="Q9:U10"/>
    <mergeCell ref="Q11:U15"/>
    <mergeCell ref="K50:O50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56" width="5.7109375" style="36" customWidth="1"/>
    <col min="5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272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1</v>
      </c>
      <c r="C3" s="35" t="s">
        <v>230</v>
      </c>
      <c r="D3" s="35">
        <v>0</v>
      </c>
      <c r="E3" s="36" t="s">
        <v>56</v>
      </c>
      <c r="H3" s="35">
        <v>0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185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1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0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2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3</v>
      </c>
      <c r="S25" s="45">
        <v>5</v>
      </c>
      <c r="T25" s="45">
        <v>3</v>
      </c>
      <c r="U25" s="45">
        <v>11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0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0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1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1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2</v>
      </c>
      <c r="C44" s="35" t="s">
        <v>230</v>
      </c>
      <c r="D44" s="35">
        <v>1</v>
      </c>
      <c r="E44" s="36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0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203</v>
      </c>
    </row>
    <row r="64" spans="1:15" x14ac:dyDescent="0.25">
      <c r="A64" s="36" t="s">
        <v>217</v>
      </c>
    </row>
  </sheetData>
  <mergeCells count="63"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K43:O43"/>
    <mergeCell ref="K50:O50"/>
    <mergeCell ref="A22:E22"/>
    <mergeCell ref="A29:E29"/>
    <mergeCell ref="A36:E36"/>
    <mergeCell ref="A43:E43"/>
    <mergeCell ref="A50:E50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273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2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4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2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73" t="s">
        <v>243</v>
      </c>
      <c r="B8" s="173"/>
      <c r="C8" s="173"/>
      <c r="D8" s="173"/>
      <c r="E8" s="173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1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1</v>
      </c>
      <c r="E10" s="36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0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1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73" t="s">
        <v>242</v>
      </c>
      <c r="B15" s="173"/>
      <c r="C15" s="173"/>
      <c r="D15" s="173"/>
      <c r="E15" s="173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4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1</v>
      </c>
      <c r="E19" s="36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73" t="s">
        <v>241</v>
      </c>
      <c r="B22" s="173"/>
      <c r="C22" s="173"/>
      <c r="D22" s="173"/>
      <c r="E22" s="173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7</v>
      </c>
      <c r="T25" s="45">
        <v>7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3</v>
      </c>
      <c r="C26" s="35" t="s">
        <v>230</v>
      </c>
      <c r="D26" s="35">
        <v>2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73" t="s">
        <v>240</v>
      </c>
      <c r="B29" s="173"/>
      <c r="C29" s="173"/>
      <c r="D29" s="173"/>
      <c r="E29" s="173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73" t="s">
        <v>239</v>
      </c>
      <c r="B36" s="173"/>
      <c r="C36" s="173"/>
      <c r="D36" s="173"/>
      <c r="E36" s="173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0</v>
      </c>
      <c r="C37" s="35" t="s">
        <v>230</v>
      </c>
      <c r="D37" s="35">
        <v>2</v>
      </c>
      <c r="E37" s="36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73" t="s">
        <v>238</v>
      </c>
      <c r="B43" s="173"/>
      <c r="C43" s="173"/>
      <c r="D43" s="173"/>
      <c r="E43" s="173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1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2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73" t="s">
        <v>237</v>
      </c>
      <c r="B50" s="173"/>
      <c r="C50" s="173"/>
      <c r="D50" s="173"/>
      <c r="E50" s="173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3</v>
      </c>
      <c r="C52" s="35" t="s">
        <v>230</v>
      </c>
      <c r="D52" s="35">
        <v>1</v>
      </c>
      <c r="E52" s="36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1</v>
      </c>
      <c r="C53" s="35" t="s">
        <v>230</v>
      </c>
      <c r="D53" s="35">
        <v>1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3</v>
      </c>
      <c r="C54" s="35" t="s">
        <v>230</v>
      </c>
      <c r="D54" s="35">
        <v>3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149</v>
      </c>
    </row>
    <row r="62" spans="1:15" x14ac:dyDescent="0.25">
      <c r="A62" s="41" t="s">
        <v>88</v>
      </c>
    </row>
    <row r="63" spans="1:15" x14ac:dyDescent="0.25">
      <c r="A63" s="36" t="s">
        <v>207</v>
      </c>
    </row>
    <row r="64" spans="1:15" x14ac:dyDescent="0.25">
      <c r="A64" s="36" t="s">
        <v>151</v>
      </c>
    </row>
  </sheetData>
  <mergeCells count="63">
    <mergeCell ref="W2:AE6"/>
    <mergeCell ref="A1:E1"/>
    <mergeCell ref="A2:E2"/>
    <mergeCell ref="K1:O1"/>
    <mergeCell ref="K8:O8"/>
    <mergeCell ref="Q9:U10"/>
    <mergeCell ref="Q11:U15"/>
    <mergeCell ref="K15:O15"/>
    <mergeCell ref="K22:O22"/>
    <mergeCell ref="K29:O29"/>
    <mergeCell ref="K36:O36"/>
    <mergeCell ref="K43:O43"/>
    <mergeCell ref="K50:O50"/>
    <mergeCell ref="A8:E8"/>
    <mergeCell ref="A15:E15"/>
    <mergeCell ref="A22:E22"/>
    <mergeCell ref="A50:E50"/>
    <mergeCell ref="A43:E43"/>
    <mergeCell ref="A36:E36"/>
    <mergeCell ref="A29:E29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1</v>
      </c>
      <c r="C2" s="35" t="s">
        <v>230</v>
      </c>
      <c r="D2" s="35">
        <v>2</v>
      </c>
      <c r="E2" s="36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275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0</v>
      </c>
      <c r="C3" s="35" t="s">
        <v>230</v>
      </c>
      <c r="D3" s="35">
        <v>2</v>
      </c>
      <c r="E3" s="36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1</v>
      </c>
      <c r="C4" s="35" t="s">
        <v>230</v>
      </c>
      <c r="D4" s="35">
        <v>0</v>
      </c>
      <c r="E4" s="36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2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6" t="s">
        <v>71</v>
      </c>
      <c r="B11" s="35">
        <v>0</v>
      </c>
      <c r="C11" s="35" t="s">
        <v>230</v>
      </c>
      <c r="D11" s="35">
        <v>0</v>
      </c>
      <c r="E11" s="36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220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42</v>
      </c>
      <c r="X12" s="120"/>
      <c r="Y12" s="120"/>
      <c r="Z12" s="82">
        <v>1</v>
      </c>
      <c r="AB12" s="82">
        <v>0</v>
      </c>
      <c r="AC12" s="120" t="s">
        <v>45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1</v>
      </c>
      <c r="E18" s="36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4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2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3</v>
      </c>
      <c r="S25" s="45">
        <v>3</v>
      </c>
      <c r="T25" s="45">
        <v>9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0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1</v>
      </c>
      <c r="E32" s="36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0</v>
      </c>
      <c r="C33" s="35" t="s">
        <v>230</v>
      </c>
      <c r="D33" s="35">
        <v>0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0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3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1</v>
      </c>
      <c r="C38" s="35" t="s">
        <v>230</v>
      </c>
      <c r="D38" s="35">
        <v>0</v>
      </c>
      <c r="E38" s="36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1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1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2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3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2</v>
      </c>
      <c r="C47" s="35" t="s">
        <v>230</v>
      </c>
      <c r="D47" s="35">
        <v>1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2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1</v>
      </c>
      <c r="C56" s="35" t="s">
        <v>230</v>
      </c>
      <c r="D56" s="35">
        <v>3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156</v>
      </c>
    </row>
    <row r="64" spans="1:15" x14ac:dyDescent="0.25">
      <c r="A64" s="36" t="s">
        <v>157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61" width="5.7109375" style="36" customWidth="1"/>
    <col min="6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1</v>
      </c>
      <c r="C2" s="35" t="s">
        <v>230</v>
      </c>
      <c r="D2" s="35">
        <v>0</v>
      </c>
      <c r="E2" s="36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276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2</v>
      </c>
      <c r="C4" s="35" t="s">
        <v>230</v>
      </c>
      <c r="D4" s="35">
        <v>0</v>
      </c>
      <c r="E4" s="36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3</v>
      </c>
      <c r="C5" s="35" t="s">
        <v>230</v>
      </c>
      <c r="D5" s="35">
        <v>1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3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57</v>
      </c>
      <c r="X10" s="120"/>
      <c r="Y10" s="120"/>
      <c r="Z10" s="82">
        <v>0</v>
      </c>
      <c r="AB10" s="82">
        <v>0</v>
      </c>
      <c r="AC10" s="120" t="s">
        <v>53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 t="s">
        <v>50</v>
      </c>
      <c r="X11" s="120"/>
      <c r="Y11" s="120"/>
      <c r="Z11" s="82">
        <v>0</v>
      </c>
      <c r="AB11" s="82">
        <v>0</v>
      </c>
      <c r="AC11" s="120" t="s">
        <v>68</v>
      </c>
      <c r="AD11" s="120"/>
      <c r="AE11" s="120"/>
    </row>
    <row r="12" spans="1:31" x14ac:dyDescent="0.25">
      <c r="A12" s="36" t="s">
        <v>57</v>
      </c>
      <c r="B12" s="35">
        <v>0</v>
      </c>
      <c r="C12" s="35" t="s">
        <v>230</v>
      </c>
      <c r="D12" s="35">
        <v>0</v>
      </c>
      <c r="E12" s="36" t="s">
        <v>231</v>
      </c>
      <c r="H12" s="35">
        <v>25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6" t="s">
        <v>58</v>
      </c>
      <c r="B13" s="35">
        <v>0</v>
      </c>
      <c r="C13" s="35" t="s">
        <v>230</v>
      </c>
      <c r="D13" s="35">
        <v>1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6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0</v>
      </c>
      <c r="E17" s="36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1</v>
      </c>
      <c r="C18" s="35" t="s">
        <v>230</v>
      </c>
      <c r="D18" s="35">
        <v>0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1</v>
      </c>
      <c r="C19" s="35" t="s">
        <v>230</v>
      </c>
      <c r="D19" s="35">
        <v>0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0</v>
      </c>
      <c r="C23" s="35" t="s">
        <v>230</v>
      </c>
      <c r="D23" s="35">
        <v>0</v>
      </c>
      <c r="E23" s="36" t="s">
        <v>68</v>
      </c>
      <c r="H23" s="35">
        <v>25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1</v>
      </c>
      <c r="C24" s="35" t="s">
        <v>230</v>
      </c>
      <c r="D24" s="35">
        <v>0</v>
      </c>
      <c r="E24" s="36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4</v>
      </c>
      <c r="U25" s="45">
        <v>9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1</v>
      </c>
      <c r="C26" s="35" t="s">
        <v>230</v>
      </c>
      <c r="D26" s="35">
        <v>0</v>
      </c>
      <c r="E26" s="36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4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1</v>
      </c>
      <c r="C33" s="35" t="s">
        <v>230</v>
      </c>
      <c r="D33" s="35">
        <v>2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3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1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3</v>
      </c>
      <c r="C39" s="35" t="s">
        <v>230</v>
      </c>
      <c r="D39" s="35">
        <v>0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0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0</v>
      </c>
      <c r="C44" s="35" t="s">
        <v>230</v>
      </c>
      <c r="D44" s="35">
        <v>0</v>
      </c>
      <c r="E44" s="36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1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2</v>
      </c>
      <c r="C46" s="35" t="s">
        <v>230</v>
      </c>
      <c r="D46" s="35">
        <v>0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0</v>
      </c>
      <c r="C48" s="35" t="s">
        <v>230</v>
      </c>
      <c r="D48" s="35">
        <v>1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0</v>
      </c>
      <c r="C49" s="35" t="s">
        <v>230</v>
      </c>
      <c r="D49" s="35">
        <v>0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1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2</v>
      </c>
      <c r="C53" s="35" t="s">
        <v>230</v>
      </c>
      <c r="D53" s="35">
        <v>0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0</v>
      </c>
      <c r="C54" s="35" t="s">
        <v>230</v>
      </c>
      <c r="D54" s="35">
        <v>0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1</v>
      </c>
      <c r="C55" s="35" t="s">
        <v>230</v>
      </c>
      <c r="D55" s="35">
        <v>3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0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159</v>
      </c>
    </row>
    <row r="62" spans="1:15" x14ac:dyDescent="0.25">
      <c r="A62" s="41" t="s">
        <v>88</v>
      </c>
    </row>
    <row r="63" spans="1:15" x14ac:dyDescent="0.25">
      <c r="A63" s="41"/>
    </row>
    <row r="64" spans="1:15" x14ac:dyDescent="0.25">
      <c r="A64" s="36" t="s">
        <v>160</v>
      </c>
    </row>
    <row r="65" spans="1:1" x14ac:dyDescent="0.25">
      <c r="A65" s="36" t="s">
        <v>161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653DC-FDF8-412D-AA4D-E0F986823B68}">
  <sheetPr codeName="Planilha29">
    <tabColor rgb="FF00B050"/>
  </sheetPr>
  <dimension ref="A1:AC64"/>
  <sheetViews>
    <sheetView workbookViewId="0">
      <selection activeCell="H6" sqref="H6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9" width="5.7109375" style="36" customWidth="1"/>
    <col min="30" max="16384" width="9.140625" style="40"/>
  </cols>
  <sheetData>
    <row r="1" spans="1:21" x14ac:dyDescent="0.25">
      <c r="A1" s="168" t="s">
        <v>236</v>
      </c>
      <c r="B1" s="168"/>
      <c r="C1" s="168"/>
      <c r="D1" s="168"/>
      <c r="E1" s="168"/>
      <c r="H1" s="35" t="s">
        <v>235</v>
      </c>
      <c r="K1" s="169" t="s">
        <v>236</v>
      </c>
      <c r="L1" s="169"/>
      <c r="M1" s="169"/>
      <c r="N1" s="169"/>
      <c r="O1" s="169"/>
    </row>
    <row r="2" spans="1:2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</row>
    <row r="3" spans="1:2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</row>
    <row r="4" spans="1:2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</row>
    <row r="5" spans="1:2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</row>
    <row r="6" spans="1:2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</row>
    <row r="7" spans="1:2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2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2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</row>
    <row r="10" spans="1:2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</row>
    <row r="11" spans="1:2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 t="s">
        <v>274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55</v>
      </c>
      <c r="R11" s="171"/>
      <c r="S11" s="171"/>
      <c r="T11" s="171"/>
      <c r="U11" s="171"/>
    </row>
    <row r="12" spans="1:2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</row>
    <row r="13" spans="1:2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</row>
    <row r="14" spans="1:2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</row>
    <row r="15" spans="1:2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</row>
    <row r="16" spans="1:2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</row>
    <row r="17" spans="1:15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</row>
    <row r="18" spans="1:15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</row>
    <row r="19" spans="1:15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</row>
    <row r="20" spans="1:15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</row>
    <row r="21" spans="1:15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</row>
    <row r="22" spans="1:15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</row>
    <row r="23" spans="1:15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</row>
    <row r="24" spans="1:15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</row>
    <row r="25" spans="1:15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</row>
    <row r="26" spans="1:15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</row>
    <row r="27" spans="1:15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</row>
    <row r="28" spans="1:15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</row>
    <row r="29" spans="1:15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</row>
    <row r="30" spans="1:15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</row>
    <row r="31" spans="1:15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15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18">
    <mergeCell ref="Q9:U10"/>
    <mergeCell ref="Q11:U15"/>
    <mergeCell ref="K15:O15"/>
    <mergeCell ref="K36:O36"/>
    <mergeCell ref="K43:O43"/>
    <mergeCell ref="K22:O22"/>
    <mergeCell ref="K29:O29"/>
    <mergeCell ref="A22:E22"/>
    <mergeCell ref="A29:E29"/>
    <mergeCell ref="K50:O50"/>
    <mergeCell ref="A36:E36"/>
    <mergeCell ref="A43:E43"/>
    <mergeCell ref="A50:E50"/>
    <mergeCell ref="K1:O1"/>
    <mergeCell ref="K8:O8"/>
    <mergeCell ref="A1:E1"/>
    <mergeCell ref="A8:E8"/>
    <mergeCell ref="A15:E15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40" customWidth="1"/>
    <col min="2" max="4" width="5.7109375" style="35" customWidth="1"/>
    <col min="5" max="5" width="17.7109375" style="40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40" customWidth="1"/>
    <col min="47" max="16384" width="9.140625" style="40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40" t="s">
        <v>46</v>
      </c>
      <c r="B2" s="35">
        <v>1</v>
      </c>
      <c r="C2" s="35" t="s">
        <v>230</v>
      </c>
      <c r="D2" s="35">
        <v>0</v>
      </c>
      <c r="E2" s="40" t="s">
        <v>51</v>
      </c>
      <c r="H2" s="35">
        <v>0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277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40" t="s">
        <v>65</v>
      </c>
      <c r="B3" s="35">
        <v>0</v>
      </c>
      <c r="C3" s="35" t="s">
        <v>230</v>
      </c>
      <c r="D3" s="35">
        <v>0</v>
      </c>
      <c r="E3" s="40" t="s">
        <v>56</v>
      </c>
      <c r="H3" s="35">
        <v>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40" t="s">
        <v>46</v>
      </c>
      <c r="B4" s="35">
        <v>0</v>
      </c>
      <c r="C4" s="35" t="s">
        <v>230</v>
      </c>
      <c r="D4" s="35">
        <v>0</v>
      </c>
      <c r="E4" s="40" t="s">
        <v>65</v>
      </c>
      <c r="H4" s="35">
        <v>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40" t="s">
        <v>56</v>
      </c>
      <c r="B5" s="35">
        <v>0</v>
      </c>
      <c r="C5" s="35" t="s">
        <v>230</v>
      </c>
      <c r="D5" s="35">
        <v>1</v>
      </c>
      <c r="E5" s="40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40" t="s">
        <v>56</v>
      </c>
      <c r="B6" s="35">
        <v>1</v>
      </c>
      <c r="C6" s="35" t="s">
        <v>230</v>
      </c>
      <c r="D6" s="35">
        <v>0</v>
      </c>
      <c r="E6" s="40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40" t="s">
        <v>51</v>
      </c>
      <c r="B7" s="35">
        <v>2</v>
      </c>
      <c r="C7" s="35" t="s">
        <v>230</v>
      </c>
      <c r="D7" s="35">
        <v>0</v>
      </c>
      <c r="E7" s="40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40" t="s">
        <v>57</v>
      </c>
      <c r="B9" s="35">
        <v>2</v>
      </c>
      <c r="C9" s="35" t="s">
        <v>230</v>
      </c>
      <c r="D9" s="35">
        <v>0</v>
      </c>
      <c r="E9" s="40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40" t="s">
        <v>231</v>
      </c>
      <c r="B10" s="35">
        <v>1</v>
      </c>
      <c r="C10" s="35" t="s">
        <v>230</v>
      </c>
      <c r="D10" s="35">
        <v>0</v>
      </c>
      <c r="E10" s="40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63</v>
      </c>
      <c r="X10" s="120"/>
      <c r="Y10" s="120"/>
      <c r="Z10" s="82">
        <v>2</v>
      </c>
      <c r="AB10" s="82">
        <v>0</v>
      </c>
      <c r="AC10" s="120" t="s">
        <v>232</v>
      </c>
      <c r="AD10" s="120"/>
      <c r="AE10" s="120"/>
    </row>
    <row r="11" spans="1:31" x14ac:dyDescent="0.25">
      <c r="A11" s="40" t="s">
        <v>71</v>
      </c>
      <c r="B11" s="35">
        <v>1</v>
      </c>
      <c r="C11" s="35" t="s">
        <v>230</v>
      </c>
      <c r="D11" s="35">
        <v>1</v>
      </c>
      <c r="E11" s="40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225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x14ac:dyDescent="0.25">
      <c r="A12" s="40" t="s">
        <v>57</v>
      </c>
      <c r="B12" s="35">
        <v>1</v>
      </c>
      <c r="C12" s="35" t="s">
        <v>230</v>
      </c>
      <c r="D12" s="35">
        <v>2</v>
      </c>
      <c r="E12" s="40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68</v>
      </c>
      <c r="X12" s="120"/>
      <c r="Y12" s="120"/>
      <c r="Z12" s="82">
        <v>0</v>
      </c>
      <c r="AB12" s="82">
        <v>1</v>
      </c>
      <c r="AC12" s="120" t="s">
        <v>41</v>
      </c>
      <c r="AD12" s="120"/>
      <c r="AE12" s="120"/>
    </row>
    <row r="13" spans="1:31" x14ac:dyDescent="0.25">
      <c r="A13" s="40" t="s">
        <v>58</v>
      </c>
      <c r="B13" s="35">
        <v>0</v>
      </c>
      <c r="C13" s="35" t="s">
        <v>230</v>
      </c>
      <c r="D13" s="35">
        <v>2</v>
      </c>
      <c r="E13" s="40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42</v>
      </c>
      <c r="X13" s="120"/>
      <c r="Y13" s="120"/>
      <c r="Z13" s="82">
        <v>1</v>
      </c>
      <c r="AB13" s="82">
        <v>0</v>
      </c>
      <c r="AC13" s="120" t="s">
        <v>45</v>
      </c>
      <c r="AD13" s="120"/>
      <c r="AE13" s="120"/>
    </row>
    <row r="14" spans="1:31" x14ac:dyDescent="0.25">
      <c r="A14" s="40" t="s">
        <v>71</v>
      </c>
      <c r="B14" s="35">
        <v>0</v>
      </c>
      <c r="C14" s="35" t="s">
        <v>230</v>
      </c>
      <c r="D14" s="35">
        <v>1</v>
      </c>
      <c r="E14" s="40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 t="s">
        <v>43</v>
      </c>
      <c r="X14" s="120"/>
      <c r="Y14" s="120"/>
      <c r="Z14" s="82">
        <v>2</v>
      </c>
      <c r="AB14" s="82">
        <v>0</v>
      </c>
      <c r="AC14" s="120" t="s">
        <v>66</v>
      </c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40" t="s">
        <v>40</v>
      </c>
      <c r="B16" s="35">
        <v>2</v>
      </c>
      <c r="C16" s="35" t="s">
        <v>230</v>
      </c>
      <c r="D16" s="35">
        <v>0</v>
      </c>
      <c r="E16" s="40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40" t="s">
        <v>61</v>
      </c>
      <c r="B17" s="35">
        <v>0</v>
      </c>
      <c r="C17" s="35" t="s">
        <v>230</v>
      </c>
      <c r="D17" s="35">
        <v>1</v>
      </c>
      <c r="E17" s="40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40" t="s">
        <v>63</v>
      </c>
      <c r="B18" s="35">
        <v>2</v>
      </c>
      <c r="C18" s="35" t="s">
        <v>230</v>
      </c>
      <c r="D18" s="35">
        <v>0</v>
      </c>
      <c r="E18" s="40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40" t="s">
        <v>40</v>
      </c>
      <c r="B19" s="35">
        <v>2</v>
      </c>
      <c r="C19" s="35" t="s">
        <v>230</v>
      </c>
      <c r="D19" s="35">
        <v>0</v>
      </c>
      <c r="E19" s="40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40" t="s">
        <v>63</v>
      </c>
      <c r="B20" s="35">
        <v>2</v>
      </c>
      <c r="C20" s="35" t="s">
        <v>230</v>
      </c>
      <c r="D20" s="35">
        <v>3</v>
      </c>
      <c r="E20" s="40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40" t="s">
        <v>232</v>
      </c>
      <c r="B21" s="35">
        <v>0</v>
      </c>
      <c r="C21" s="35" t="s">
        <v>230</v>
      </c>
      <c r="D21" s="35">
        <v>2</v>
      </c>
      <c r="E21" s="40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40" t="s">
        <v>50</v>
      </c>
      <c r="B23" s="35">
        <v>1</v>
      </c>
      <c r="C23" s="35" t="s">
        <v>230</v>
      </c>
      <c r="D23" s="35">
        <v>1</v>
      </c>
      <c r="E23" s="40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40" t="s">
        <v>54</v>
      </c>
      <c r="B24" s="35">
        <v>2</v>
      </c>
      <c r="C24" s="35" t="s">
        <v>230</v>
      </c>
      <c r="D24" s="35">
        <v>1</v>
      </c>
      <c r="E24" s="40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40" t="s">
        <v>68</v>
      </c>
      <c r="B25" s="35">
        <v>0</v>
      </c>
      <c r="C25" s="35" t="s">
        <v>230</v>
      </c>
      <c r="D25" s="35">
        <v>1</v>
      </c>
      <c r="E25" s="40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5</v>
      </c>
      <c r="R25" s="45">
        <v>2</v>
      </c>
      <c r="S25" s="45">
        <v>3</v>
      </c>
      <c r="T25" s="45">
        <v>8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40" t="s">
        <v>54</v>
      </c>
      <c r="B26" s="35">
        <v>2</v>
      </c>
      <c r="C26" s="35" t="s">
        <v>230</v>
      </c>
      <c r="D26" s="35">
        <v>0</v>
      </c>
      <c r="E26" s="40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40" t="s">
        <v>68</v>
      </c>
      <c r="B27" s="35">
        <v>0</v>
      </c>
      <c r="C27" s="35" t="s">
        <v>230</v>
      </c>
      <c r="D27" s="35">
        <v>2</v>
      </c>
      <c r="E27" s="40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40" t="s">
        <v>41</v>
      </c>
      <c r="B28" s="35">
        <v>1</v>
      </c>
      <c r="C28" s="35" t="s">
        <v>230</v>
      </c>
      <c r="D28" s="35">
        <v>0</v>
      </c>
      <c r="E28" s="40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40" t="s">
        <v>38</v>
      </c>
      <c r="B30" s="35">
        <v>1</v>
      </c>
      <c r="C30" s="35" t="s">
        <v>230</v>
      </c>
      <c r="D30" s="35">
        <v>1</v>
      </c>
      <c r="E30" s="40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40" t="s">
        <v>52</v>
      </c>
      <c r="B31" s="35">
        <v>0</v>
      </c>
      <c r="C31" s="35" t="s">
        <v>230</v>
      </c>
      <c r="D31" s="35">
        <v>0</v>
      </c>
      <c r="E31" s="40" t="s">
        <v>233</v>
      </c>
      <c r="H31" s="35">
        <v>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40" t="s">
        <v>59</v>
      </c>
      <c r="B32" s="35">
        <v>1</v>
      </c>
      <c r="C32" s="35" t="s">
        <v>230</v>
      </c>
      <c r="D32" s="35">
        <v>0</v>
      </c>
      <c r="E32" s="40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40" t="s">
        <v>52</v>
      </c>
      <c r="B33" s="35">
        <v>0</v>
      </c>
      <c r="C33" s="35" t="s">
        <v>230</v>
      </c>
      <c r="D33" s="35">
        <v>2</v>
      </c>
      <c r="E33" s="40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40" t="s">
        <v>59</v>
      </c>
      <c r="B34" s="35">
        <v>1</v>
      </c>
      <c r="C34" s="35" t="s">
        <v>230</v>
      </c>
      <c r="D34" s="35">
        <v>0</v>
      </c>
      <c r="E34" s="40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40" t="s">
        <v>233</v>
      </c>
      <c r="B35" s="35">
        <v>0</v>
      </c>
      <c r="C35" s="35" t="s">
        <v>230</v>
      </c>
      <c r="D35" s="35">
        <v>2</v>
      </c>
      <c r="E35" s="40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40" t="s">
        <v>60</v>
      </c>
      <c r="B37" s="35">
        <v>0</v>
      </c>
      <c r="C37" s="35" t="s">
        <v>230</v>
      </c>
      <c r="D37" s="35">
        <v>1</v>
      </c>
      <c r="E37" s="40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40" t="s">
        <v>42</v>
      </c>
      <c r="B38" s="35">
        <v>1</v>
      </c>
      <c r="C38" s="35" t="s">
        <v>230</v>
      </c>
      <c r="D38" s="35">
        <v>0</v>
      </c>
      <c r="E38" s="40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40" t="s">
        <v>42</v>
      </c>
      <c r="B39" s="35">
        <v>2</v>
      </c>
      <c r="C39" s="35" t="s">
        <v>230</v>
      </c>
      <c r="D39" s="35">
        <v>0</v>
      </c>
      <c r="E39" s="40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40" t="s">
        <v>49</v>
      </c>
      <c r="B40" s="35">
        <v>1</v>
      </c>
      <c r="C40" s="35" t="s">
        <v>230</v>
      </c>
      <c r="D40" s="35">
        <v>0</v>
      </c>
      <c r="E40" s="40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40" t="s">
        <v>49</v>
      </c>
      <c r="B41" s="35">
        <v>0</v>
      </c>
      <c r="C41" s="35" t="s">
        <v>230</v>
      </c>
      <c r="D41" s="35">
        <v>1</v>
      </c>
      <c r="E41" s="40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40" t="s">
        <v>45</v>
      </c>
      <c r="B42" s="35">
        <v>1</v>
      </c>
      <c r="C42" s="35" t="s">
        <v>230</v>
      </c>
      <c r="D42" s="35">
        <v>0</v>
      </c>
      <c r="E42" s="40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40" t="s">
        <v>67</v>
      </c>
      <c r="B44" s="35">
        <v>0</v>
      </c>
      <c r="C44" s="35" t="s">
        <v>230</v>
      </c>
      <c r="D44" s="35">
        <v>0</v>
      </c>
      <c r="E44" s="40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40" t="s">
        <v>43</v>
      </c>
      <c r="B45" s="35">
        <v>2</v>
      </c>
      <c r="C45" s="35" t="s">
        <v>230</v>
      </c>
      <c r="D45" s="35">
        <v>0</v>
      </c>
      <c r="E45" s="40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40" t="s">
        <v>44</v>
      </c>
      <c r="B46" s="35">
        <v>1</v>
      </c>
      <c r="C46" s="35" t="s">
        <v>230</v>
      </c>
      <c r="D46" s="35">
        <v>1</v>
      </c>
      <c r="E46" s="40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40" t="s">
        <v>43</v>
      </c>
      <c r="B47" s="35">
        <v>1</v>
      </c>
      <c r="C47" s="35" t="s">
        <v>230</v>
      </c>
      <c r="D47" s="35">
        <v>0</v>
      </c>
      <c r="E47" s="40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40" t="s">
        <v>44</v>
      </c>
      <c r="B48" s="35">
        <v>0</v>
      </c>
      <c r="C48" s="35" t="s">
        <v>230</v>
      </c>
      <c r="D48" s="35">
        <v>2</v>
      </c>
      <c r="E48" s="40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40" t="s">
        <v>66</v>
      </c>
      <c r="B49" s="35">
        <v>1</v>
      </c>
      <c r="C49" s="35" t="s">
        <v>230</v>
      </c>
      <c r="D49" s="35">
        <v>2</v>
      </c>
      <c r="E49" s="40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40" t="s">
        <v>69</v>
      </c>
      <c r="B51" s="35">
        <v>2</v>
      </c>
      <c r="C51" s="35" t="s">
        <v>230</v>
      </c>
      <c r="D51" s="35">
        <v>1</v>
      </c>
      <c r="E51" s="40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40" t="s">
        <v>64</v>
      </c>
      <c r="B52" s="35">
        <v>2</v>
      </c>
      <c r="C52" s="35" t="s">
        <v>230</v>
      </c>
      <c r="D52" s="35">
        <v>0</v>
      </c>
      <c r="E52" s="40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40" t="s">
        <v>246</v>
      </c>
      <c r="B53" s="35">
        <v>1</v>
      </c>
      <c r="C53" s="35" t="s">
        <v>230</v>
      </c>
      <c r="D53" s="35">
        <v>0</v>
      </c>
      <c r="E53" s="40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40" t="s">
        <v>64</v>
      </c>
      <c r="B54" s="35">
        <v>2</v>
      </c>
      <c r="C54" s="35" t="s">
        <v>230</v>
      </c>
      <c r="D54" s="35">
        <v>1</v>
      </c>
      <c r="E54" s="40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40" t="s">
        <v>246</v>
      </c>
      <c r="B55" s="35">
        <v>1</v>
      </c>
      <c r="C55" s="35" t="s">
        <v>230</v>
      </c>
      <c r="D55" s="35">
        <v>3</v>
      </c>
      <c r="E55" s="40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40" t="s">
        <v>55</v>
      </c>
      <c r="B56" s="35">
        <v>0</v>
      </c>
      <c r="C56" s="35" t="s">
        <v>230</v>
      </c>
      <c r="D56" s="35">
        <v>1</v>
      </c>
      <c r="E56" s="40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2" t="s">
        <v>89</v>
      </c>
    </row>
    <row r="59" spans="1:15" x14ac:dyDescent="0.25">
      <c r="A59" s="40" t="s">
        <v>144</v>
      </c>
    </row>
    <row r="60" spans="1:15" x14ac:dyDescent="0.25">
      <c r="A60" s="40" t="s">
        <v>149</v>
      </c>
    </row>
    <row r="62" spans="1:15" x14ac:dyDescent="0.25">
      <c r="A62" s="42" t="s">
        <v>88</v>
      </c>
    </row>
    <row r="63" spans="1:15" x14ac:dyDescent="0.25">
      <c r="A63" s="40" t="s">
        <v>162</v>
      </c>
    </row>
    <row r="64" spans="1:15" x14ac:dyDescent="0.25">
      <c r="A64" s="40" t="s">
        <v>163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BC94-03E0-4D7C-8137-47262278D3D1}">
  <sheetPr codeName="Planilha30">
    <tabColor rgb="FF00B050"/>
  </sheetPr>
  <dimension ref="A1:E29"/>
  <sheetViews>
    <sheetView workbookViewId="0">
      <selection activeCell="P60" sqref="P60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</cols>
  <sheetData>
    <row r="1" spans="1:5" ht="16.5" thickTop="1" x14ac:dyDescent="0.25">
      <c r="A1" s="26" t="s">
        <v>105</v>
      </c>
      <c r="B1" s="85" t="s">
        <v>141</v>
      </c>
      <c r="C1" s="85"/>
      <c r="D1" s="85"/>
      <c r="E1" s="86"/>
    </row>
    <row r="2" spans="1:5" x14ac:dyDescent="0.25">
      <c r="A2" s="20" t="s">
        <v>0</v>
      </c>
      <c r="B2" s="21"/>
      <c r="C2" s="21" t="s">
        <v>0</v>
      </c>
      <c r="D2" s="21"/>
      <c r="E2" s="24" t="s">
        <v>0</v>
      </c>
    </row>
    <row r="3" spans="1:5" x14ac:dyDescent="0.25">
      <c r="A3" s="16" t="s">
        <v>1</v>
      </c>
      <c r="B3" s="21"/>
      <c r="C3" s="17" t="s">
        <v>13</v>
      </c>
      <c r="D3" s="21"/>
      <c r="E3" s="18" t="s">
        <v>22</v>
      </c>
    </row>
    <row r="4" spans="1:5" x14ac:dyDescent="0.25">
      <c r="A4" s="20" t="s">
        <v>0</v>
      </c>
      <c r="B4" s="21"/>
      <c r="C4" s="21" t="s">
        <v>0</v>
      </c>
      <c r="D4" s="21"/>
      <c r="E4" s="24" t="s">
        <v>0</v>
      </c>
    </row>
    <row r="5" spans="1:5" x14ac:dyDescent="0.25">
      <c r="A5" s="20" t="s">
        <v>138</v>
      </c>
      <c r="B5" s="21"/>
      <c r="C5" s="21" t="s">
        <v>129</v>
      </c>
      <c r="D5" s="21"/>
      <c r="E5" s="24" t="s">
        <v>33</v>
      </c>
    </row>
    <row r="6" spans="1:5" x14ac:dyDescent="0.25">
      <c r="A6" s="20" t="s">
        <v>2</v>
      </c>
      <c r="B6" s="21"/>
      <c r="C6" s="21" t="s">
        <v>118</v>
      </c>
      <c r="D6" s="21"/>
      <c r="E6" s="24" t="s">
        <v>34</v>
      </c>
    </row>
    <row r="7" spans="1:5" x14ac:dyDescent="0.25">
      <c r="A7" s="20" t="s">
        <v>139</v>
      </c>
      <c r="B7" s="21"/>
      <c r="C7" s="21" t="s">
        <v>130</v>
      </c>
      <c r="D7" s="21"/>
      <c r="E7" s="24" t="s">
        <v>123</v>
      </c>
    </row>
    <row r="8" spans="1:5" x14ac:dyDescent="0.25">
      <c r="A8" s="20" t="s">
        <v>140</v>
      </c>
      <c r="B8" s="21"/>
      <c r="C8" s="21" t="s">
        <v>93</v>
      </c>
      <c r="D8" s="21"/>
      <c r="E8" s="24" t="s">
        <v>114</v>
      </c>
    </row>
    <row r="9" spans="1:5" x14ac:dyDescent="0.25">
      <c r="A9" s="20" t="s">
        <v>4</v>
      </c>
      <c r="B9" s="21"/>
      <c r="C9" s="21" t="s">
        <v>109</v>
      </c>
      <c r="D9" s="21"/>
      <c r="E9" s="24" t="s">
        <v>124</v>
      </c>
    </row>
    <row r="10" spans="1:5" x14ac:dyDescent="0.25">
      <c r="A10" s="20" t="s">
        <v>79</v>
      </c>
      <c r="B10" s="21"/>
      <c r="C10" s="21" t="s">
        <v>131</v>
      </c>
      <c r="D10" s="21"/>
      <c r="E10" s="24" t="s">
        <v>110</v>
      </c>
    </row>
    <row r="11" spans="1:5" x14ac:dyDescent="0.25">
      <c r="A11" s="20" t="s">
        <v>0</v>
      </c>
      <c r="B11" s="21"/>
      <c r="C11" s="21" t="s">
        <v>0</v>
      </c>
      <c r="D11" s="21"/>
      <c r="E11" s="24" t="s">
        <v>0</v>
      </c>
    </row>
    <row r="12" spans="1:5" x14ac:dyDescent="0.25">
      <c r="A12" s="16" t="s">
        <v>5</v>
      </c>
      <c r="B12" s="21"/>
      <c r="C12" s="17" t="s">
        <v>16</v>
      </c>
      <c r="D12" s="21"/>
      <c r="E12" s="18" t="s">
        <v>27</v>
      </c>
    </row>
    <row r="13" spans="1:5" x14ac:dyDescent="0.25">
      <c r="A13" s="20" t="s">
        <v>0</v>
      </c>
      <c r="B13" s="21"/>
      <c r="C13" s="21" t="s">
        <v>0</v>
      </c>
      <c r="D13" s="21"/>
      <c r="E13" s="24" t="s">
        <v>0</v>
      </c>
    </row>
    <row r="14" spans="1:5" x14ac:dyDescent="0.25">
      <c r="A14" s="20" t="s">
        <v>134</v>
      </c>
      <c r="B14" s="21"/>
      <c r="C14" s="21" t="s">
        <v>128</v>
      </c>
      <c r="D14" s="21"/>
      <c r="E14" s="24" t="s">
        <v>264</v>
      </c>
    </row>
    <row r="15" spans="1:5" x14ac:dyDescent="0.25">
      <c r="A15" s="20" t="s">
        <v>106</v>
      </c>
      <c r="B15" s="21"/>
      <c r="C15" s="21" t="s">
        <v>245</v>
      </c>
      <c r="D15" s="21"/>
      <c r="E15" s="24" t="s">
        <v>121</v>
      </c>
    </row>
    <row r="16" spans="1:5" x14ac:dyDescent="0.25">
      <c r="A16" s="20" t="s">
        <v>135</v>
      </c>
      <c r="B16" s="21"/>
      <c r="C16" s="21" t="s">
        <v>254</v>
      </c>
      <c r="D16" s="21"/>
      <c r="E16" s="24" t="s">
        <v>265</v>
      </c>
    </row>
    <row r="17" spans="1:5" x14ac:dyDescent="0.25">
      <c r="A17" s="20" t="s">
        <v>136</v>
      </c>
      <c r="B17" s="21"/>
      <c r="C17" s="21" t="s">
        <v>17</v>
      </c>
      <c r="D17" s="21"/>
      <c r="E17" s="24" t="s">
        <v>37</v>
      </c>
    </row>
    <row r="18" spans="1:5" x14ac:dyDescent="0.25">
      <c r="A18" s="20" t="s">
        <v>120</v>
      </c>
      <c r="B18" s="21"/>
      <c r="C18" s="21" t="s">
        <v>117</v>
      </c>
      <c r="D18" s="21"/>
      <c r="E18" s="24" t="s">
        <v>262</v>
      </c>
    </row>
    <row r="19" spans="1:5" x14ac:dyDescent="0.25">
      <c r="A19" s="20" t="s">
        <v>137</v>
      </c>
      <c r="B19" s="21"/>
      <c r="C19" s="21" t="s">
        <v>257</v>
      </c>
      <c r="D19" s="21"/>
      <c r="E19" s="24" t="s">
        <v>122</v>
      </c>
    </row>
    <row r="20" spans="1:5" x14ac:dyDescent="0.25">
      <c r="A20" s="20" t="s">
        <v>0</v>
      </c>
      <c r="B20" s="21"/>
      <c r="C20" s="21" t="s">
        <v>0</v>
      </c>
      <c r="D20" s="21"/>
      <c r="E20" s="24"/>
    </row>
    <row r="21" spans="1:5" x14ac:dyDescent="0.25">
      <c r="A21" s="16" t="s">
        <v>9</v>
      </c>
      <c r="B21" s="21"/>
      <c r="C21" s="17" t="s">
        <v>19</v>
      </c>
      <c r="D21" s="21"/>
      <c r="E21" s="19" t="s">
        <v>89</v>
      </c>
    </row>
    <row r="22" spans="1:5" x14ac:dyDescent="0.25">
      <c r="A22" s="20" t="s">
        <v>0</v>
      </c>
      <c r="B22" s="21"/>
      <c r="C22" s="21" t="s">
        <v>0</v>
      </c>
      <c r="D22" s="21"/>
      <c r="E22" s="24" t="s">
        <v>144</v>
      </c>
    </row>
    <row r="23" spans="1:5" x14ac:dyDescent="0.25">
      <c r="A23" s="20" t="s">
        <v>251</v>
      </c>
      <c r="B23" s="21"/>
      <c r="C23" s="21" t="s">
        <v>98</v>
      </c>
      <c r="D23" s="21"/>
      <c r="E23" s="24" t="s">
        <v>166</v>
      </c>
    </row>
    <row r="24" spans="1:5" x14ac:dyDescent="0.25">
      <c r="A24" s="20" t="s">
        <v>10</v>
      </c>
      <c r="B24" s="21"/>
      <c r="C24" s="21" t="s">
        <v>99</v>
      </c>
      <c r="D24" s="21"/>
      <c r="E24" s="24"/>
    </row>
    <row r="25" spans="1:5" x14ac:dyDescent="0.25">
      <c r="A25" s="20" t="s">
        <v>250</v>
      </c>
      <c r="B25" s="21"/>
      <c r="C25" s="21" t="s">
        <v>116</v>
      </c>
      <c r="D25" s="21"/>
      <c r="E25" s="19" t="s">
        <v>88</v>
      </c>
    </row>
    <row r="26" spans="1:5" x14ac:dyDescent="0.25">
      <c r="A26" s="20" t="s">
        <v>132</v>
      </c>
      <c r="B26" s="21"/>
      <c r="C26" s="21" t="s">
        <v>125</v>
      </c>
      <c r="D26" s="21"/>
      <c r="E26" s="24" t="s">
        <v>167</v>
      </c>
    </row>
    <row r="27" spans="1:5" x14ac:dyDescent="0.25">
      <c r="A27" s="20" t="s">
        <v>133</v>
      </c>
      <c r="B27" s="21"/>
      <c r="C27" s="21" t="s">
        <v>126</v>
      </c>
      <c r="D27" s="21"/>
      <c r="E27" s="24" t="s">
        <v>168</v>
      </c>
    </row>
    <row r="28" spans="1:5" ht="15.75" thickBot="1" x14ac:dyDescent="0.3">
      <c r="A28" s="22" t="s">
        <v>252</v>
      </c>
      <c r="B28" s="23"/>
      <c r="C28" s="23" t="s">
        <v>127</v>
      </c>
      <c r="D28" s="23"/>
      <c r="E28" s="25"/>
    </row>
    <row r="29" spans="1:5" ht="15.75" thickTop="1" x14ac:dyDescent="0.25"/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65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140625" style="82" customWidth="1"/>
    <col min="32" max="42" width="5.140625" style="36" customWidth="1"/>
    <col min="43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1</v>
      </c>
      <c r="C2" s="35" t="s">
        <v>230</v>
      </c>
      <c r="D2" s="35">
        <v>1</v>
      </c>
      <c r="E2" s="39" t="s">
        <v>51</v>
      </c>
      <c r="H2" s="35">
        <v>0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271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ht="15" customHeight="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 t="s">
        <v>40</v>
      </c>
      <c r="X11" s="120"/>
      <c r="Y11" s="120"/>
      <c r="Z11" s="82">
        <v>2</v>
      </c>
      <c r="AB11" s="82">
        <v>0</v>
      </c>
      <c r="AC11" s="120" t="s">
        <v>61</v>
      </c>
      <c r="AD11" s="120"/>
      <c r="AE11" s="120"/>
    </row>
    <row r="12" spans="1:31" ht="15" customHeight="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43</v>
      </c>
      <c r="X12" s="120"/>
      <c r="Y12" s="120"/>
      <c r="Z12" s="82">
        <v>2</v>
      </c>
      <c r="AB12" s="82">
        <v>0</v>
      </c>
      <c r="AC12" s="120" t="s">
        <v>66</v>
      </c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0</v>
      </c>
      <c r="E19" s="39" t="s">
        <v>61</v>
      </c>
      <c r="H19" s="35">
        <v>25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3</v>
      </c>
      <c r="R25" s="45">
        <v>5</v>
      </c>
      <c r="S25" s="45">
        <v>5</v>
      </c>
      <c r="T25" s="45">
        <v>7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0</v>
      </c>
      <c r="E45" s="39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2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1</v>
      </c>
      <c r="E51" s="39" t="s">
        <v>246</v>
      </c>
      <c r="H51" s="35">
        <v>10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9" spans="1:15" x14ac:dyDescent="0.25">
      <c r="A59" s="41" t="s">
        <v>89</v>
      </c>
    </row>
    <row r="60" spans="1:15" x14ac:dyDescent="0.25">
      <c r="A60" s="36" t="s">
        <v>144</v>
      </c>
    </row>
    <row r="61" spans="1:15" x14ac:dyDescent="0.25">
      <c r="A61" s="36" t="s">
        <v>149</v>
      </c>
    </row>
    <row r="62" spans="1:15" x14ac:dyDescent="0.25">
      <c r="A62" s="36"/>
    </row>
    <row r="63" spans="1:15" x14ac:dyDescent="0.25">
      <c r="A63" s="41" t="s">
        <v>88</v>
      </c>
    </row>
    <row r="64" spans="1:15" x14ac:dyDescent="0.25">
      <c r="A64" s="36" t="s">
        <v>150</v>
      </c>
    </row>
    <row r="65" spans="1:1" x14ac:dyDescent="0.25">
      <c r="A65" s="36" t="s">
        <v>151</v>
      </c>
    </row>
  </sheetData>
  <mergeCells count="62"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15:E15"/>
    <mergeCell ref="A22:E22"/>
    <mergeCell ref="A29:E29"/>
    <mergeCell ref="A36:E36"/>
    <mergeCell ref="A43:E43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7" t="s">
        <v>46</v>
      </c>
      <c r="B2" s="35">
        <v>1</v>
      </c>
      <c r="C2" s="35" t="s">
        <v>230</v>
      </c>
      <c r="D2" s="35">
        <v>2</v>
      </c>
      <c r="E2" s="39" t="s">
        <v>51</v>
      </c>
      <c r="H2" s="35">
        <v>15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286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13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1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38</v>
      </c>
      <c r="X10" s="120"/>
      <c r="Y10" s="120"/>
      <c r="Z10" s="82">
        <v>1</v>
      </c>
      <c r="AB10" s="82">
        <v>2</v>
      </c>
      <c r="AC10" s="120" t="s">
        <v>59</v>
      </c>
      <c r="AD10" s="120"/>
      <c r="AE10" s="120"/>
    </row>
    <row r="11" spans="1:31" ht="15" customHeight="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 t="s">
        <v>42</v>
      </c>
      <c r="X11" s="120"/>
      <c r="Y11" s="120"/>
      <c r="Z11" s="82">
        <v>1</v>
      </c>
      <c r="AB11" s="82">
        <v>0</v>
      </c>
      <c r="AC11" s="120" t="s">
        <v>45</v>
      </c>
      <c r="AD11" s="120"/>
      <c r="AE11" s="120"/>
    </row>
    <row r="12" spans="1:31" ht="15" customHeight="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ht="15" customHeight="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ht="15" customHeight="1" x14ac:dyDescent="0.25">
      <c r="A14" s="37" t="s">
        <v>71</v>
      </c>
      <c r="B14" s="35">
        <v>2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ht="15" customHeight="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0</v>
      </c>
      <c r="E18" s="39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2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2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2</v>
      </c>
      <c r="C21" s="35" t="s">
        <v>230</v>
      </c>
      <c r="D21" s="35">
        <v>3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9</v>
      </c>
      <c r="T25" s="45">
        <v>4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2</v>
      </c>
      <c r="E30" s="39" t="s">
        <v>59</v>
      </c>
      <c r="H30" s="35">
        <v>25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3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2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2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2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2</v>
      </c>
      <c r="C37" s="35" t="s">
        <v>230</v>
      </c>
      <c r="D37" s="35">
        <v>1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2</v>
      </c>
      <c r="E39" s="39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3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4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3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2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1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202</v>
      </c>
    </row>
    <row r="62" spans="1:15" x14ac:dyDescent="0.25">
      <c r="A62" s="38" t="s">
        <v>88</v>
      </c>
    </row>
    <row r="63" spans="1:15" x14ac:dyDescent="0.25">
      <c r="A63" s="37" t="s">
        <v>150</v>
      </c>
    </row>
    <row r="64" spans="1:15" x14ac:dyDescent="0.25">
      <c r="A64" s="37" t="s">
        <v>201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7" width="5.7109375" style="36" customWidth="1"/>
    <col min="38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2</v>
      </c>
      <c r="C2" s="35" t="s">
        <v>230</v>
      </c>
      <c r="D2" s="35">
        <v>2</v>
      </c>
      <c r="E2" s="36" t="s">
        <v>51</v>
      </c>
      <c r="H2" s="35">
        <v>5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278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1</v>
      </c>
      <c r="C4" s="35" t="s">
        <v>230</v>
      </c>
      <c r="D4" s="35">
        <v>3</v>
      </c>
      <c r="E4" s="36" t="s">
        <v>65</v>
      </c>
      <c r="H4" s="35">
        <v>25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3</v>
      </c>
      <c r="C5" s="35" t="s">
        <v>230</v>
      </c>
      <c r="D5" s="35">
        <v>2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2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2</v>
      </c>
      <c r="C10" s="35" t="s">
        <v>230</v>
      </c>
      <c r="D10" s="35">
        <v>0</v>
      </c>
      <c r="E10" s="36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1</v>
      </c>
      <c r="AB10" s="82">
        <v>3</v>
      </c>
      <c r="AC10" s="120" t="s">
        <v>65</v>
      </c>
      <c r="AD10" s="120"/>
      <c r="AE10" s="120"/>
    </row>
    <row r="11" spans="1:31" x14ac:dyDescent="0.25">
      <c r="A11" s="36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2</v>
      </c>
      <c r="C12" s="35" t="s">
        <v>230</v>
      </c>
      <c r="D12" s="35">
        <v>2</v>
      </c>
      <c r="E12" s="36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67</v>
      </c>
      <c r="X12" s="120"/>
      <c r="Y12" s="120"/>
      <c r="Z12" s="82">
        <v>1</v>
      </c>
      <c r="AB12" s="82">
        <v>0</v>
      </c>
      <c r="AC12" s="120" t="s">
        <v>44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43</v>
      </c>
      <c r="X13" s="120"/>
      <c r="Y13" s="120"/>
      <c r="Z13" s="82">
        <v>2</v>
      </c>
      <c r="AB13" s="82">
        <v>0</v>
      </c>
      <c r="AC13" s="120" t="s">
        <v>66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3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1</v>
      </c>
      <c r="C17" s="35" t="s">
        <v>230</v>
      </c>
      <c r="D17" s="35">
        <v>1</v>
      </c>
      <c r="E17" s="36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2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0</v>
      </c>
      <c r="C20" s="35" t="s">
        <v>230</v>
      </c>
      <c r="D20" s="35">
        <v>1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1</v>
      </c>
      <c r="C21" s="35" t="s">
        <v>230</v>
      </c>
      <c r="D21" s="35">
        <v>3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2</v>
      </c>
      <c r="C23" s="35" t="s">
        <v>230</v>
      </c>
      <c r="D23" s="35">
        <v>1</v>
      </c>
      <c r="E23" s="36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2</v>
      </c>
      <c r="E25" s="36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5</v>
      </c>
      <c r="S25" s="45">
        <v>4</v>
      </c>
      <c r="T25" s="45">
        <v>3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0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2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3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3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1</v>
      </c>
      <c r="E38" s="36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3</v>
      </c>
      <c r="C40" s="35" t="s">
        <v>230</v>
      </c>
      <c r="D40" s="35">
        <v>2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2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2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2</v>
      </c>
      <c r="C45" s="35" t="s">
        <v>230</v>
      </c>
      <c r="D45" s="35">
        <v>0</v>
      </c>
      <c r="E45" s="36" t="s">
        <v>66</v>
      </c>
      <c r="H45" s="35">
        <v>25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3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3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1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3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2</v>
      </c>
      <c r="E52" s="36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166</v>
      </c>
    </row>
    <row r="62" spans="1:15" x14ac:dyDescent="0.25">
      <c r="A62" s="41" t="s">
        <v>88</v>
      </c>
    </row>
    <row r="63" spans="1:15" x14ac:dyDescent="0.25">
      <c r="A63" s="36" t="s">
        <v>167</v>
      </c>
    </row>
    <row r="64" spans="1:15" x14ac:dyDescent="0.25">
      <c r="A64" s="36" t="s">
        <v>168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6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36" t="s">
        <v>46</v>
      </c>
      <c r="B2" s="35">
        <v>0</v>
      </c>
      <c r="C2" s="35" t="s">
        <v>230</v>
      </c>
      <c r="D2" s="35">
        <v>2</v>
      </c>
      <c r="E2" s="36" t="s">
        <v>51</v>
      </c>
      <c r="H2" s="35">
        <v>25</v>
      </c>
      <c r="J2" s="36" t="str">
        <f>IF(Tabela!F3="","",Tabela!F3)</f>
        <v/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296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6" t="s">
        <v>65</v>
      </c>
      <c r="B3" s="35">
        <v>1</v>
      </c>
      <c r="C3" s="35" t="s">
        <v>230</v>
      </c>
      <c r="D3" s="35">
        <v>2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6" t="s">
        <v>46</v>
      </c>
      <c r="B4" s="35">
        <v>0</v>
      </c>
      <c r="C4" s="35" t="s">
        <v>230</v>
      </c>
      <c r="D4" s="35">
        <v>2</v>
      </c>
      <c r="E4" s="36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6" t="s">
        <v>56</v>
      </c>
      <c r="B5" s="35">
        <v>1</v>
      </c>
      <c r="C5" s="35" t="s">
        <v>230</v>
      </c>
      <c r="D5" s="35">
        <v>0</v>
      </c>
      <c r="E5" s="36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6" t="s">
        <v>56</v>
      </c>
      <c r="B6" s="35">
        <v>3</v>
      </c>
      <c r="C6" s="35" t="s">
        <v>230</v>
      </c>
      <c r="D6" s="35">
        <v>0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6" t="s">
        <v>51</v>
      </c>
      <c r="B7" s="35">
        <v>1</v>
      </c>
      <c r="C7" s="35" t="s">
        <v>230</v>
      </c>
      <c r="D7" s="35">
        <v>2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6" t="s">
        <v>57</v>
      </c>
      <c r="B9" s="35">
        <v>2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6" t="s">
        <v>231</v>
      </c>
      <c r="B10" s="35">
        <v>1</v>
      </c>
      <c r="C10" s="35" t="s">
        <v>230</v>
      </c>
      <c r="D10" s="35">
        <v>2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46</v>
      </c>
      <c r="X10" s="120"/>
      <c r="Y10" s="120"/>
      <c r="Z10" s="82">
        <v>0</v>
      </c>
      <c r="AB10" s="82">
        <v>2</v>
      </c>
      <c r="AC10" s="120" t="s">
        <v>51</v>
      </c>
      <c r="AD10" s="120"/>
      <c r="AE10" s="120"/>
    </row>
    <row r="11" spans="1:31" x14ac:dyDescent="0.25">
      <c r="A11" s="36" t="s">
        <v>71</v>
      </c>
      <c r="B11" s="35">
        <v>2</v>
      </c>
      <c r="C11" s="35" t="s">
        <v>230</v>
      </c>
      <c r="D11" s="35">
        <v>1</v>
      </c>
      <c r="E11" s="36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250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6" t="s">
        <v>57</v>
      </c>
      <c r="B12" s="35">
        <v>1</v>
      </c>
      <c r="C12" s="35" t="s">
        <v>230</v>
      </c>
      <c r="D12" s="35">
        <v>0</v>
      </c>
      <c r="E12" s="36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 t="s">
        <v>54</v>
      </c>
      <c r="X12" s="120"/>
      <c r="Y12" s="120"/>
      <c r="Z12" s="82">
        <v>2</v>
      </c>
      <c r="AB12" s="82">
        <v>1</v>
      </c>
      <c r="AC12" s="120" t="s">
        <v>50</v>
      </c>
      <c r="AD12" s="120"/>
      <c r="AE12" s="120"/>
    </row>
    <row r="13" spans="1:31" x14ac:dyDescent="0.25">
      <c r="A13" s="36" t="s">
        <v>58</v>
      </c>
      <c r="B13" s="35">
        <v>1</v>
      </c>
      <c r="C13" s="35" t="s">
        <v>230</v>
      </c>
      <c r="D13" s="35">
        <v>2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 t="s">
        <v>67</v>
      </c>
      <c r="X13" s="120"/>
      <c r="Y13" s="120"/>
      <c r="Z13" s="82">
        <v>1</v>
      </c>
      <c r="AB13" s="82">
        <v>0</v>
      </c>
      <c r="AC13" s="120" t="s">
        <v>44</v>
      </c>
      <c r="AD13" s="120"/>
      <c r="AE13" s="120"/>
    </row>
    <row r="14" spans="1:31" x14ac:dyDescent="0.25">
      <c r="A14" s="36" t="s">
        <v>71</v>
      </c>
      <c r="B14" s="35">
        <v>1</v>
      </c>
      <c r="C14" s="35" t="s">
        <v>230</v>
      </c>
      <c r="D14" s="35">
        <v>2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6" t="s">
        <v>40</v>
      </c>
      <c r="B16" s="35">
        <v>2</v>
      </c>
      <c r="C16" s="35" t="s">
        <v>230</v>
      </c>
      <c r="D16" s="35">
        <v>0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6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6" t="s">
        <v>63</v>
      </c>
      <c r="B18" s="35">
        <v>2</v>
      </c>
      <c r="C18" s="35" t="s">
        <v>230</v>
      </c>
      <c r="D18" s="35">
        <v>0</v>
      </c>
      <c r="E18" s="36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6" t="s">
        <v>40</v>
      </c>
      <c r="B19" s="35">
        <v>2</v>
      </c>
      <c r="C19" s="35" t="s">
        <v>230</v>
      </c>
      <c r="D19" s="35">
        <v>1</v>
      </c>
      <c r="E19" s="36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6" t="s">
        <v>63</v>
      </c>
      <c r="B20" s="35">
        <v>1</v>
      </c>
      <c r="C20" s="35" t="s">
        <v>230</v>
      </c>
      <c r="D20" s="35">
        <v>2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6" t="s">
        <v>232</v>
      </c>
      <c r="B21" s="35">
        <v>0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6" t="s">
        <v>50</v>
      </c>
      <c r="B23" s="35">
        <v>1</v>
      </c>
      <c r="C23" s="35" t="s">
        <v>230</v>
      </c>
      <c r="D23" s="35">
        <v>0</v>
      </c>
      <c r="E23" s="36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6" t="s">
        <v>54</v>
      </c>
      <c r="B24" s="35">
        <v>3</v>
      </c>
      <c r="C24" s="35" t="s">
        <v>230</v>
      </c>
      <c r="D24" s="35">
        <v>1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6" t="s">
        <v>68</v>
      </c>
      <c r="B25" s="35">
        <v>2</v>
      </c>
      <c r="C25" s="35" t="s">
        <v>230</v>
      </c>
      <c r="D25" s="35">
        <v>1</v>
      </c>
      <c r="E25" s="36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4</v>
      </c>
      <c r="R25" s="45">
        <v>6</v>
      </c>
      <c r="S25" s="45">
        <v>3</v>
      </c>
      <c r="T25" s="45">
        <v>6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6" t="s">
        <v>54</v>
      </c>
      <c r="B26" s="35">
        <v>2</v>
      </c>
      <c r="C26" s="35" t="s">
        <v>230</v>
      </c>
      <c r="D26" s="35">
        <v>1</v>
      </c>
      <c r="E26" s="36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6" t="s">
        <v>68</v>
      </c>
      <c r="B27" s="35">
        <v>0</v>
      </c>
      <c r="C27" s="35" t="s">
        <v>230</v>
      </c>
      <c r="D27" s="35">
        <v>2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6" t="s">
        <v>41</v>
      </c>
      <c r="B28" s="35">
        <v>1</v>
      </c>
      <c r="C28" s="35" t="s">
        <v>230</v>
      </c>
      <c r="D28" s="35">
        <v>2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6" t="s">
        <v>38</v>
      </c>
      <c r="B30" s="35">
        <v>2</v>
      </c>
      <c r="C30" s="35" t="s">
        <v>230</v>
      </c>
      <c r="D30" s="35">
        <v>1</v>
      </c>
      <c r="E30" s="36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6" t="s">
        <v>52</v>
      </c>
      <c r="B31" s="35">
        <v>2</v>
      </c>
      <c r="C31" s="35" t="s">
        <v>230</v>
      </c>
      <c r="D31" s="35">
        <v>0</v>
      </c>
      <c r="E31" s="36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6" t="s">
        <v>59</v>
      </c>
      <c r="B32" s="35">
        <v>1</v>
      </c>
      <c r="C32" s="35" t="s">
        <v>230</v>
      </c>
      <c r="D32" s="35">
        <v>0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6" t="s">
        <v>52</v>
      </c>
      <c r="B33" s="35">
        <v>2</v>
      </c>
      <c r="C33" s="35" t="s">
        <v>230</v>
      </c>
      <c r="D33" s="35">
        <v>1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6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6" t="s">
        <v>233</v>
      </c>
      <c r="B35" s="35">
        <v>0</v>
      </c>
      <c r="C35" s="35" t="s">
        <v>230</v>
      </c>
      <c r="D35" s="35">
        <v>2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6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6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6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6" t="s">
        <v>49</v>
      </c>
      <c r="B40" s="35">
        <v>2</v>
      </c>
      <c r="C40" s="35" t="s">
        <v>230</v>
      </c>
      <c r="D40" s="35">
        <v>0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6" t="s">
        <v>49</v>
      </c>
      <c r="B41" s="35">
        <v>1</v>
      </c>
      <c r="C41" s="35" t="s">
        <v>230</v>
      </c>
      <c r="D41" s="35">
        <v>2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6" t="s">
        <v>45</v>
      </c>
      <c r="B42" s="35">
        <v>0</v>
      </c>
      <c r="C42" s="35" t="s">
        <v>230</v>
      </c>
      <c r="D42" s="35">
        <v>1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6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6" t="s">
        <v>43</v>
      </c>
      <c r="B45" s="35">
        <v>3</v>
      </c>
      <c r="C45" s="35" t="s">
        <v>230</v>
      </c>
      <c r="D45" s="35">
        <v>0</v>
      </c>
      <c r="E45" s="36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6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6" t="s">
        <v>43</v>
      </c>
      <c r="B47" s="35">
        <v>4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6" t="s">
        <v>44</v>
      </c>
      <c r="B48" s="35">
        <v>1</v>
      </c>
      <c r="C48" s="35" t="s">
        <v>230</v>
      </c>
      <c r="D48" s="35">
        <v>3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6" t="s">
        <v>66</v>
      </c>
      <c r="B49" s="35">
        <v>1</v>
      </c>
      <c r="C49" s="35" t="s">
        <v>230</v>
      </c>
      <c r="D49" s="35">
        <v>2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6" t="s">
        <v>69</v>
      </c>
      <c r="B51" s="35">
        <v>2</v>
      </c>
      <c r="C51" s="35" t="s">
        <v>230</v>
      </c>
      <c r="D51" s="35">
        <v>0</v>
      </c>
      <c r="E51" s="36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6" t="s">
        <v>64</v>
      </c>
      <c r="B52" s="35">
        <v>2</v>
      </c>
      <c r="C52" s="35" t="s">
        <v>230</v>
      </c>
      <c r="D52" s="35">
        <v>1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6" t="s">
        <v>246</v>
      </c>
      <c r="B53" s="35">
        <v>0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6" t="s">
        <v>64</v>
      </c>
      <c r="B54" s="35">
        <v>1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6" t="s">
        <v>246</v>
      </c>
      <c r="B55" s="35">
        <v>0</v>
      </c>
      <c r="C55" s="35" t="s">
        <v>230</v>
      </c>
      <c r="D55" s="35">
        <v>2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6" t="s">
        <v>55</v>
      </c>
      <c r="B56" s="35">
        <v>2</v>
      </c>
      <c r="C56" s="35" t="s">
        <v>230</v>
      </c>
      <c r="D56" s="35">
        <v>1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1" t="s">
        <v>89</v>
      </c>
    </row>
    <row r="59" spans="1:15" x14ac:dyDescent="0.25">
      <c r="A59" s="36" t="s">
        <v>144</v>
      </c>
    </row>
    <row r="60" spans="1:15" x14ac:dyDescent="0.25">
      <c r="A60" s="36" t="s">
        <v>158</v>
      </c>
    </row>
    <row r="62" spans="1:15" x14ac:dyDescent="0.25">
      <c r="A62" s="41" t="s">
        <v>88</v>
      </c>
    </row>
    <row r="63" spans="1:15" x14ac:dyDescent="0.25">
      <c r="A63" s="36" t="s">
        <v>164</v>
      </c>
    </row>
    <row r="64" spans="1:15" x14ac:dyDescent="0.25">
      <c r="A64" s="36" t="s">
        <v>165</v>
      </c>
    </row>
  </sheetData>
  <mergeCells count="62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6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280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6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6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3</v>
      </c>
      <c r="C5" s="35" t="s">
        <v>230</v>
      </c>
      <c r="D5" s="35">
        <v>0</v>
      </c>
      <c r="E5" s="36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2</v>
      </c>
      <c r="C6" s="35" t="s">
        <v>230</v>
      </c>
      <c r="D6" s="35">
        <v>1</v>
      </c>
      <c r="E6" s="36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6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3</v>
      </c>
      <c r="C9" s="35" t="s">
        <v>230</v>
      </c>
      <c r="D9" s="35">
        <v>0</v>
      </c>
      <c r="E9" s="36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4</v>
      </c>
      <c r="C10" s="35" t="s">
        <v>230</v>
      </c>
      <c r="D10" s="35">
        <v>1</v>
      </c>
      <c r="E10" s="36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67</v>
      </c>
      <c r="X10" s="120"/>
      <c r="Y10" s="120"/>
      <c r="Z10" s="82">
        <v>1</v>
      </c>
      <c r="AB10" s="82">
        <v>0</v>
      </c>
      <c r="AC10" s="120" t="s">
        <v>44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6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4</v>
      </c>
      <c r="E12" s="36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3</v>
      </c>
      <c r="E13" s="36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6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6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6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6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3</v>
      </c>
      <c r="E19" s="36" t="s">
        <v>61</v>
      </c>
      <c r="H19" s="35">
        <v>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6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6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6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4</v>
      </c>
      <c r="C24" s="35" t="s">
        <v>230</v>
      </c>
      <c r="D24" s="35">
        <v>0</v>
      </c>
      <c r="E24" s="36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6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7</v>
      </c>
      <c r="S25" s="45">
        <v>6</v>
      </c>
      <c r="T25" s="45">
        <v>3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1</v>
      </c>
      <c r="E26" s="36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6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6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4</v>
      </c>
      <c r="C30" s="35" t="s">
        <v>230</v>
      </c>
      <c r="D30" s="35">
        <v>2</v>
      </c>
      <c r="E30" s="36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1</v>
      </c>
      <c r="E31" s="36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2</v>
      </c>
      <c r="E32" s="36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3</v>
      </c>
      <c r="E33" s="36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6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4</v>
      </c>
      <c r="E35" s="36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6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6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6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6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6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6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6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6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6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6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6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3</v>
      </c>
      <c r="E49" s="36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4</v>
      </c>
      <c r="C51" s="35" t="s">
        <v>230</v>
      </c>
      <c r="D51" s="35">
        <v>1</v>
      </c>
      <c r="E51" s="36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4</v>
      </c>
      <c r="C52" s="35" t="s">
        <v>230</v>
      </c>
      <c r="D52" s="35">
        <v>0</v>
      </c>
      <c r="E52" s="36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2</v>
      </c>
      <c r="E53" s="36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6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6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4</v>
      </c>
      <c r="E56" s="36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171</v>
      </c>
    </row>
    <row r="62" spans="1:15" x14ac:dyDescent="0.25">
      <c r="A62" s="38" t="s">
        <v>88</v>
      </c>
    </row>
    <row r="63" spans="1:15" x14ac:dyDescent="0.25">
      <c r="A63" s="37" t="s">
        <v>169</v>
      </c>
    </row>
    <row r="64" spans="1:15" x14ac:dyDescent="0.25">
      <c r="A64" s="37" t="s">
        <v>170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64"/>
  <sheetViews>
    <sheetView topLeftCell="A4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281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2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235</v>
      </c>
      <c r="R11" s="171"/>
      <c r="S11" s="171"/>
      <c r="T11" s="171"/>
      <c r="U11" s="171"/>
      <c r="W11" s="120" t="s">
        <v>54</v>
      </c>
      <c r="X11" s="120"/>
      <c r="Y11" s="120"/>
      <c r="Z11" s="82">
        <v>2</v>
      </c>
      <c r="AB11" s="82">
        <v>1</v>
      </c>
      <c r="AC11" s="120" t="s">
        <v>50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1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2</v>
      </c>
      <c r="C19" s="35" t="s">
        <v>230</v>
      </c>
      <c r="D19" s="35">
        <v>1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1</v>
      </c>
      <c r="E23" s="39" t="s">
        <v>68</v>
      </c>
      <c r="H23" s="35">
        <v>10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1</v>
      </c>
      <c r="E24" s="39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8</v>
      </c>
      <c r="S25" s="45">
        <v>4</v>
      </c>
      <c r="T25" s="45">
        <v>5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1</v>
      </c>
      <c r="E26" s="39" t="s">
        <v>50</v>
      </c>
      <c r="H26" s="35">
        <v>25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3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0</v>
      </c>
      <c r="C44" s="35" t="s">
        <v>230</v>
      </c>
      <c r="D44" s="35">
        <v>0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2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149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5" customWidth="1"/>
    <col min="2" max="4" width="5.7109375" style="35" customWidth="1"/>
    <col min="5" max="5" width="17.7109375" style="35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4" width="5.7109375" style="36" customWidth="1"/>
    <col min="35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282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5" t="s">
        <v>65</v>
      </c>
      <c r="B3" s="35">
        <v>0</v>
      </c>
      <c r="C3" s="35" t="s">
        <v>230</v>
      </c>
      <c r="D3" s="35">
        <v>3</v>
      </c>
      <c r="E3" s="35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5" t="s">
        <v>46</v>
      </c>
      <c r="B4" s="35">
        <v>1</v>
      </c>
      <c r="C4" s="35" t="s">
        <v>230</v>
      </c>
      <c r="D4" s="35">
        <v>0</v>
      </c>
      <c r="E4" s="35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5" t="s">
        <v>56</v>
      </c>
      <c r="B5" s="35">
        <v>3</v>
      </c>
      <c r="C5" s="35" t="s">
        <v>230</v>
      </c>
      <c r="D5" s="35">
        <v>1</v>
      </c>
      <c r="E5" s="35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5" t="s">
        <v>56</v>
      </c>
      <c r="B6" s="35">
        <v>2</v>
      </c>
      <c r="C6" s="35" t="s">
        <v>230</v>
      </c>
      <c r="D6" s="35">
        <v>0</v>
      </c>
      <c r="E6" s="35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5" t="s">
        <v>51</v>
      </c>
      <c r="B7" s="35">
        <v>2</v>
      </c>
      <c r="C7" s="35" t="s">
        <v>230</v>
      </c>
      <c r="D7" s="35">
        <v>1</v>
      </c>
      <c r="E7" s="35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5" t="s">
        <v>57</v>
      </c>
      <c r="B9" s="35">
        <v>3</v>
      </c>
      <c r="C9" s="35" t="s">
        <v>230</v>
      </c>
      <c r="D9" s="35">
        <v>0</v>
      </c>
      <c r="E9" s="35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5" t="s">
        <v>231</v>
      </c>
      <c r="B10" s="35">
        <v>0</v>
      </c>
      <c r="C10" s="35" t="s">
        <v>230</v>
      </c>
      <c r="D10" s="35">
        <v>1</v>
      </c>
      <c r="E10" s="35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69</v>
      </c>
      <c r="X10" s="120"/>
      <c r="Y10" s="120"/>
      <c r="Z10" s="82">
        <v>0</v>
      </c>
      <c r="AB10" s="82">
        <v>0</v>
      </c>
      <c r="AC10" s="120" t="s">
        <v>246</v>
      </c>
      <c r="AD10" s="120"/>
      <c r="AE10" s="120"/>
    </row>
    <row r="11" spans="1:31" x14ac:dyDescent="0.25">
      <c r="A11" s="35" t="s">
        <v>71</v>
      </c>
      <c r="B11" s="35">
        <v>0</v>
      </c>
      <c r="C11" s="35" t="s">
        <v>230</v>
      </c>
      <c r="D11" s="35">
        <v>0</v>
      </c>
      <c r="E11" s="35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5" t="s">
        <v>57</v>
      </c>
      <c r="B12" s="35">
        <v>3</v>
      </c>
      <c r="C12" s="35" t="s">
        <v>230</v>
      </c>
      <c r="D12" s="35">
        <v>2</v>
      </c>
      <c r="E12" s="35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5" t="s">
        <v>58</v>
      </c>
      <c r="B13" s="35">
        <v>1</v>
      </c>
      <c r="C13" s="35" t="s">
        <v>230</v>
      </c>
      <c r="D13" s="35">
        <v>1</v>
      </c>
      <c r="E13" s="35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5" t="s">
        <v>71</v>
      </c>
      <c r="B14" s="35">
        <v>0</v>
      </c>
      <c r="C14" s="35" t="s">
        <v>230</v>
      </c>
      <c r="D14" s="35">
        <v>2</v>
      </c>
      <c r="E14" s="35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5" t="s">
        <v>40</v>
      </c>
      <c r="B16" s="35">
        <v>3</v>
      </c>
      <c r="C16" s="35" t="s">
        <v>230</v>
      </c>
      <c r="D16" s="35">
        <v>1</v>
      </c>
      <c r="E16" s="35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5" t="s">
        <v>61</v>
      </c>
      <c r="B17" s="35">
        <v>2</v>
      </c>
      <c r="C17" s="35" t="s">
        <v>230</v>
      </c>
      <c r="D17" s="35">
        <v>1</v>
      </c>
      <c r="E17" s="35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5" t="s">
        <v>63</v>
      </c>
      <c r="B18" s="35">
        <v>0</v>
      </c>
      <c r="C18" s="35" t="s">
        <v>230</v>
      </c>
      <c r="D18" s="35">
        <v>0</v>
      </c>
      <c r="E18" s="35" t="s">
        <v>232</v>
      </c>
      <c r="H18" s="35">
        <v>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5" t="s">
        <v>40</v>
      </c>
      <c r="B19" s="35">
        <v>1</v>
      </c>
      <c r="C19" s="35" t="s">
        <v>230</v>
      </c>
      <c r="D19" s="35">
        <v>2</v>
      </c>
      <c r="E19" s="35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5" t="s">
        <v>63</v>
      </c>
      <c r="B20" s="35">
        <v>2</v>
      </c>
      <c r="C20" s="35" t="s">
        <v>230</v>
      </c>
      <c r="D20" s="35">
        <v>3</v>
      </c>
      <c r="E20" s="35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5" t="s">
        <v>232</v>
      </c>
      <c r="B21" s="35">
        <v>2</v>
      </c>
      <c r="C21" s="35" t="s">
        <v>230</v>
      </c>
      <c r="D21" s="35">
        <v>3</v>
      </c>
      <c r="E21" s="35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5" t="s">
        <v>50</v>
      </c>
      <c r="B23" s="35">
        <v>3</v>
      </c>
      <c r="C23" s="35" t="s">
        <v>230</v>
      </c>
      <c r="D23" s="35">
        <v>0</v>
      </c>
      <c r="E23" s="35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5" t="s">
        <v>54</v>
      </c>
      <c r="B24" s="35">
        <v>4</v>
      </c>
      <c r="C24" s="35" t="s">
        <v>230</v>
      </c>
      <c r="D24" s="35">
        <v>2</v>
      </c>
      <c r="E24" s="35" t="s">
        <v>41</v>
      </c>
      <c r="H24" s="35">
        <v>15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5" t="s">
        <v>68</v>
      </c>
      <c r="B25" s="35">
        <v>0</v>
      </c>
      <c r="C25" s="35" t="s">
        <v>230</v>
      </c>
      <c r="D25" s="35">
        <v>3</v>
      </c>
      <c r="E25" s="35" t="s">
        <v>41</v>
      </c>
      <c r="H25" s="35">
        <v>15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7</v>
      </c>
      <c r="S25" s="45">
        <v>2</v>
      </c>
      <c r="T25" s="45">
        <v>8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5" t="s">
        <v>54</v>
      </c>
      <c r="B26" s="35">
        <v>4</v>
      </c>
      <c r="C26" s="35" t="s">
        <v>230</v>
      </c>
      <c r="D26" s="35">
        <v>2</v>
      </c>
      <c r="E26" s="35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5" t="s">
        <v>68</v>
      </c>
      <c r="B27" s="35">
        <v>0</v>
      </c>
      <c r="C27" s="35" t="s">
        <v>230</v>
      </c>
      <c r="D27" s="35">
        <v>1</v>
      </c>
      <c r="E27" s="35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5" t="s">
        <v>41</v>
      </c>
      <c r="B28" s="35">
        <v>3</v>
      </c>
      <c r="C28" s="35" t="s">
        <v>230</v>
      </c>
      <c r="D28" s="35">
        <v>2</v>
      </c>
      <c r="E28" s="35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5" t="s">
        <v>38</v>
      </c>
      <c r="B30" s="35">
        <v>3</v>
      </c>
      <c r="C30" s="35" t="s">
        <v>230</v>
      </c>
      <c r="D30" s="35">
        <v>0</v>
      </c>
      <c r="E30" s="35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5" t="s">
        <v>52</v>
      </c>
      <c r="B31" s="35">
        <v>3</v>
      </c>
      <c r="C31" s="35" t="s">
        <v>230</v>
      </c>
      <c r="D31" s="35">
        <v>0</v>
      </c>
      <c r="E31" s="35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5" t="s">
        <v>59</v>
      </c>
      <c r="B32" s="35">
        <v>0</v>
      </c>
      <c r="C32" s="35" t="s">
        <v>230</v>
      </c>
      <c r="D32" s="35">
        <v>3</v>
      </c>
      <c r="E32" s="35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5" t="s">
        <v>52</v>
      </c>
      <c r="B33" s="35">
        <v>0</v>
      </c>
      <c r="C33" s="35" t="s">
        <v>230</v>
      </c>
      <c r="D33" s="35">
        <v>0</v>
      </c>
      <c r="E33" s="35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5" t="s">
        <v>59</v>
      </c>
      <c r="B34" s="35">
        <v>1</v>
      </c>
      <c r="C34" s="35" t="s">
        <v>230</v>
      </c>
      <c r="D34" s="35">
        <v>2</v>
      </c>
      <c r="E34" s="35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5" t="s">
        <v>233</v>
      </c>
      <c r="B35" s="35">
        <v>2</v>
      </c>
      <c r="C35" s="35" t="s">
        <v>230</v>
      </c>
      <c r="D35" s="35">
        <v>4</v>
      </c>
      <c r="E35" s="35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5" t="s">
        <v>60</v>
      </c>
      <c r="B37" s="35">
        <v>1</v>
      </c>
      <c r="C37" s="35" t="s">
        <v>230</v>
      </c>
      <c r="D37" s="35">
        <v>2</v>
      </c>
      <c r="E37" s="35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5" t="s">
        <v>42</v>
      </c>
      <c r="B38" s="35">
        <v>3</v>
      </c>
      <c r="C38" s="35" t="s">
        <v>230</v>
      </c>
      <c r="D38" s="35">
        <v>0</v>
      </c>
      <c r="E38" s="35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5" t="s">
        <v>42</v>
      </c>
      <c r="B39" s="35">
        <v>0</v>
      </c>
      <c r="C39" s="35" t="s">
        <v>230</v>
      </c>
      <c r="D39" s="35">
        <v>0</v>
      </c>
      <c r="E39" s="35" t="s">
        <v>60</v>
      </c>
      <c r="H39" s="35">
        <v>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5" t="s">
        <v>49</v>
      </c>
      <c r="B40" s="35">
        <v>3</v>
      </c>
      <c r="C40" s="35" t="s">
        <v>230</v>
      </c>
      <c r="D40" s="35">
        <v>1</v>
      </c>
      <c r="E40" s="35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5" t="s">
        <v>49</v>
      </c>
      <c r="B41" s="35">
        <v>1</v>
      </c>
      <c r="C41" s="35" t="s">
        <v>230</v>
      </c>
      <c r="D41" s="35">
        <v>1</v>
      </c>
      <c r="E41" s="35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5" t="s">
        <v>45</v>
      </c>
      <c r="B42" s="35">
        <v>2</v>
      </c>
      <c r="C42" s="35" t="s">
        <v>230</v>
      </c>
      <c r="D42" s="35">
        <v>2</v>
      </c>
      <c r="E42" s="35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5" t="s">
        <v>67</v>
      </c>
      <c r="B44" s="35">
        <v>0</v>
      </c>
      <c r="C44" s="35" t="s">
        <v>230</v>
      </c>
      <c r="D44" s="35">
        <v>3</v>
      </c>
      <c r="E44" s="35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5" t="s">
        <v>43</v>
      </c>
      <c r="B45" s="35">
        <v>1</v>
      </c>
      <c r="C45" s="35" t="s">
        <v>230</v>
      </c>
      <c r="D45" s="35">
        <v>0</v>
      </c>
      <c r="E45" s="35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5" t="s">
        <v>44</v>
      </c>
      <c r="B46" s="35">
        <v>3</v>
      </c>
      <c r="C46" s="35" t="s">
        <v>230</v>
      </c>
      <c r="D46" s="35">
        <v>0</v>
      </c>
      <c r="E46" s="35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5" t="s">
        <v>43</v>
      </c>
      <c r="B47" s="35">
        <v>2</v>
      </c>
      <c r="C47" s="35" t="s">
        <v>230</v>
      </c>
      <c r="D47" s="35">
        <v>0</v>
      </c>
      <c r="E47" s="35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5" t="s">
        <v>44</v>
      </c>
      <c r="B48" s="35">
        <v>1</v>
      </c>
      <c r="C48" s="35" t="s">
        <v>230</v>
      </c>
      <c r="D48" s="35">
        <v>2</v>
      </c>
      <c r="E48" s="35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5" t="s">
        <v>66</v>
      </c>
      <c r="B49" s="35">
        <v>0</v>
      </c>
      <c r="C49" s="35" t="s">
        <v>230</v>
      </c>
      <c r="D49" s="35">
        <v>1</v>
      </c>
      <c r="E49" s="35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5" t="s">
        <v>69</v>
      </c>
      <c r="B51" s="35">
        <v>0</v>
      </c>
      <c r="C51" s="35" t="s">
        <v>230</v>
      </c>
      <c r="D51" s="35">
        <v>0</v>
      </c>
      <c r="E51" s="35" t="s">
        <v>246</v>
      </c>
      <c r="H51" s="35">
        <v>25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5" t="s">
        <v>64</v>
      </c>
      <c r="B52" s="35">
        <v>2</v>
      </c>
      <c r="C52" s="35" t="s">
        <v>230</v>
      </c>
      <c r="D52" s="35">
        <v>2</v>
      </c>
      <c r="E52" s="35" t="s">
        <v>55</v>
      </c>
      <c r="H52" s="35">
        <v>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5" t="s">
        <v>246</v>
      </c>
      <c r="B53" s="35">
        <v>2</v>
      </c>
      <c r="C53" s="35" t="s">
        <v>230</v>
      </c>
      <c r="D53" s="35">
        <v>2</v>
      </c>
      <c r="E53" s="35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5" t="s">
        <v>64</v>
      </c>
      <c r="B54" s="35">
        <v>2</v>
      </c>
      <c r="C54" s="35" t="s">
        <v>230</v>
      </c>
      <c r="D54" s="35">
        <v>3</v>
      </c>
      <c r="E54" s="35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5" t="s">
        <v>246</v>
      </c>
      <c r="B55" s="35">
        <v>0</v>
      </c>
      <c r="C55" s="35" t="s">
        <v>230</v>
      </c>
      <c r="D55" s="35">
        <v>0</v>
      </c>
      <c r="E55" s="35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5" t="s">
        <v>55</v>
      </c>
      <c r="B56" s="35">
        <v>0</v>
      </c>
      <c r="C56" s="35" t="s">
        <v>230</v>
      </c>
      <c r="D56" s="35">
        <v>1</v>
      </c>
      <c r="E56" s="35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43" t="s">
        <v>89</v>
      </c>
    </row>
    <row r="59" spans="1:15" x14ac:dyDescent="0.25">
      <c r="A59" s="35" t="s">
        <v>144</v>
      </c>
    </row>
    <row r="60" spans="1:15" x14ac:dyDescent="0.25">
      <c r="A60" s="35" t="s">
        <v>194</v>
      </c>
    </row>
    <row r="62" spans="1:15" x14ac:dyDescent="0.25">
      <c r="A62" s="43" t="s">
        <v>88</v>
      </c>
    </row>
    <row r="63" spans="1:15" x14ac:dyDescent="0.25">
      <c r="A63" s="35" t="s">
        <v>190</v>
      </c>
    </row>
    <row r="64" spans="1:15" x14ac:dyDescent="0.25">
      <c r="A64" s="35" t="s">
        <v>193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3" width="5.7109375" style="36" customWidth="1"/>
    <col min="34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283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4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1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3</v>
      </c>
      <c r="C10" s="35" t="s">
        <v>230</v>
      </c>
      <c r="D10" s="35">
        <v>2</v>
      </c>
      <c r="E10" s="39" t="s">
        <v>71</v>
      </c>
      <c r="H10" s="35">
        <v>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/>
      <c r="X10" s="120"/>
      <c r="Y10" s="120"/>
      <c r="AC10" s="120"/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135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1</v>
      </c>
      <c r="E12" s="39" t="s">
        <v>231</v>
      </c>
      <c r="H12" s="35">
        <v>10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2</v>
      </c>
      <c r="C13" s="35" t="s">
        <v>230</v>
      </c>
      <c r="D13" s="35">
        <v>4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4</v>
      </c>
      <c r="C16" s="35" t="s">
        <v>230</v>
      </c>
      <c r="D16" s="35">
        <v>2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3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3</v>
      </c>
      <c r="C20" s="35" t="s">
        <v>230</v>
      </c>
      <c r="D20" s="35">
        <v>4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2</v>
      </c>
      <c r="E24" s="39" t="s">
        <v>41</v>
      </c>
      <c r="H24" s="35">
        <v>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/>
      <c r="R25" s="45">
        <v>2</v>
      </c>
      <c r="S25" s="45">
        <v>8</v>
      </c>
      <c r="T25" s="45">
        <v>5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2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3</v>
      </c>
      <c r="C28" s="35" t="s">
        <v>230</v>
      </c>
      <c r="D28" s="35">
        <v>3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2</v>
      </c>
      <c r="E32" s="39" t="s">
        <v>233</v>
      </c>
      <c r="H32" s="35">
        <v>15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1</v>
      </c>
      <c r="E37" s="39" t="s">
        <v>49</v>
      </c>
      <c r="H37" s="35">
        <v>10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2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2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3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2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166</v>
      </c>
    </row>
    <row r="62" spans="1:15" x14ac:dyDescent="0.25">
      <c r="A62" s="38" t="s">
        <v>88</v>
      </c>
    </row>
    <row r="63" spans="1:15" x14ac:dyDescent="0.25">
      <c r="A63" s="37" t="s">
        <v>190</v>
      </c>
    </row>
    <row r="64" spans="1:15" x14ac:dyDescent="0.25">
      <c r="A64" s="37" t="s">
        <v>191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5" width="5.7109375" style="36" customWidth="1"/>
    <col min="36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285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0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0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1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1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0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42</v>
      </c>
      <c r="X10" s="120"/>
      <c r="Y10" s="120"/>
      <c r="Z10" s="82">
        <v>1</v>
      </c>
      <c r="AB10" s="82">
        <v>0</v>
      </c>
      <c r="AC10" s="120" t="s">
        <v>45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215</v>
      </c>
      <c r="R11" s="171"/>
      <c r="S11" s="171"/>
      <c r="T11" s="171"/>
      <c r="U11" s="171"/>
      <c r="W11" s="120" t="s">
        <v>67</v>
      </c>
      <c r="X11" s="120"/>
      <c r="Y11" s="120"/>
      <c r="Z11" s="82">
        <v>1</v>
      </c>
      <c r="AB11" s="82">
        <v>0</v>
      </c>
      <c r="AC11" s="120" t="s">
        <v>44</v>
      </c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0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0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1</v>
      </c>
      <c r="C16" s="35" t="s">
        <v>230</v>
      </c>
      <c r="D16" s="35">
        <v>0</v>
      </c>
      <c r="E16" s="39" t="s">
        <v>232</v>
      </c>
      <c r="H16" s="35">
        <v>5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0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0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5</v>
      </c>
      <c r="S25" s="45">
        <v>4</v>
      </c>
      <c r="T25" s="45">
        <v>10</v>
      </c>
      <c r="U25" s="45">
        <v>4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0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0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1</v>
      </c>
      <c r="C30" s="35" t="s">
        <v>230</v>
      </c>
      <c r="D30" s="35">
        <v>0</v>
      </c>
      <c r="E30" s="39" t="s">
        <v>59</v>
      </c>
      <c r="H30" s="35">
        <v>5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1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0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0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0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0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0</v>
      </c>
      <c r="E38" s="39" t="s">
        <v>45</v>
      </c>
      <c r="H38" s="35">
        <v>25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0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0</v>
      </c>
      <c r="E44" s="39" t="s">
        <v>44</v>
      </c>
      <c r="H44" s="35">
        <v>25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1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0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1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1</v>
      </c>
      <c r="C54" s="35" t="s">
        <v>230</v>
      </c>
      <c r="D54" s="35">
        <v>0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0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0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199</v>
      </c>
    </row>
    <row r="64" spans="1:15" x14ac:dyDescent="0.25">
      <c r="A64" s="37" t="s">
        <v>200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64"/>
  <sheetViews>
    <sheetView topLeftCell="A7"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1" width="5.7109375" style="36" customWidth="1"/>
    <col min="4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284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1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0</v>
      </c>
      <c r="C5" s="35" t="s">
        <v>230</v>
      </c>
      <c r="D5" s="35">
        <v>1</v>
      </c>
      <c r="E5" s="39" t="s">
        <v>51</v>
      </c>
      <c r="H5" s="35">
        <v>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0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0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1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170</v>
      </c>
      <c r="R11" s="171"/>
      <c r="S11" s="171"/>
      <c r="T11" s="171"/>
      <c r="U11" s="171"/>
      <c r="W11" s="120" t="s">
        <v>59</v>
      </c>
      <c r="X11" s="120"/>
      <c r="Y11" s="120"/>
      <c r="Z11" s="82">
        <v>0</v>
      </c>
      <c r="AB11" s="82">
        <v>1</v>
      </c>
      <c r="AC11" s="120" t="s">
        <v>233</v>
      </c>
      <c r="AD11" s="120"/>
      <c r="AE11" s="120"/>
    </row>
    <row r="12" spans="1:31" x14ac:dyDescent="0.25">
      <c r="A12" s="37" t="s">
        <v>57</v>
      </c>
      <c r="B12" s="35">
        <v>0</v>
      </c>
      <c r="C12" s="35" t="s">
        <v>230</v>
      </c>
      <c r="D12" s="35">
        <v>1</v>
      </c>
      <c r="E12" s="39" t="s">
        <v>231</v>
      </c>
      <c r="H12" s="35">
        <v>5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0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0</v>
      </c>
      <c r="C16" s="35" t="s">
        <v>230</v>
      </c>
      <c r="D16" s="35">
        <v>1</v>
      </c>
      <c r="E16" s="39" t="s">
        <v>232</v>
      </c>
      <c r="H16" s="35">
        <v>10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0</v>
      </c>
      <c r="C17" s="35" t="s">
        <v>230</v>
      </c>
      <c r="D17" s="35">
        <v>1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0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0</v>
      </c>
      <c r="C23" s="35" t="s">
        <v>230</v>
      </c>
      <c r="D23" s="35">
        <v>1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0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3</v>
      </c>
      <c r="T25" s="45">
        <v>9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0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0</v>
      </c>
      <c r="C30" s="35" t="s">
        <v>230</v>
      </c>
      <c r="D30" s="35">
        <v>1</v>
      </c>
      <c r="E30" s="39" t="s">
        <v>59</v>
      </c>
      <c r="H30" s="35">
        <v>10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0</v>
      </c>
      <c r="C31" s="35" t="s">
        <v>230</v>
      </c>
      <c r="D31" s="35">
        <v>1</v>
      </c>
      <c r="E31" s="39" t="s">
        <v>233</v>
      </c>
      <c r="H31" s="35">
        <v>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1</v>
      </c>
      <c r="E32" s="39" t="s">
        <v>233</v>
      </c>
      <c r="H32" s="35">
        <v>25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0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1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1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1</v>
      </c>
      <c r="E38" s="39" t="s">
        <v>45</v>
      </c>
      <c r="H38" s="35">
        <v>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0</v>
      </c>
      <c r="C39" s="35" t="s">
        <v>230</v>
      </c>
      <c r="D39" s="35">
        <v>1</v>
      </c>
      <c r="E39" s="39" t="s">
        <v>60</v>
      </c>
      <c r="H39" s="35">
        <v>15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0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0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0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0</v>
      </c>
      <c r="C44" s="35" t="s">
        <v>230</v>
      </c>
      <c r="D44" s="35">
        <v>1</v>
      </c>
      <c r="E44" s="39" t="s">
        <v>44</v>
      </c>
      <c r="H44" s="35">
        <v>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0</v>
      </c>
      <c r="C45" s="35" t="s">
        <v>230</v>
      </c>
      <c r="D45" s="35">
        <v>1</v>
      </c>
      <c r="E45" s="39" t="s">
        <v>66</v>
      </c>
      <c r="H45" s="35">
        <v>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0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0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0</v>
      </c>
      <c r="C51" s="35" t="s">
        <v>230</v>
      </c>
      <c r="D51" s="35">
        <v>1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0</v>
      </c>
      <c r="C52" s="35" t="s">
        <v>230</v>
      </c>
      <c r="D52" s="35">
        <v>1</v>
      </c>
      <c r="E52" s="39" t="s">
        <v>55</v>
      </c>
      <c r="H52" s="35">
        <v>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1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0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1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197</v>
      </c>
    </row>
    <row r="60" spans="1:15" x14ac:dyDescent="0.25">
      <c r="A60" s="37" t="s">
        <v>198</v>
      </c>
    </row>
    <row r="62" spans="1:15" x14ac:dyDescent="0.25">
      <c r="A62" s="38" t="s">
        <v>88</v>
      </c>
    </row>
    <row r="63" spans="1:15" x14ac:dyDescent="0.25">
      <c r="A63" s="37" t="s">
        <v>195</v>
      </c>
    </row>
    <row r="64" spans="1:15" x14ac:dyDescent="0.25">
      <c r="A64" s="37" t="s">
        <v>196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29:O29"/>
    <mergeCell ref="A36:E36"/>
    <mergeCell ref="A43:E43"/>
    <mergeCell ref="A50:E50"/>
    <mergeCell ref="K1:O1"/>
    <mergeCell ref="K8:O8"/>
    <mergeCell ref="K36:O36"/>
    <mergeCell ref="K43:O43"/>
    <mergeCell ref="K50:O50"/>
    <mergeCell ref="A2:E2"/>
    <mergeCell ref="A1:E1"/>
    <mergeCell ref="A8:E8"/>
    <mergeCell ref="A15:E15"/>
    <mergeCell ref="A22:E22"/>
    <mergeCell ref="A29:E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9" width="5.7109375" style="36" customWidth="1"/>
    <col min="40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295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1</v>
      </c>
      <c r="E4" s="39" t="s">
        <v>65</v>
      </c>
      <c r="H4" s="35">
        <v>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0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1</v>
      </c>
      <c r="C9" s="35" t="s">
        <v>230</v>
      </c>
      <c r="D9" s="35">
        <v>1</v>
      </c>
      <c r="E9" s="39" t="s">
        <v>58</v>
      </c>
      <c r="H9" s="35">
        <v>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2</v>
      </c>
      <c r="C10" s="35" t="s">
        <v>230</v>
      </c>
      <c r="D10" s="35">
        <v>1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68</v>
      </c>
      <c r="X10" s="120"/>
      <c r="Y10" s="120"/>
      <c r="Z10" s="82">
        <v>0</v>
      </c>
      <c r="AB10" s="82">
        <v>1</v>
      </c>
      <c r="AC10" s="120" t="s">
        <v>41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135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1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2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0</v>
      </c>
      <c r="E17" s="39" t="s">
        <v>63</v>
      </c>
      <c r="H17" s="35">
        <v>5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0</v>
      </c>
      <c r="C18" s="35" t="s">
        <v>230</v>
      </c>
      <c r="D18" s="35">
        <v>1</v>
      </c>
      <c r="E18" s="39" t="s">
        <v>232</v>
      </c>
      <c r="H18" s="35">
        <v>0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0</v>
      </c>
      <c r="E19" s="39" t="s">
        <v>61</v>
      </c>
      <c r="H19" s="35">
        <v>15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1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1</v>
      </c>
      <c r="C24" s="35" t="s">
        <v>230</v>
      </c>
      <c r="D24" s="35">
        <v>1</v>
      </c>
      <c r="E24" s="39" t="s">
        <v>41</v>
      </c>
      <c r="H24" s="35">
        <v>5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41">
        <v>25</v>
      </c>
      <c r="R24" s="41">
        <v>15</v>
      </c>
      <c r="S24" s="41">
        <v>10</v>
      </c>
      <c r="T24" s="41">
        <v>5</v>
      </c>
      <c r="U24" s="41">
        <v>0</v>
      </c>
      <c r="V24" s="41"/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1</v>
      </c>
      <c r="E25" s="39" t="s">
        <v>41</v>
      </c>
      <c r="H25" s="35">
        <v>25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3</v>
      </c>
      <c r="S25" s="45">
        <v>2</v>
      </c>
      <c r="T25" s="45">
        <v>9</v>
      </c>
      <c r="U25" s="45">
        <v>10</v>
      </c>
      <c r="V25" s="41"/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1</v>
      </c>
      <c r="C26" s="35" t="s">
        <v>230</v>
      </c>
      <c r="D26" s="35">
        <v>1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Q26" s="41"/>
      <c r="R26" s="41"/>
      <c r="S26" s="41"/>
      <c r="T26" s="41"/>
      <c r="U26" s="41"/>
      <c r="V26" s="41"/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1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Q27" s="41"/>
      <c r="R27" s="41"/>
      <c r="S27" s="41"/>
      <c r="T27" s="41"/>
      <c r="U27" s="41"/>
      <c r="V27" s="41"/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Q28" s="41"/>
      <c r="R28" s="41"/>
      <c r="S28" s="41"/>
      <c r="T28" s="41"/>
      <c r="U28" s="41"/>
      <c r="V28" s="41"/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Q29" s="41"/>
      <c r="R29" s="41"/>
      <c r="S29" s="41"/>
      <c r="T29" s="41"/>
      <c r="U29" s="41"/>
      <c r="V29" s="41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Q30" s="41"/>
      <c r="R30" s="41"/>
      <c r="S30" s="41"/>
      <c r="T30" s="41"/>
      <c r="U30" s="41"/>
      <c r="V30" s="41"/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1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1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2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1</v>
      </c>
      <c r="C38" s="35" t="s">
        <v>230</v>
      </c>
      <c r="D38" s="35">
        <v>1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3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1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0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1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0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1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194</v>
      </c>
    </row>
    <row r="62" spans="1:15" x14ac:dyDescent="0.25">
      <c r="A62" s="38" t="s">
        <v>88</v>
      </c>
    </row>
    <row r="63" spans="1:15" x14ac:dyDescent="0.25">
      <c r="A63" s="37" t="s">
        <v>203</v>
      </c>
    </row>
    <row r="64" spans="1:15" x14ac:dyDescent="0.25">
      <c r="A64" s="37" t="s">
        <v>165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0" width="5.7109375" style="82" customWidth="1"/>
    <col min="31" max="31" width="9.140625" style="82"/>
    <col min="32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288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3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2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3</v>
      </c>
      <c r="C5" s="35" t="s">
        <v>230</v>
      </c>
      <c r="D5" s="35">
        <v>2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5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2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4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1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3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5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3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3</v>
      </c>
      <c r="C23" s="35" t="s">
        <v>230</v>
      </c>
      <c r="D23" s="35">
        <v>1</v>
      </c>
      <c r="E23" s="39" t="s">
        <v>68</v>
      </c>
      <c r="H23" s="35">
        <v>0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1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9</v>
      </c>
      <c r="T25" s="45">
        <v>1</v>
      </c>
      <c r="U25" s="45">
        <v>10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0</v>
      </c>
      <c r="C27" s="35" t="s">
        <v>230</v>
      </c>
      <c r="D27" s="35">
        <v>4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2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4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0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5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4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2</v>
      </c>
      <c r="C53" s="35" t="s">
        <v>230</v>
      </c>
      <c r="D53" s="35">
        <v>2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4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218</v>
      </c>
    </row>
    <row r="62" spans="1:15" x14ac:dyDescent="0.25">
      <c r="A62" s="38" t="s">
        <v>88</v>
      </c>
    </row>
    <row r="63" spans="1:15" x14ac:dyDescent="0.25">
      <c r="A63" s="37" t="s">
        <v>219</v>
      </c>
    </row>
    <row r="64" spans="1:15" x14ac:dyDescent="0.25">
      <c r="A64" s="37" t="s">
        <v>220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36" width="5.7109375" style="36" customWidth="1"/>
    <col min="3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289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0</v>
      </c>
      <c r="C4" s="35" t="s">
        <v>230</v>
      </c>
      <c r="D4" s="35">
        <v>1</v>
      </c>
      <c r="E4" s="39" t="s">
        <v>65</v>
      </c>
      <c r="H4" s="35">
        <v>10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1</v>
      </c>
      <c r="C5" s="35" t="s">
        <v>230</v>
      </c>
      <c r="D5" s="35">
        <v>1</v>
      </c>
      <c r="E5" s="39" t="s">
        <v>51</v>
      </c>
      <c r="H5" s="35">
        <v>25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0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0</v>
      </c>
      <c r="C10" s="35" t="s">
        <v>230</v>
      </c>
      <c r="D10" s="35">
        <v>0</v>
      </c>
      <c r="E10" s="39" t="s">
        <v>71</v>
      </c>
      <c r="H10" s="35">
        <v>10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0</v>
      </c>
      <c r="C11" s="35" t="s">
        <v>230</v>
      </c>
      <c r="D11" s="35">
        <v>0</v>
      </c>
      <c r="E11" s="39" t="s">
        <v>58</v>
      </c>
      <c r="H11" s="35">
        <v>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190</v>
      </c>
      <c r="R11" s="171"/>
      <c r="S11" s="171"/>
      <c r="T11" s="171"/>
      <c r="U11" s="171"/>
      <c r="W11" s="120" t="s">
        <v>56</v>
      </c>
      <c r="X11" s="120"/>
      <c r="Y11" s="120"/>
      <c r="Z11" s="82">
        <v>1</v>
      </c>
      <c r="AB11" s="82">
        <v>1</v>
      </c>
      <c r="AC11" s="120" t="s">
        <v>51</v>
      </c>
      <c r="AD11" s="120"/>
      <c r="AE11" s="120"/>
    </row>
    <row r="12" spans="1:31" x14ac:dyDescent="0.25">
      <c r="A12" s="37" t="s">
        <v>57</v>
      </c>
      <c r="B12" s="35">
        <v>2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1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0</v>
      </c>
      <c r="C14" s="35" t="s">
        <v>230</v>
      </c>
      <c r="D14" s="35">
        <v>2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1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1</v>
      </c>
      <c r="C18" s="35" t="s">
        <v>230</v>
      </c>
      <c r="D18" s="35">
        <v>0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1</v>
      </c>
      <c r="C19" s="35" t="s">
        <v>230</v>
      </c>
      <c r="D19" s="35">
        <v>1</v>
      </c>
      <c r="E19" s="39" t="s">
        <v>61</v>
      </c>
      <c r="H19" s="35">
        <v>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0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0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0</v>
      </c>
      <c r="C25" s="35" t="s">
        <v>230</v>
      </c>
      <c r="D25" s="35">
        <v>0</v>
      </c>
      <c r="E25" s="39" t="s">
        <v>41</v>
      </c>
      <c r="H25" s="35">
        <v>5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3</v>
      </c>
      <c r="S25" s="45">
        <v>5</v>
      </c>
      <c r="T25" s="45">
        <v>9</v>
      </c>
      <c r="U25" s="45">
        <v>6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2</v>
      </c>
      <c r="E26" s="39" t="s">
        <v>50</v>
      </c>
      <c r="H26" s="35">
        <v>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2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0</v>
      </c>
      <c r="C28" s="35" t="s">
        <v>230</v>
      </c>
      <c r="D28" s="35">
        <v>2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1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0</v>
      </c>
      <c r="C32" s="35" t="s">
        <v>230</v>
      </c>
      <c r="D32" s="35">
        <v>0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1</v>
      </c>
      <c r="C33" s="35" t="s">
        <v>230</v>
      </c>
      <c r="D33" s="35">
        <v>1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3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3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0</v>
      </c>
      <c r="C38" s="35" t="s">
        <v>230</v>
      </c>
      <c r="D38" s="35">
        <v>0</v>
      </c>
      <c r="E38" s="39" t="s">
        <v>45</v>
      </c>
      <c r="H38" s="35">
        <v>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1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0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1</v>
      </c>
      <c r="C44" s="35" t="s">
        <v>230</v>
      </c>
      <c r="D44" s="35">
        <v>1</v>
      </c>
      <c r="E44" s="39" t="s">
        <v>44</v>
      </c>
      <c r="H44" s="35">
        <v>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0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2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1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1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2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206</v>
      </c>
    </row>
    <row r="62" spans="1:15" x14ac:dyDescent="0.25">
      <c r="A62" s="38" t="s">
        <v>88</v>
      </c>
    </row>
    <row r="63" spans="1:15" x14ac:dyDescent="0.25">
      <c r="A63" s="37" t="s">
        <v>204</v>
      </c>
    </row>
    <row r="64" spans="1:15" x14ac:dyDescent="0.25">
      <c r="A64" s="37" t="s">
        <v>205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6" width="5.7109375" style="36" customWidth="1"/>
    <col min="47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290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0</v>
      </c>
      <c r="C3" s="35" t="s">
        <v>230</v>
      </c>
      <c r="D3" s="35">
        <v>2</v>
      </c>
      <c r="E3" s="39" t="s">
        <v>56</v>
      </c>
      <c r="H3" s="35">
        <v>25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0</v>
      </c>
      <c r="E5" s="39" t="s">
        <v>51</v>
      </c>
      <c r="H5" s="35">
        <v>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0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1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37" t="s">
        <v>57</v>
      </c>
      <c r="B9" s="35">
        <v>2</v>
      </c>
      <c r="C9" s="35" t="s">
        <v>230</v>
      </c>
      <c r="D9" s="35">
        <v>0</v>
      </c>
      <c r="E9" s="39" t="s">
        <v>58</v>
      </c>
      <c r="H9" s="35">
        <v>10</v>
      </c>
      <c r="J9" s="36" t="str">
        <f>IF(Tabela!F10="","",Tabela!F10)</f>
        <v/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2</v>
      </c>
      <c r="E10" s="39" t="s">
        <v>71</v>
      </c>
      <c r="H10" s="35">
        <v>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65</v>
      </c>
      <c r="X10" s="120"/>
      <c r="Y10" s="120"/>
      <c r="Z10" s="82">
        <v>0</v>
      </c>
      <c r="AB10" s="82">
        <v>2</v>
      </c>
      <c r="AC10" s="120" t="s">
        <v>56</v>
      </c>
      <c r="AD10" s="120"/>
      <c r="AE10" s="120"/>
    </row>
    <row r="11" spans="1:31" x14ac:dyDescent="0.25">
      <c r="A11" s="37" t="s">
        <v>71</v>
      </c>
      <c r="B11" s="35">
        <v>2</v>
      </c>
      <c r="C11" s="35" t="s">
        <v>230</v>
      </c>
      <c r="D11" s="35">
        <v>0</v>
      </c>
      <c r="E11" s="39" t="s">
        <v>58</v>
      </c>
      <c r="H11" s="35">
        <v>0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210</v>
      </c>
      <c r="R11" s="171"/>
      <c r="S11" s="171"/>
      <c r="T11" s="171"/>
      <c r="U11" s="171"/>
      <c r="W11" s="120" t="s">
        <v>63</v>
      </c>
      <c r="X11" s="120"/>
      <c r="Y11" s="120"/>
      <c r="Z11" s="82">
        <v>2</v>
      </c>
      <c r="AB11" s="82">
        <v>0</v>
      </c>
      <c r="AC11" s="120" t="s">
        <v>232</v>
      </c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2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2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1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2</v>
      </c>
      <c r="C16" s="35" t="s">
        <v>230</v>
      </c>
      <c r="D16" s="35">
        <v>0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1</v>
      </c>
      <c r="C17" s="35" t="s">
        <v>230</v>
      </c>
      <c r="D17" s="35">
        <v>2</v>
      </c>
      <c r="E17" s="39" t="s">
        <v>63</v>
      </c>
      <c r="H17" s="35">
        <v>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0</v>
      </c>
      <c r="E18" s="39" t="s">
        <v>232</v>
      </c>
      <c r="H18" s="35">
        <v>25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1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2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3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1</v>
      </c>
      <c r="C25" s="35" t="s">
        <v>230</v>
      </c>
      <c r="D25" s="35">
        <v>2</v>
      </c>
      <c r="E25" s="39" t="s">
        <v>41</v>
      </c>
      <c r="H25" s="35">
        <v>10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2</v>
      </c>
      <c r="R25" s="45">
        <v>6</v>
      </c>
      <c r="S25" s="45">
        <v>5</v>
      </c>
      <c r="T25" s="45">
        <v>4</v>
      </c>
      <c r="U25" s="45">
        <v>8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2</v>
      </c>
      <c r="C26" s="35" t="s">
        <v>230</v>
      </c>
      <c r="D26" s="35">
        <v>0</v>
      </c>
      <c r="E26" s="39" t="s">
        <v>50</v>
      </c>
      <c r="H26" s="35">
        <v>15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1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0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2</v>
      </c>
      <c r="C31" s="35" t="s">
        <v>230</v>
      </c>
      <c r="D31" s="35">
        <v>0</v>
      </c>
      <c r="E31" s="39" t="s">
        <v>233</v>
      </c>
      <c r="H31" s="35">
        <v>15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2</v>
      </c>
      <c r="C32" s="35" t="s">
        <v>230</v>
      </c>
      <c r="D32" s="35">
        <v>0</v>
      </c>
      <c r="E32" s="39" t="s">
        <v>233</v>
      </c>
      <c r="H32" s="35">
        <v>0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2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0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0</v>
      </c>
      <c r="C37" s="35" t="s">
        <v>230</v>
      </c>
      <c r="D37" s="35">
        <v>2</v>
      </c>
      <c r="E37" s="39" t="s">
        <v>49</v>
      </c>
      <c r="H37" s="35">
        <v>5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2</v>
      </c>
      <c r="C38" s="35" t="s">
        <v>230</v>
      </c>
      <c r="D38" s="35">
        <v>0</v>
      </c>
      <c r="E38" s="39" t="s">
        <v>45</v>
      </c>
      <c r="H38" s="35">
        <v>15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3</v>
      </c>
      <c r="C39" s="35" t="s">
        <v>230</v>
      </c>
      <c r="D39" s="35">
        <v>0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1</v>
      </c>
      <c r="C40" s="35" t="s">
        <v>230</v>
      </c>
      <c r="D40" s="35">
        <v>0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1</v>
      </c>
      <c r="C41" s="35" t="s">
        <v>230</v>
      </c>
      <c r="D41" s="35">
        <v>1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1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0</v>
      </c>
      <c r="E44" s="39" t="s">
        <v>44</v>
      </c>
      <c r="H44" s="35">
        <v>15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2</v>
      </c>
      <c r="C45" s="35" t="s">
        <v>230</v>
      </c>
      <c r="D45" s="35">
        <v>1</v>
      </c>
      <c r="E45" s="39" t="s">
        <v>66</v>
      </c>
      <c r="H45" s="35">
        <v>15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1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0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0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1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0</v>
      </c>
      <c r="E51" s="39" t="s">
        <v>246</v>
      </c>
      <c r="H51" s="35">
        <v>5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2</v>
      </c>
      <c r="C52" s="35" t="s">
        <v>230</v>
      </c>
      <c r="D52" s="35">
        <v>0</v>
      </c>
      <c r="E52" s="39" t="s">
        <v>55</v>
      </c>
      <c r="H52" s="35">
        <v>10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0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2</v>
      </c>
      <c r="C54" s="35" t="s">
        <v>230</v>
      </c>
      <c r="D54" s="35">
        <v>1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0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0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158</v>
      </c>
    </row>
    <row r="62" spans="1:15" x14ac:dyDescent="0.25">
      <c r="A62" s="38" t="s">
        <v>88</v>
      </c>
    </row>
    <row r="63" spans="1:15" x14ac:dyDescent="0.25">
      <c r="A63" s="37" t="s">
        <v>216</v>
      </c>
    </row>
    <row r="64" spans="1:15" x14ac:dyDescent="0.25">
      <c r="A64" s="37" t="s">
        <v>165</v>
      </c>
    </row>
  </sheetData>
  <mergeCells count="63"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K36:O36"/>
    <mergeCell ref="K43:O43"/>
    <mergeCell ref="K50:O50"/>
    <mergeCell ref="K29:O29"/>
    <mergeCell ref="A29:E29"/>
    <mergeCell ref="A36:E36"/>
    <mergeCell ref="A43:E43"/>
    <mergeCell ref="A50:E50"/>
    <mergeCell ref="A1:E1"/>
    <mergeCell ref="A8:E8"/>
    <mergeCell ref="A15:E15"/>
    <mergeCell ref="A22:E22"/>
    <mergeCell ref="K1:O1"/>
    <mergeCell ref="K8:O8"/>
    <mergeCell ref="A2:E2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64"/>
  <sheetViews>
    <sheetView zoomScale="85" zoomScaleNormal="85" workbookViewId="0">
      <selection activeCell="Q25" sqref="Q25:U25"/>
    </sheetView>
  </sheetViews>
  <sheetFormatPr defaultRowHeight="15" x14ac:dyDescent="0.25"/>
  <cols>
    <col min="1" max="1" width="17.7109375" style="37" customWidth="1"/>
    <col min="2" max="4" width="5.7109375" style="35" customWidth="1"/>
    <col min="5" max="5" width="17.7109375" style="39" customWidth="1"/>
    <col min="6" max="7" width="2.7109375" style="36" customWidth="1"/>
    <col min="8" max="8" width="7.140625" style="35" bestFit="1" customWidth="1"/>
    <col min="9" max="10" width="2.7109375" style="36" customWidth="1"/>
    <col min="11" max="11" width="17.7109375" style="37" customWidth="1"/>
    <col min="12" max="14" width="5.7109375" style="35" customWidth="1"/>
    <col min="15" max="15" width="17.7109375" style="39" customWidth="1"/>
    <col min="16" max="22" width="5.7109375" style="36" customWidth="1"/>
    <col min="23" max="31" width="5.7109375" style="82" customWidth="1"/>
    <col min="32" max="43" width="5.7109375" style="36" customWidth="1"/>
    <col min="44" max="16384" width="9.140625" style="36"/>
  </cols>
  <sheetData>
    <row r="1" spans="1:31" x14ac:dyDescent="0.25">
      <c r="A1" s="168" t="s">
        <v>236</v>
      </c>
      <c r="B1" s="168"/>
      <c r="C1" s="168"/>
      <c r="D1" s="168"/>
      <c r="E1" s="168"/>
      <c r="K1" s="169" t="s">
        <v>236</v>
      </c>
      <c r="L1" s="169"/>
      <c r="M1" s="169"/>
      <c r="N1" s="169"/>
      <c r="O1" s="169"/>
    </row>
    <row r="2" spans="1:31" x14ac:dyDescent="0.25">
      <c r="A2" s="174" t="s">
        <v>192</v>
      </c>
      <c r="B2" s="174"/>
      <c r="C2" s="174"/>
      <c r="D2" s="174"/>
      <c r="E2" s="174"/>
      <c r="J2" s="36" t="s">
        <v>269</v>
      </c>
      <c r="K2" s="37" t="str">
        <f>Tabela!A3</f>
        <v>Catar</v>
      </c>
      <c r="L2" s="35">
        <f>Tabela!B3</f>
        <v>0</v>
      </c>
      <c r="M2" s="35" t="str">
        <f>Tabela!C3</f>
        <v>x</v>
      </c>
      <c r="N2" s="35">
        <f>Tabela!D3</f>
        <v>2</v>
      </c>
      <c r="O2" s="39" t="str">
        <f>Tabela!E3</f>
        <v>Equador</v>
      </c>
      <c r="W2" s="170" t="s">
        <v>291</v>
      </c>
      <c r="X2" s="170"/>
      <c r="Y2" s="170"/>
      <c r="Z2" s="170"/>
      <c r="AA2" s="170"/>
      <c r="AB2" s="170"/>
      <c r="AC2" s="170"/>
      <c r="AD2" s="170"/>
      <c r="AE2" s="170"/>
    </row>
    <row r="3" spans="1:31" x14ac:dyDescent="0.25">
      <c r="A3" s="37" t="s">
        <v>65</v>
      </c>
      <c r="B3" s="35">
        <v>1</v>
      </c>
      <c r="C3" s="35" t="s">
        <v>230</v>
      </c>
      <c r="D3" s="35">
        <v>2</v>
      </c>
      <c r="E3" s="39" t="s">
        <v>56</v>
      </c>
      <c r="H3" s="35">
        <v>15</v>
      </c>
      <c r="J3" s="36" t="str">
        <f>IF(Tabela!F4="","",Tabela!F4)</f>
        <v/>
      </c>
      <c r="K3" s="37" t="str">
        <f>Tabela!A4</f>
        <v>Senegal</v>
      </c>
      <c r="L3" s="35">
        <f>Tabela!B4</f>
        <v>0</v>
      </c>
      <c r="M3" s="35" t="str">
        <f>Tabela!C4</f>
        <v>x</v>
      </c>
      <c r="N3" s="35">
        <f>Tabela!D4</f>
        <v>2</v>
      </c>
      <c r="O3" s="39" t="str">
        <f>Tabela!E4</f>
        <v>Holanda</v>
      </c>
      <c r="W3" s="170"/>
      <c r="X3" s="170"/>
      <c r="Y3" s="170"/>
      <c r="Z3" s="170"/>
      <c r="AA3" s="170"/>
      <c r="AB3" s="170"/>
      <c r="AC3" s="170"/>
      <c r="AD3" s="170"/>
      <c r="AE3" s="170"/>
    </row>
    <row r="4" spans="1:31" x14ac:dyDescent="0.25">
      <c r="A4" s="37" t="s">
        <v>46</v>
      </c>
      <c r="B4" s="35">
        <v>1</v>
      </c>
      <c r="C4" s="35" t="s">
        <v>230</v>
      </c>
      <c r="D4" s="35">
        <v>2</v>
      </c>
      <c r="E4" s="39" t="s">
        <v>65</v>
      </c>
      <c r="H4" s="35">
        <v>15</v>
      </c>
      <c r="J4" s="36" t="str">
        <f>IF(Tabela!F5="","",Tabela!F5)</f>
        <v/>
      </c>
      <c r="K4" s="37" t="str">
        <f>Tabela!A5</f>
        <v>Catar</v>
      </c>
      <c r="L4" s="35">
        <f>Tabela!B5</f>
        <v>1</v>
      </c>
      <c r="M4" s="35" t="str">
        <f>Tabela!C5</f>
        <v>x</v>
      </c>
      <c r="N4" s="35">
        <f>Tabela!D5</f>
        <v>3</v>
      </c>
      <c r="O4" s="39" t="str">
        <f>Tabela!E5</f>
        <v>Senegal</v>
      </c>
      <c r="W4" s="170"/>
      <c r="X4" s="170"/>
      <c r="Y4" s="170"/>
      <c r="Z4" s="170"/>
      <c r="AA4" s="170"/>
      <c r="AB4" s="170"/>
      <c r="AC4" s="170"/>
      <c r="AD4" s="170"/>
      <c r="AE4" s="170"/>
    </row>
    <row r="5" spans="1:31" x14ac:dyDescent="0.25">
      <c r="A5" s="37" t="s">
        <v>56</v>
      </c>
      <c r="B5" s="35">
        <v>2</v>
      </c>
      <c r="C5" s="35" t="s">
        <v>230</v>
      </c>
      <c r="D5" s="35">
        <v>2</v>
      </c>
      <c r="E5" s="39" t="s">
        <v>51</v>
      </c>
      <c r="H5" s="35">
        <v>10</v>
      </c>
      <c r="J5" s="36" t="str">
        <f>IF(Tabela!F6="","",Tabela!F6)</f>
        <v/>
      </c>
      <c r="K5" s="37" t="str">
        <f>Tabela!A6</f>
        <v>Holanda</v>
      </c>
      <c r="L5" s="35">
        <f>Tabela!B6</f>
        <v>1</v>
      </c>
      <c r="M5" s="35" t="str">
        <f>Tabela!C6</f>
        <v>x</v>
      </c>
      <c r="N5" s="35">
        <f>Tabela!D6</f>
        <v>1</v>
      </c>
      <c r="O5" s="39" t="str">
        <f>Tabela!E6</f>
        <v>Equador</v>
      </c>
      <c r="W5" s="170"/>
      <c r="X5" s="170"/>
      <c r="Y5" s="170"/>
      <c r="Z5" s="170"/>
      <c r="AA5" s="170"/>
      <c r="AB5" s="170"/>
      <c r="AC5" s="170"/>
      <c r="AD5" s="170"/>
      <c r="AE5" s="170"/>
    </row>
    <row r="6" spans="1:31" x14ac:dyDescent="0.25">
      <c r="A6" s="37" t="s">
        <v>56</v>
      </c>
      <c r="B6" s="35">
        <v>3</v>
      </c>
      <c r="C6" s="35" t="s">
        <v>230</v>
      </c>
      <c r="D6" s="35">
        <v>1</v>
      </c>
      <c r="E6" s="39" t="s">
        <v>46</v>
      </c>
      <c r="J6" s="36" t="str">
        <f>IF(Tabela!F7="","",Tabela!F7)</f>
        <v>N</v>
      </c>
      <c r="K6" s="37" t="str">
        <f>Tabela!A7</f>
        <v>Holanda</v>
      </c>
      <c r="L6" s="35">
        <f>Tabela!B7</f>
        <v>0</v>
      </c>
      <c r="M6" s="35" t="str">
        <f>Tabela!C7</f>
        <v>x</v>
      </c>
      <c r="N6" s="35">
        <f>Tabela!D7</f>
        <v>0</v>
      </c>
      <c r="O6" s="39" t="str">
        <f>Tabela!E7</f>
        <v>Catar</v>
      </c>
      <c r="W6" s="170"/>
      <c r="X6" s="170"/>
      <c r="Y6" s="170"/>
      <c r="Z6" s="170"/>
      <c r="AA6" s="170"/>
      <c r="AB6" s="170"/>
      <c r="AC6" s="170"/>
      <c r="AD6" s="170"/>
      <c r="AE6" s="170"/>
    </row>
    <row r="7" spans="1:31" x14ac:dyDescent="0.25">
      <c r="A7" s="37" t="s">
        <v>51</v>
      </c>
      <c r="B7" s="35">
        <v>2</v>
      </c>
      <c r="C7" s="35" t="s">
        <v>230</v>
      </c>
      <c r="D7" s="35">
        <v>1</v>
      </c>
      <c r="E7" s="39" t="s">
        <v>65</v>
      </c>
      <c r="J7" s="36" t="str">
        <f>IF(Tabela!F8="","",Tabela!F8)</f>
        <v>N</v>
      </c>
      <c r="K7" s="37" t="str">
        <f>Tabela!A8</f>
        <v>Equador</v>
      </c>
      <c r="L7" s="35">
        <f>Tabela!B8</f>
        <v>0</v>
      </c>
      <c r="M7" s="35" t="str">
        <f>Tabela!C8</f>
        <v>x</v>
      </c>
      <c r="N7" s="35">
        <f>Tabela!D8</f>
        <v>0</v>
      </c>
      <c r="O7" s="39" t="str">
        <f>Tabela!E8</f>
        <v>Senegal</v>
      </c>
    </row>
    <row r="8" spans="1:31" x14ac:dyDescent="0.25">
      <c r="A8" s="168" t="s">
        <v>243</v>
      </c>
      <c r="B8" s="168"/>
      <c r="C8" s="168"/>
      <c r="D8" s="168"/>
      <c r="E8" s="168"/>
      <c r="J8" s="36" t="str">
        <f>IF(Tabela!F9="","",Tabela!F9)</f>
        <v/>
      </c>
      <c r="K8" s="169" t="s">
        <v>243</v>
      </c>
      <c r="L8" s="169"/>
      <c r="M8" s="169"/>
      <c r="N8" s="169"/>
      <c r="O8" s="169"/>
    </row>
    <row r="9" spans="1:31" x14ac:dyDescent="0.25">
      <c r="A9" s="174" t="s">
        <v>192</v>
      </c>
      <c r="B9" s="174"/>
      <c r="C9" s="174"/>
      <c r="D9" s="174"/>
      <c r="E9" s="174"/>
      <c r="J9" s="36" t="s">
        <v>269</v>
      </c>
      <c r="K9" s="37" t="str">
        <f>Tabela!A10</f>
        <v>Inglaterra</v>
      </c>
      <c r="L9" s="37">
        <f>Tabela!B10</f>
        <v>6</v>
      </c>
      <c r="M9" s="37" t="str">
        <f>Tabela!C10</f>
        <v>x</v>
      </c>
      <c r="N9" s="37">
        <f>Tabela!D10</f>
        <v>2</v>
      </c>
      <c r="O9" s="39" t="str">
        <f>Tabela!E10</f>
        <v>Irã</v>
      </c>
      <c r="Q9" s="172" t="s">
        <v>244</v>
      </c>
      <c r="R9" s="172"/>
      <c r="S9" s="172"/>
      <c r="T9" s="172"/>
      <c r="U9" s="172"/>
      <c r="W9" s="120" t="s">
        <v>326</v>
      </c>
      <c r="X9" s="120"/>
      <c r="Y9" s="120"/>
      <c r="Z9" s="120"/>
      <c r="AA9" s="120"/>
      <c r="AB9" s="120"/>
      <c r="AC9" s="120"/>
      <c r="AD9" s="120"/>
      <c r="AE9" s="120"/>
    </row>
    <row r="10" spans="1:31" x14ac:dyDescent="0.25">
      <c r="A10" s="37" t="s">
        <v>231</v>
      </c>
      <c r="B10" s="35">
        <v>1</v>
      </c>
      <c r="C10" s="35" t="s">
        <v>230</v>
      </c>
      <c r="D10" s="35">
        <v>1</v>
      </c>
      <c r="E10" s="39" t="s">
        <v>71</v>
      </c>
      <c r="H10" s="35">
        <v>25</v>
      </c>
      <c r="J10" s="36" t="str">
        <f>IF(Tabela!F11="","",Tabela!F11)</f>
        <v/>
      </c>
      <c r="K10" s="37" t="str">
        <f>Tabela!A11</f>
        <v>Estados Unidos</v>
      </c>
      <c r="L10" s="37">
        <f>Tabela!B11</f>
        <v>1</v>
      </c>
      <c r="M10" s="37" t="str">
        <f>Tabela!C11</f>
        <v>x</v>
      </c>
      <c r="N10" s="37">
        <f>Tabela!D11</f>
        <v>1</v>
      </c>
      <c r="O10" s="39" t="str">
        <f>Tabela!E11</f>
        <v>Gales</v>
      </c>
      <c r="Q10" s="172"/>
      <c r="R10" s="172"/>
      <c r="S10" s="172"/>
      <c r="T10" s="172"/>
      <c r="U10" s="172"/>
      <c r="W10" s="120" t="s">
        <v>53</v>
      </c>
      <c r="X10" s="120"/>
      <c r="Y10" s="120"/>
      <c r="Z10" s="82">
        <v>1</v>
      </c>
      <c r="AB10" s="82">
        <v>1</v>
      </c>
      <c r="AC10" s="120" t="s">
        <v>71</v>
      </c>
      <c r="AD10" s="120"/>
      <c r="AE10" s="120"/>
    </row>
    <row r="11" spans="1:31" x14ac:dyDescent="0.25">
      <c r="A11" s="37" t="s">
        <v>71</v>
      </c>
      <c r="B11" s="35">
        <v>1</v>
      </c>
      <c r="C11" s="35" t="s">
        <v>230</v>
      </c>
      <c r="D11" s="35">
        <v>2</v>
      </c>
      <c r="E11" s="39" t="s">
        <v>58</v>
      </c>
      <c r="H11" s="35">
        <v>15</v>
      </c>
      <c r="J11" s="36" t="str">
        <f>IF(Tabela!F12="","",Tabela!F12)</f>
        <v/>
      </c>
      <c r="K11" s="37" t="str">
        <f>Tabela!A12</f>
        <v>Gales</v>
      </c>
      <c r="L11" s="37">
        <f>Tabela!B12</f>
        <v>0</v>
      </c>
      <c r="M11" s="37" t="str">
        <f>Tabela!C12</f>
        <v>x</v>
      </c>
      <c r="N11" s="37">
        <f>Tabela!D12</f>
        <v>2</v>
      </c>
      <c r="O11" s="39" t="str">
        <f>Tabela!E12</f>
        <v>Irã</v>
      </c>
      <c r="Q11" s="171">
        <f>SUM(H2:H56)</f>
        <v>200</v>
      </c>
      <c r="R11" s="171"/>
      <c r="S11" s="171"/>
      <c r="T11" s="171"/>
      <c r="U11" s="171"/>
      <c r="W11" s="120"/>
      <c r="X11" s="120"/>
      <c r="Y11" s="120"/>
      <c r="AC11" s="120"/>
      <c r="AD11" s="120"/>
      <c r="AE11" s="120"/>
    </row>
    <row r="12" spans="1:31" x14ac:dyDescent="0.25">
      <c r="A12" s="37" t="s">
        <v>57</v>
      </c>
      <c r="B12" s="35">
        <v>3</v>
      </c>
      <c r="C12" s="35" t="s">
        <v>230</v>
      </c>
      <c r="D12" s="35">
        <v>1</v>
      </c>
      <c r="E12" s="39" t="s">
        <v>231</v>
      </c>
      <c r="H12" s="35">
        <v>0</v>
      </c>
      <c r="J12" s="36" t="str">
        <f>IF(Tabela!F13="","",Tabela!F13)</f>
        <v/>
      </c>
      <c r="K12" s="37" t="str">
        <f>Tabela!A13</f>
        <v>Inglaterra</v>
      </c>
      <c r="L12" s="37">
        <f>Tabela!B13</f>
        <v>0</v>
      </c>
      <c r="M12" s="37" t="str">
        <f>Tabela!C13</f>
        <v>x</v>
      </c>
      <c r="N12" s="37">
        <f>Tabela!D13</f>
        <v>0</v>
      </c>
      <c r="O12" s="39" t="str">
        <f>Tabela!E13</f>
        <v>Estados Unidos</v>
      </c>
      <c r="Q12" s="171"/>
      <c r="R12" s="171"/>
      <c r="S12" s="171"/>
      <c r="T12" s="171"/>
      <c r="U12" s="171"/>
      <c r="W12" s="120"/>
      <c r="X12" s="120"/>
      <c r="Y12" s="120"/>
      <c r="AC12" s="120"/>
      <c r="AD12" s="120"/>
      <c r="AE12" s="120"/>
    </row>
    <row r="13" spans="1:31" x14ac:dyDescent="0.25">
      <c r="A13" s="37" t="s">
        <v>58</v>
      </c>
      <c r="B13" s="35">
        <v>1</v>
      </c>
      <c r="C13" s="35" t="s">
        <v>230</v>
      </c>
      <c r="D13" s="35">
        <v>0</v>
      </c>
      <c r="E13" s="39" t="s">
        <v>231</v>
      </c>
      <c r="J13" s="36" t="str">
        <f>IF(Tabela!F14="","",Tabela!F14)</f>
        <v>N</v>
      </c>
      <c r="K13" s="37" t="str">
        <f>Tabela!A14</f>
        <v>Irã</v>
      </c>
      <c r="L13" s="37">
        <f>Tabela!B14</f>
        <v>0</v>
      </c>
      <c r="M13" s="37" t="str">
        <f>Tabela!C14</f>
        <v>x</v>
      </c>
      <c r="N13" s="37">
        <f>Tabela!D14</f>
        <v>0</v>
      </c>
      <c r="O13" s="39" t="str">
        <f>Tabela!E14</f>
        <v>Estados Unidos</v>
      </c>
      <c r="Q13" s="171"/>
      <c r="R13" s="171"/>
      <c r="S13" s="171"/>
      <c r="T13" s="171"/>
      <c r="U13" s="171"/>
      <c r="W13" s="120"/>
      <c r="X13" s="120"/>
      <c r="Y13" s="120"/>
      <c r="AC13" s="120"/>
      <c r="AD13" s="120"/>
      <c r="AE13" s="120"/>
    </row>
    <row r="14" spans="1:31" x14ac:dyDescent="0.25">
      <c r="A14" s="37" t="s">
        <v>71</v>
      </c>
      <c r="B14" s="35">
        <v>1</v>
      </c>
      <c r="C14" s="35" t="s">
        <v>230</v>
      </c>
      <c r="D14" s="35">
        <v>4</v>
      </c>
      <c r="E14" s="39" t="s">
        <v>57</v>
      </c>
      <c r="J14" s="36" t="str">
        <f>IF(Tabela!F15="","",Tabela!F15)</f>
        <v>N</v>
      </c>
      <c r="K14" s="37" t="str">
        <f>Tabela!A15</f>
        <v>Gales</v>
      </c>
      <c r="L14" s="37">
        <f>Tabela!B15</f>
        <v>0</v>
      </c>
      <c r="M14" s="37" t="str">
        <f>Tabela!C15</f>
        <v>x</v>
      </c>
      <c r="N14" s="37">
        <f>Tabela!D15</f>
        <v>0</v>
      </c>
      <c r="O14" s="39" t="str">
        <f>Tabela!E15</f>
        <v>Inglaterra</v>
      </c>
      <c r="Q14" s="171"/>
      <c r="R14" s="171"/>
      <c r="S14" s="171"/>
      <c r="T14" s="171"/>
      <c r="U14" s="171"/>
      <c r="W14" s="120"/>
      <c r="X14" s="120"/>
      <c r="Y14" s="120"/>
      <c r="AC14" s="120"/>
      <c r="AD14" s="120"/>
      <c r="AE14" s="120"/>
    </row>
    <row r="15" spans="1:31" x14ac:dyDescent="0.25">
      <c r="A15" s="168" t="s">
        <v>242</v>
      </c>
      <c r="B15" s="168"/>
      <c r="C15" s="168"/>
      <c r="D15" s="168"/>
      <c r="E15" s="168"/>
      <c r="J15" s="36" t="str">
        <f>IF(Tabela!F16="","",Tabela!F16)</f>
        <v/>
      </c>
      <c r="K15" s="169" t="s">
        <v>242</v>
      </c>
      <c r="L15" s="169"/>
      <c r="M15" s="169"/>
      <c r="N15" s="169"/>
      <c r="O15" s="169"/>
      <c r="Q15" s="171"/>
      <c r="R15" s="171"/>
      <c r="S15" s="171"/>
      <c r="T15" s="171"/>
      <c r="U15" s="171"/>
      <c r="W15" s="120"/>
      <c r="X15" s="120"/>
      <c r="Y15" s="120"/>
      <c r="AC15" s="120"/>
      <c r="AD15" s="120"/>
      <c r="AE15" s="120"/>
    </row>
    <row r="16" spans="1:31" x14ac:dyDescent="0.25">
      <c r="A16" s="37" t="s">
        <v>40</v>
      </c>
      <c r="B16" s="35">
        <v>3</v>
      </c>
      <c r="C16" s="35" t="s">
        <v>230</v>
      </c>
      <c r="D16" s="35">
        <v>1</v>
      </c>
      <c r="E16" s="39" t="s">
        <v>232</v>
      </c>
      <c r="H16" s="35">
        <v>0</v>
      </c>
      <c r="J16" s="36" t="str">
        <f>IF(Tabela!F17="","",Tabela!F17)</f>
        <v/>
      </c>
      <c r="K16" s="37" t="str">
        <f>Tabela!A17</f>
        <v>Argentina</v>
      </c>
      <c r="L16" s="37">
        <f>Tabela!B17</f>
        <v>1</v>
      </c>
      <c r="M16" s="37" t="str">
        <f>Tabela!C17</f>
        <v>x</v>
      </c>
      <c r="N16" s="37">
        <f>Tabela!D17</f>
        <v>2</v>
      </c>
      <c r="O16" s="39" t="str">
        <f>Tabela!E17</f>
        <v>ArábiaSaudita</v>
      </c>
      <c r="W16" s="120"/>
      <c r="X16" s="120"/>
      <c r="Y16" s="120"/>
      <c r="AC16" s="120"/>
      <c r="AD16" s="120"/>
      <c r="AE16" s="120"/>
    </row>
    <row r="17" spans="1:31" x14ac:dyDescent="0.25">
      <c r="A17" s="37" t="s">
        <v>61</v>
      </c>
      <c r="B17" s="35">
        <v>2</v>
      </c>
      <c r="C17" s="35" t="s">
        <v>230</v>
      </c>
      <c r="D17" s="35">
        <v>2</v>
      </c>
      <c r="E17" s="39" t="s">
        <v>63</v>
      </c>
      <c r="H17" s="35">
        <v>10</v>
      </c>
      <c r="J17" s="36" t="str">
        <f>IF(Tabela!F18="","",Tabela!F18)</f>
        <v/>
      </c>
      <c r="K17" s="37" t="str">
        <f>Tabela!A18</f>
        <v>México</v>
      </c>
      <c r="L17" s="37">
        <f>Tabela!B18</f>
        <v>0</v>
      </c>
      <c r="M17" s="37" t="str">
        <f>Tabela!C18</f>
        <v>x</v>
      </c>
      <c r="N17" s="37">
        <f>Tabela!D18</f>
        <v>0</v>
      </c>
      <c r="O17" s="39" t="str">
        <f>Tabela!E18</f>
        <v>Polônia</v>
      </c>
      <c r="W17" s="120"/>
      <c r="X17" s="120"/>
      <c r="Y17" s="120"/>
      <c r="AC17" s="120"/>
      <c r="AD17" s="120"/>
      <c r="AE17" s="120"/>
    </row>
    <row r="18" spans="1:31" x14ac:dyDescent="0.25">
      <c r="A18" s="37" t="s">
        <v>63</v>
      </c>
      <c r="B18" s="35">
        <v>2</v>
      </c>
      <c r="C18" s="35" t="s">
        <v>230</v>
      </c>
      <c r="D18" s="35">
        <v>1</v>
      </c>
      <c r="E18" s="39" t="s">
        <v>232</v>
      </c>
      <c r="H18" s="35">
        <v>15</v>
      </c>
      <c r="J18" s="36" t="str">
        <f>IF(Tabela!F19="","",Tabela!F19)</f>
        <v/>
      </c>
      <c r="K18" s="37" t="str">
        <f>Tabela!A19</f>
        <v>Polônia</v>
      </c>
      <c r="L18" s="37">
        <f>Tabela!B19</f>
        <v>2</v>
      </c>
      <c r="M18" s="37" t="str">
        <f>Tabela!C19</f>
        <v>x</v>
      </c>
      <c r="N18" s="37">
        <f>Tabela!D19</f>
        <v>0</v>
      </c>
      <c r="O18" s="39" t="str">
        <f>Tabela!E19</f>
        <v>ArábiaSaudita</v>
      </c>
      <c r="W18" s="120"/>
      <c r="X18" s="120"/>
      <c r="Y18" s="120"/>
      <c r="AC18" s="120"/>
      <c r="AD18" s="120"/>
      <c r="AE18" s="120"/>
    </row>
    <row r="19" spans="1:31" x14ac:dyDescent="0.25">
      <c r="A19" s="37" t="s">
        <v>40</v>
      </c>
      <c r="B19" s="35">
        <v>3</v>
      </c>
      <c r="C19" s="35" t="s">
        <v>230</v>
      </c>
      <c r="D19" s="35">
        <v>1</v>
      </c>
      <c r="E19" s="39" t="s">
        <v>61</v>
      </c>
      <c r="H19" s="35">
        <v>10</v>
      </c>
      <c r="J19" s="36">
        <f>IF(Tabela!F20="","",Tabela!F20)</f>
        <v>0</v>
      </c>
      <c r="K19" s="37" t="str">
        <f>Tabela!A20</f>
        <v>Argentina</v>
      </c>
      <c r="L19" s="37">
        <f>Tabela!B20</f>
        <v>2</v>
      </c>
      <c r="M19" s="37" t="str">
        <f>Tabela!C20</f>
        <v>x</v>
      </c>
      <c r="N19" s="37">
        <f>Tabela!D20</f>
        <v>0</v>
      </c>
      <c r="O19" s="39" t="str">
        <f>Tabela!E20</f>
        <v>México</v>
      </c>
      <c r="W19" s="120"/>
      <c r="X19" s="120"/>
      <c r="Y19" s="120"/>
      <c r="AC19" s="120"/>
      <c r="AD19" s="120"/>
      <c r="AE19" s="120"/>
    </row>
    <row r="20" spans="1:31" x14ac:dyDescent="0.25">
      <c r="A20" s="37" t="s">
        <v>63</v>
      </c>
      <c r="B20" s="35">
        <v>1</v>
      </c>
      <c r="C20" s="35" t="s">
        <v>230</v>
      </c>
      <c r="D20" s="35">
        <v>2</v>
      </c>
      <c r="E20" s="39" t="s">
        <v>40</v>
      </c>
      <c r="J20" s="36" t="str">
        <f>IF(Tabela!F21="","",Tabela!F21)</f>
        <v>N</v>
      </c>
      <c r="K20" s="37" t="str">
        <f>Tabela!A21</f>
        <v>Polônia</v>
      </c>
      <c r="L20" s="37">
        <f>Tabela!B21</f>
        <v>0</v>
      </c>
      <c r="M20" s="37" t="str">
        <f>Tabela!C21</f>
        <v>x</v>
      </c>
      <c r="N20" s="37">
        <f>Tabela!D21</f>
        <v>0</v>
      </c>
      <c r="O20" s="39" t="str">
        <f>Tabela!E21</f>
        <v>Argentina</v>
      </c>
      <c r="W20" s="120"/>
      <c r="X20" s="120"/>
      <c r="Y20" s="120"/>
      <c r="AC20" s="120"/>
      <c r="AD20" s="120"/>
      <c r="AE20" s="120"/>
    </row>
    <row r="21" spans="1:31" x14ac:dyDescent="0.25">
      <c r="A21" s="37" t="s">
        <v>232</v>
      </c>
      <c r="B21" s="35">
        <v>1</v>
      </c>
      <c r="C21" s="35" t="s">
        <v>230</v>
      </c>
      <c r="D21" s="35">
        <v>2</v>
      </c>
      <c r="E21" s="39" t="s">
        <v>61</v>
      </c>
      <c r="J21" s="36" t="str">
        <f>IF(Tabela!F22="","",Tabela!F22)</f>
        <v>N</v>
      </c>
      <c r="K21" s="37" t="str">
        <f>Tabela!A22</f>
        <v>ArábiaSaudita</v>
      </c>
      <c r="L21" s="37">
        <f>Tabela!B22</f>
        <v>0</v>
      </c>
      <c r="M21" s="37" t="str">
        <f>Tabela!C22</f>
        <v>x</v>
      </c>
      <c r="N21" s="37">
        <f>Tabela!D22</f>
        <v>0</v>
      </c>
      <c r="O21" s="39" t="str">
        <f>Tabela!E22</f>
        <v>México</v>
      </c>
      <c r="W21" s="120"/>
      <c r="X21" s="120"/>
      <c r="Y21" s="120"/>
      <c r="AC21" s="120"/>
      <c r="AD21" s="120"/>
      <c r="AE21" s="120"/>
    </row>
    <row r="22" spans="1:31" x14ac:dyDescent="0.25">
      <c r="A22" s="168" t="s">
        <v>241</v>
      </c>
      <c r="B22" s="168"/>
      <c r="C22" s="168"/>
      <c r="D22" s="168"/>
      <c r="E22" s="168"/>
      <c r="J22" s="36" t="str">
        <f>IF(Tabela!F23="","",Tabela!F23)</f>
        <v/>
      </c>
      <c r="K22" s="169" t="s">
        <v>241</v>
      </c>
      <c r="L22" s="169"/>
      <c r="M22" s="169"/>
      <c r="N22" s="169"/>
      <c r="O22" s="169"/>
      <c r="W22" s="120"/>
      <c r="X22" s="120"/>
      <c r="Y22" s="120"/>
      <c r="AC22" s="120"/>
      <c r="AD22" s="120"/>
      <c r="AE22" s="120"/>
    </row>
    <row r="23" spans="1:31" x14ac:dyDescent="0.25">
      <c r="A23" s="37" t="s">
        <v>50</v>
      </c>
      <c r="B23" s="35">
        <v>1</v>
      </c>
      <c r="C23" s="35" t="s">
        <v>230</v>
      </c>
      <c r="D23" s="35">
        <v>0</v>
      </c>
      <c r="E23" s="39" t="s">
        <v>68</v>
      </c>
      <c r="H23" s="35">
        <v>5</v>
      </c>
      <c r="J23" s="36" t="str">
        <f>IF(Tabela!F24="","",Tabela!F24)</f>
        <v/>
      </c>
      <c r="K23" s="37" t="str">
        <f>Tabela!A24</f>
        <v>Dinamarca</v>
      </c>
      <c r="L23" s="35">
        <f>Tabela!B24</f>
        <v>0</v>
      </c>
      <c r="M23" s="35" t="str">
        <f>Tabela!C24</f>
        <v>x</v>
      </c>
      <c r="N23" s="35">
        <f>Tabela!D24</f>
        <v>0</v>
      </c>
      <c r="O23" s="39" t="str">
        <f>Tabela!E24</f>
        <v>Tunísia</v>
      </c>
      <c r="W23" s="120"/>
      <c r="X23" s="120"/>
      <c r="Y23" s="120"/>
      <c r="AC23" s="120"/>
      <c r="AD23" s="120"/>
      <c r="AE23" s="120"/>
    </row>
    <row r="24" spans="1:31" x14ac:dyDescent="0.25">
      <c r="A24" s="37" t="s">
        <v>54</v>
      </c>
      <c r="B24" s="35">
        <v>2</v>
      </c>
      <c r="C24" s="35" t="s">
        <v>230</v>
      </c>
      <c r="D24" s="35">
        <v>0</v>
      </c>
      <c r="E24" s="39" t="s">
        <v>41</v>
      </c>
      <c r="H24" s="35">
        <v>10</v>
      </c>
      <c r="J24" s="36" t="str">
        <f>IF(Tabela!F25="","",Tabela!F25)</f>
        <v/>
      </c>
      <c r="K24" s="37" t="str">
        <f>Tabela!A25</f>
        <v>França</v>
      </c>
      <c r="L24" s="35">
        <f>Tabela!B25</f>
        <v>4</v>
      </c>
      <c r="M24" s="35" t="str">
        <f>Tabela!C25</f>
        <v>x</v>
      </c>
      <c r="N24" s="35">
        <f>Tabela!D25</f>
        <v>1</v>
      </c>
      <c r="O24" s="39" t="str">
        <f>Tabela!E25</f>
        <v>Austrália</v>
      </c>
      <c r="Q24" s="36">
        <v>25</v>
      </c>
      <c r="R24" s="36">
        <v>15</v>
      </c>
      <c r="S24" s="36">
        <v>10</v>
      </c>
      <c r="T24" s="36">
        <v>5</v>
      </c>
      <c r="U24" s="36">
        <v>0</v>
      </c>
      <c r="W24" s="120"/>
      <c r="X24" s="120"/>
      <c r="Y24" s="120"/>
      <c r="AC24" s="120"/>
      <c r="AD24" s="120"/>
      <c r="AE24" s="120"/>
    </row>
    <row r="25" spans="1:31" x14ac:dyDescent="0.25">
      <c r="A25" s="37" t="s">
        <v>68</v>
      </c>
      <c r="B25" s="35">
        <v>2</v>
      </c>
      <c r="C25" s="35" t="s">
        <v>230</v>
      </c>
      <c r="D25" s="35">
        <v>0</v>
      </c>
      <c r="E25" s="39" t="s">
        <v>41</v>
      </c>
      <c r="H25" s="35">
        <v>0</v>
      </c>
      <c r="J25" s="36" t="str">
        <f>IF(Tabela!F26="","",Tabela!F26)</f>
        <v/>
      </c>
      <c r="K25" s="37" t="str">
        <f>Tabela!A26</f>
        <v>Tunísia</v>
      </c>
      <c r="L25" s="35">
        <f>Tabela!B26</f>
        <v>0</v>
      </c>
      <c r="M25" s="35" t="str">
        <f>Tabela!C26</f>
        <v>x</v>
      </c>
      <c r="N25" s="35">
        <f>Tabela!D26</f>
        <v>1</v>
      </c>
      <c r="O25" s="39" t="str">
        <f>Tabela!E26</f>
        <v>Austrália</v>
      </c>
      <c r="Q25" s="45">
        <v>1</v>
      </c>
      <c r="R25" s="45">
        <v>5</v>
      </c>
      <c r="S25" s="45">
        <v>9</v>
      </c>
      <c r="T25" s="45">
        <v>2</v>
      </c>
      <c r="U25" s="45">
        <v>7</v>
      </c>
      <c r="W25" s="120"/>
      <c r="X25" s="120"/>
      <c r="Y25" s="120"/>
      <c r="AC25" s="120"/>
      <c r="AD25" s="120"/>
      <c r="AE25" s="120"/>
    </row>
    <row r="26" spans="1:31" x14ac:dyDescent="0.25">
      <c r="A26" s="37" t="s">
        <v>54</v>
      </c>
      <c r="B26" s="35">
        <v>3</v>
      </c>
      <c r="C26" s="35" t="s">
        <v>230</v>
      </c>
      <c r="D26" s="35">
        <v>0</v>
      </c>
      <c r="E26" s="39" t="s">
        <v>50</v>
      </c>
      <c r="H26" s="35">
        <v>10</v>
      </c>
      <c r="J26" s="36" t="str">
        <f>IF(Tabela!F27="","",Tabela!F27)</f>
        <v/>
      </c>
      <c r="K26" s="37" t="str">
        <f>Tabela!A27</f>
        <v>França</v>
      </c>
      <c r="L26" s="35">
        <f>Tabela!B27</f>
        <v>2</v>
      </c>
      <c r="M26" s="35" t="str">
        <f>Tabela!C27</f>
        <v>x</v>
      </c>
      <c r="N26" s="35">
        <f>Tabela!D27</f>
        <v>1</v>
      </c>
      <c r="O26" s="39" t="str">
        <f>Tabela!E27</f>
        <v>Dinamarca</v>
      </c>
      <c r="W26" s="120"/>
      <c r="X26" s="120"/>
      <c r="Y26" s="120"/>
      <c r="AC26" s="120"/>
      <c r="AD26" s="120"/>
      <c r="AE26" s="120"/>
    </row>
    <row r="27" spans="1:31" x14ac:dyDescent="0.25">
      <c r="A27" s="37" t="s">
        <v>68</v>
      </c>
      <c r="B27" s="35">
        <v>1</v>
      </c>
      <c r="C27" s="35" t="s">
        <v>230</v>
      </c>
      <c r="D27" s="35">
        <v>3</v>
      </c>
      <c r="E27" s="39" t="s">
        <v>54</v>
      </c>
      <c r="J27" s="36" t="str">
        <f>IF(Tabela!F28="","",Tabela!F28)</f>
        <v>N</v>
      </c>
      <c r="K27" s="37" t="str">
        <f>Tabela!A28</f>
        <v>Tunísia</v>
      </c>
      <c r="L27" s="35">
        <f>Tabela!B28</f>
        <v>0</v>
      </c>
      <c r="M27" s="35" t="str">
        <f>Tabela!C28</f>
        <v>x</v>
      </c>
      <c r="N27" s="35">
        <f>Tabela!D28</f>
        <v>0</v>
      </c>
      <c r="O27" s="39" t="str">
        <f>Tabela!E28</f>
        <v>França</v>
      </c>
      <c r="W27" s="120"/>
      <c r="X27" s="120"/>
      <c r="Y27" s="120"/>
      <c r="AC27" s="120"/>
      <c r="AD27" s="120"/>
      <c r="AE27" s="120"/>
    </row>
    <row r="28" spans="1:31" x14ac:dyDescent="0.25">
      <c r="A28" s="37" t="s">
        <v>41</v>
      </c>
      <c r="B28" s="35">
        <v>2</v>
      </c>
      <c r="C28" s="35" t="s">
        <v>230</v>
      </c>
      <c r="D28" s="35">
        <v>1</v>
      </c>
      <c r="E28" s="39" t="s">
        <v>50</v>
      </c>
      <c r="J28" s="36" t="str">
        <f>IF(Tabela!F29="","",Tabela!F29)</f>
        <v>N</v>
      </c>
      <c r="K28" s="37" t="str">
        <f>Tabela!A29</f>
        <v>Austrália</v>
      </c>
      <c r="L28" s="35">
        <f>Tabela!B29</f>
        <v>0</v>
      </c>
      <c r="M28" s="35" t="str">
        <f>Tabela!C29</f>
        <v>x</v>
      </c>
      <c r="N28" s="35">
        <f>Tabela!D29</f>
        <v>0</v>
      </c>
      <c r="O28" s="39" t="str">
        <f>Tabela!E29</f>
        <v>Dinamarca</v>
      </c>
      <c r="W28" s="120"/>
      <c r="X28" s="120"/>
      <c r="Y28" s="120"/>
      <c r="AC28" s="120"/>
      <c r="AD28" s="120"/>
      <c r="AE28" s="120"/>
    </row>
    <row r="29" spans="1:31" x14ac:dyDescent="0.25">
      <c r="A29" s="168" t="s">
        <v>240</v>
      </c>
      <c r="B29" s="168"/>
      <c r="C29" s="168"/>
      <c r="D29" s="168"/>
      <c r="E29" s="168"/>
      <c r="K29" s="169" t="s">
        <v>240</v>
      </c>
      <c r="L29" s="169"/>
      <c r="M29" s="169"/>
      <c r="N29" s="169"/>
      <c r="O29" s="169"/>
      <c r="W29" s="120"/>
      <c r="X29" s="120"/>
      <c r="Y29" s="120"/>
      <c r="AC29" s="120"/>
      <c r="AD29" s="120"/>
      <c r="AE29" s="120"/>
    </row>
    <row r="30" spans="1:31" x14ac:dyDescent="0.25">
      <c r="A30" s="37" t="s">
        <v>38</v>
      </c>
      <c r="B30" s="35">
        <v>3</v>
      </c>
      <c r="C30" s="35" t="s">
        <v>230</v>
      </c>
      <c r="D30" s="35">
        <v>1</v>
      </c>
      <c r="E30" s="39" t="s">
        <v>59</v>
      </c>
      <c r="H30" s="35">
        <v>0</v>
      </c>
      <c r="J30" s="36" t="str">
        <f>IF(Tabela!L3="","",Tabela!L3)</f>
        <v/>
      </c>
      <c r="K30" s="37" t="str">
        <f>Tabela!G3</f>
        <v>Alemanha</v>
      </c>
      <c r="L30" s="35">
        <f>Tabela!H3</f>
        <v>1</v>
      </c>
      <c r="M30" s="35" t="str">
        <f>Tabela!I3</f>
        <v>x</v>
      </c>
      <c r="N30" s="35">
        <f>Tabela!J3</f>
        <v>2</v>
      </c>
      <c r="O30" s="39" t="str">
        <f>Tabela!K3</f>
        <v>Japão</v>
      </c>
      <c r="W30" s="120"/>
      <c r="X30" s="120"/>
      <c r="Y30" s="120"/>
      <c r="AC30" s="120"/>
      <c r="AD30" s="120"/>
      <c r="AE30" s="120"/>
    </row>
    <row r="31" spans="1:31" x14ac:dyDescent="0.25">
      <c r="A31" s="37" t="s">
        <v>52</v>
      </c>
      <c r="B31" s="35">
        <v>3</v>
      </c>
      <c r="C31" s="35" t="s">
        <v>230</v>
      </c>
      <c r="D31" s="35">
        <v>2</v>
      </c>
      <c r="E31" s="39" t="s">
        <v>233</v>
      </c>
      <c r="H31" s="35">
        <v>10</v>
      </c>
      <c r="J31" s="36" t="str">
        <f>IF(Tabela!L4="","",Tabela!L4)</f>
        <v/>
      </c>
      <c r="K31" s="37" t="str">
        <f>Tabela!G4</f>
        <v>Espanha</v>
      </c>
      <c r="L31" s="35">
        <f>Tabela!H4</f>
        <v>7</v>
      </c>
      <c r="M31" s="35" t="str">
        <f>Tabela!I4</f>
        <v>x</v>
      </c>
      <c r="N31" s="35">
        <f>Tabela!J4</f>
        <v>0</v>
      </c>
      <c r="O31" s="39" t="str">
        <f>Tabela!K4</f>
        <v>CostaRica</v>
      </c>
    </row>
    <row r="32" spans="1:31" x14ac:dyDescent="0.25">
      <c r="A32" s="37" t="s">
        <v>59</v>
      </c>
      <c r="B32" s="35">
        <v>3</v>
      </c>
      <c r="C32" s="35" t="s">
        <v>230</v>
      </c>
      <c r="D32" s="35">
        <v>1</v>
      </c>
      <c r="E32" s="39" t="s">
        <v>233</v>
      </c>
      <c r="H32" s="35">
        <v>5</v>
      </c>
      <c r="J32" s="36" t="str">
        <f>IF(Tabela!L5="","",Tabela!L5)</f>
        <v/>
      </c>
      <c r="K32" s="37" t="str">
        <f>Tabela!G5</f>
        <v>Japão</v>
      </c>
      <c r="L32" s="35">
        <f>Tabela!H5</f>
        <v>0</v>
      </c>
      <c r="M32" s="35" t="str">
        <f>Tabela!I5</f>
        <v>x</v>
      </c>
      <c r="N32" s="35">
        <f>Tabela!J5</f>
        <v>1</v>
      </c>
      <c r="O32" s="39" t="str">
        <f>Tabela!K5</f>
        <v>CostaRica</v>
      </c>
    </row>
    <row r="33" spans="1:15" x14ac:dyDescent="0.25">
      <c r="A33" s="37" t="s">
        <v>52</v>
      </c>
      <c r="B33" s="35">
        <v>3</v>
      </c>
      <c r="C33" s="35" t="s">
        <v>230</v>
      </c>
      <c r="D33" s="35">
        <v>2</v>
      </c>
      <c r="E33" s="39" t="s">
        <v>38</v>
      </c>
      <c r="J33" s="36" t="str">
        <f>IF(Tabela!L6="","",Tabela!L6)</f>
        <v>N</v>
      </c>
      <c r="K33" s="37" t="str">
        <f>Tabela!G6</f>
        <v>Espanha</v>
      </c>
      <c r="L33" s="35">
        <f>Tabela!H6</f>
        <v>0</v>
      </c>
      <c r="M33" s="35" t="str">
        <f>Tabela!I6</f>
        <v>x</v>
      </c>
      <c r="N33" s="35">
        <f>Tabela!J6</f>
        <v>0</v>
      </c>
      <c r="O33" s="39" t="str">
        <f>Tabela!K6</f>
        <v>Alemanha</v>
      </c>
    </row>
    <row r="34" spans="1:15" x14ac:dyDescent="0.25">
      <c r="A34" s="37" t="s">
        <v>59</v>
      </c>
      <c r="B34" s="35">
        <v>1</v>
      </c>
      <c r="C34" s="35" t="s">
        <v>230</v>
      </c>
      <c r="D34" s="35">
        <v>2</v>
      </c>
      <c r="E34" s="39" t="s">
        <v>52</v>
      </c>
      <c r="J34" s="36" t="str">
        <f>IF(Tabela!L7="","",Tabela!L7)</f>
        <v>N</v>
      </c>
      <c r="K34" s="37" t="str">
        <f>Tabela!G7</f>
        <v>Japão</v>
      </c>
      <c r="L34" s="35">
        <f>Tabela!H7</f>
        <v>0</v>
      </c>
      <c r="M34" s="35" t="str">
        <f>Tabela!I7</f>
        <v>x</v>
      </c>
      <c r="N34" s="35">
        <f>Tabela!J7</f>
        <v>0</v>
      </c>
      <c r="O34" s="39" t="str">
        <f>Tabela!K7</f>
        <v>Espanha</v>
      </c>
    </row>
    <row r="35" spans="1:15" x14ac:dyDescent="0.25">
      <c r="A35" s="37" t="s">
        <v>233</v>
      </c>
      <c r="B35" s="35">
        <v>1</v>
      </c>
      <c r="C35" s="35" t="s">
        <v>230</v>
      </c>
      <c r="D35" s="35">
        <v>3</v>
      </c>
      <c r="E35" s="39" t="s">
        <v>38</v>
      </c>
      <c r="J35" s="36" t="str">
        <f>IF(Tabela!L8="","",Tabela!L8)</f>
        <v>N</v>
      </c>
      <c r="K35" s="37" t="str">
        <f>Tabela!G8</f>
        <v>CostaRica</v>
      </c>
      <c r="L35" s="35">
        <f>Tabela!H8</f>
        <v>0</v>
      </c>
      <c r="M35" s="35" t="str">
        <f>Tabela!I8</f>
        <v>x</v>
      </c>
      <c r="N35" s="35">
        <f>Tabela!J8</f>
        <v>0</v>
      </c>
      <c r="O35" s="39" t="str">
        <f>Tabela!K8</f>
        <v>Alemanha</v>
      </c>
    </row>
    <row r="36" spans="1:15" x14ac:dyDescent="0.25">
      <c r="A36" s="168" t="s">
        <v>239</v>
      </c>
      <c r="B36" s="168"/>
      <c r="C36" s="168"/>
      <c r="D36" s="168"/>
      <c r="E36" s="168"/>
      <c r="J36" s="36" t="str">
        <f>IF(Tabela!L9="","",Tabela!L9)</f>
        <v/>
      </c>
      <c r="K36" s="169" t="s">
        <v>239</v>
      </c>
      <c r="L36" s="169"/>
      <c r="M36" s="169"/>
      <c r="N36" s="169"/>
      <c r="O36" s="169"/>
    </row>
    <row r="37" spans="1:15" x14ac:dyDescent="0.25">
      <c r="A37" s="37" t="s">
        <v>60</v>
      </c>
      <c r="B37" s="35">
        <v>1</v>
      </c>
      <c r="C37" s="35" t="s">
        <v>230</v>
      </c>
      <c r="D37" s="35">
        <v>2</v>
      </c>
      <c r="E37" s="39" t="s">
        <v>49</v>
      </c>
      <c r="H37" s="35">
        <v>0</v>
      </c>
      <c r="J37" s="36" t="str">
        <f>IF(Tabela!L10="","",Tabela!L10)</f>
        <v/>
      </c>
      <c r="K37" s="37" t="str">
        <f>Tabela!G10</f>
        <v>Marrocos</v>
      </c>
      <c r="L37" s="35">
        <f>Tabela!H10</f>
        <v>0</v>
      </c>
      <c r="M37" s="35" t="str">
        <f>Tabela!I10</f>
        <v>x</v>
      </c>
      <c r="N37" s="35">
        <f>Tabela!J10</f>
        <v>0</v>
      </c>
      <c r="O37" s="39" t="str">
        <f>Tabela!K10</f>
        <v>Croácia</v>
      </c>
    </row>
    <row r="38" spans="1:15" x14ac:dyDescent="0.25">
      <c r="A38" s="37" t="s">
        <v>42</v>
      </c>
      <c r="B38" s="35">
        <v>3</v>
      </c>
      <c r="C38" s="35" t="s">
        <v>230</v>
      </c>
      <c r="D38" s="35">
        <v>1</v>
      </c>
      <c r="E38" s="39" t="s">
        <v>45</v>
      </c>
      <c r="H38" s="35">
        <v>10</v>
      </c>
      <c r="J38" s="36" t="str">
        <f>IF(Tabela!L11="","",Tabela!L11)</f>
        <v/>
      </c>
      <c r="K38" s="37" t="str">
        <f>Tabela!G11</f>
        <v>Bélgica</v>
      </c>
      <c r="L38" s="35">
        <f>Tabela!H11</f>
        <v>1</v>
      </c>
      <c r="M38" s="35" t="str">
        <f>Tabela!I11</f>
        <v>x</v>
      </c>
      <c r="N38" s="35">
        <f>Tabela!J11</f>
        <v>0</v>
      </c>
      <c r="O38" s="39" t="str">
        <f>Tabela!K11</f>
        <v>Canadá</v>
      </c>
    </row>
    <row r="39" spans="1:15" x14ac:dyDescent="0.25">
      <c r="A39" s="37" t="s">
        <v>42</v>
      </c>
      <c r="B39" s="35">
        <v>2</v>
      </c>
      <c r="C39" s="35" t="s">
        <v>230</v>
      </c>
      <c r="D39" s="35">
        <v>1</v>
      </c>
      <c r="E39" s="39" t="s">
        <v>60</v>
      </c>
      <c r="H39" s="35">
        <v>0</v>
      </c>
      <c r="J39" s="36" t="str">
        <f>IF(Tabela!L12="","",Tabela!L12)</f>
        <v/>
      </c>
      <c r="K39" s="37" t="str">
        <f>Tabela!G12</f>
        <v>Bélgica</v>
      </c>
      <c r="L39" s="35">
        <f>Tabela!H12</f>
        <v>0</v>
      </c>
      <c r="M39" s="35" t="str">
        <f>Tabela!I12</f>
        <v>x</v>
      </c>
      <c r="N39" s="35">
        <f>Tabela!J12</f>
        <v>2</v>
      </c>
      <c r="O39" s="39" t="str">
        <f>Tabela!K12</f>
        <v>Marrocos</v>
      </c>
    </row>
    <row r="40" spans="1:15" x14ac:dyDescent="0.25">
      <c r="A40" s="37" t="s">
        <v>49</v>
      </c>
      <c r="B40" s="35">
        <v>2</v>
      </c>
      <c r="C40" s="35" t="s">
        <v>230</v>
      </c>
      <c r="D40" s="35">
        <v>1</v>
      </c>
      <c r="E40" s="39" t="s">
        <v>45</v>
      </c>
      <c r="J40" s="36" t="str">
        <f>IF(Tabela!L13="","",Tabela!L13)</f>
        <v>N</v>
      </c>
      <c r="K40" s="37" t="str">
        <f>Tabela!G13</f>
        <v>Croácia</v>
      </c>
      <c r="L40" s="35">
        <f>Tabela!H13</f>
        <v>0</v>
      </c>
      <c r="M40" s="35" t="str">
        <f>Tabela!I13</f>
        <v>x</v>
      </c>
      <c r="N40" s="35">
        <f>Tabela!J13</f>
        <v>0</v>
      </c>
      <c r="O40" s="39" t="str">
        <f>Tabela!K13</f>
        <v>Canadá</v>
      </c>
    </row>
    <row r="41" spans="1:15" x14ac:dyDescent="0.25">
      <c r="A41" s="37" t="s">
        <v>49</v>
      </c>
      <c r="B41" s="35">
        <v>2</v>
      </c>
      <c r="C41" s="35" t="s">
        <v>230</v>
      </c>
      <c r="D41" s="35">
        <v>2</v>
      </c>
      <c r="E41" s="39" t="s">
        <v>42</v>
      </c>
      <c r="J41" s="36" t="str">
        <f>IF(Tabela!L14="","",Tabela!L14)</f>
        <v>N</v>
      </c>
      <c r="K41" s="37" t="str">
        <f>Tabela!G14</f>
        <v>Croácia</v>
      </c>
      <c r="L41" s="35">
        <f>Tabela!H14</f>
        <v>0</v>
      </c>
      <c r="M41" s="35" t="str">
        <f>Tabela!I14</f>
        <v>x</v>
      </c>
      <c r="N41" s="35">
        <f>Tabela!J14</f>
        <v>0</v>
      </c>
      <c r="O41" s="39" t="str">
        <f>Tabela!K14</f>
        <v>Bélgica</v>
      </c>
    </row>
    <row r="42" spans="1:15" x14ac:dyDescent="0.25">
      <c r="A42" s="37" t="s">
        <v>45</v>
      </c>
      <c r="B42" s="35">
        <v>1</v>
      </c>
      <c r="C42" s="35" t="s">
        <v>230</v>
      </c>
      <c r="D42" s="35">
        <v>2</v>
      </c>
      <c r="E42" s="39" t="s">
        <v>60</v>
      </c>
      <c r="J42" s="36" t="str">
        <f>IF(Tabela!L15="","",Tabela!L15)</f>
        <v>N</v>
      </c>
      <c r="K42" s="37" t="str">
        <f>Tabela!G15</f>
        <v>Canadá</v>
      </c>
      <c r="L42" s="35">
        <f>Tabela!H15</f>
        <v>0</v>
      </c>
      <c r="M42" s="35" t="str">
        <f>Tabela!I15</f>
        <v>x</v>
      </c>
      <c r="N42" s="35">
        <f>Tabela!J15</f>
        <v>0</v>
      </c>
      <c r="O42" s="39" t="str">
        <f>Tabela!K15</f>
        <v>Marrocos</v>
      </c>
    </row>
    <row r="43" spans="1:15" x14ac:dyDescent="0.25">
      <c r="A43" s="168" t="s">
        <v>238</v>
      </c>
      <c r="B43" s="168"/>
      <c r="C43" s="168"/>
      <c r="D43" s="168"/>
      <c r="E43" s="168"/>
      <c r="J43" s="36" t="str">
        <f>IF(Tabela!L16="","",Tabela!L16)</f>
        <v/>
      </c>
      <c r="K43" s="169" t="s">
        <v>238</v>
      </c>
      <c r="L43" s="169"/>
      <c r="M43" s="169"/>
      <c r="N43" s="169"/>
      <c r="O43" s="169"/>
    </row>
    <row r="44" spans="1:15" x14ac:dyDescent="0.25">
      <c r="A44" s="37" t="s">
        <v>67</v>
      </c>
      <c r="B44" s="35">
        <v>2</v>
      </c>
      <c r="C44" s="35" t="s">
        <v>230</v>
      </c>
      <c r="D44" s="35">
        <v>1</v>
      </c>
      <c r="E44" s="39" t="s">
        <v>44</v>
      </c>
      <c r="H44" s="35">
        <v>10</v>
      </c>
      <c r="J44" s="36" t="str">
        <f>IF(Tabela!L17="","",Tabela!L17)</f>
        <v/>
      </c>
      <c r="K44" s="37" t="str">
        <f>Tabela!G17</f>
        <v>Suíça</v>
      </c>
      <c r="L44" s="35">
        <f>Tabela!H17</f>
        <v>1</v>
      </c>
      <c r="M44" s="35" t="str">
        <f>Tabela!I17</f>
        <v>x</v>
      </c>
      <c r="N44" s="35">
        <f>Tabela!J17</f>
        <v>0</v>
      </c>
      <c r="O44" s="39" t="str">
        <f>Tabela!K17</f>
        <v>Camarões</v>
      </c>
    </row>
    <row r="45" spans="1:15" x14ac:dyDescent="0.25">
      <c r="A45" s="37" t="s">
        <v>43</v>
      </c>
      <c r="B45" s="35">
        <v>3</v>
      </c>
      <c r="C45" s="35" t="s">
        <v>230</v>
      </c>
      <c r="D45" s="35">
        <v>1</v>
      </c>
      <c r="E45" s="39" t="s">
        <v>66</v>
      </c>
      <c r="H45" s="35">
        <v>10</v>
      </c>
      <c r="J45" s="36" t="str">
        <f>IF(Tabela!L18="","",Tabela!L18)</f>
        <v/>
      </c>
      <c r="K45" s="37" t="str">
        <f>Tabela!G18</f>
        <v>Brasil</v>
      </c>
      <c r="L45" s="35">
        <f>Tabela!H18</f>
        <v>2</v>
      </c>
      <c r="M45" s="35" t="str">
        <f>Tabela!I18</f>
        <v>x</v>
      </c>
      <c r="N45" s="35">
        <f>Tabela!J18</f>
        <v>0</v>
      </c>
      <c r="O45" s="39" t="str">
        <f>Tabela!K18</f>
        <v>Sérvia</v>
      </c>
    </row>
    <row r="46" spans="1:15" x14ac:dyDescent="0.25">
      <c r="A46" s="37" t="s">
        <v>44</v>
      </c>
      <c r="B46" s="35">
        <v>1</v>
      </c>
      <c r="C46" s="35" t="s">
        <v>230</v>
      </c>
      <c r="D46" s="35">
        <v>3</v>
      </c>
      <c r="E46" s="39" t="s">
        <v>66</v>
      </c>
      <c r="J46" s="36" t="str">
        <f>IF(Tabela!L19="","",Tabela!L19)</f>
        <v>N</v>
      </c>
      <c r="K46" s="37" t="str">
        <f>Tabela!G19</f>
        <v>Camarões</v>
      </c>
      <c r="L46" s="35">
        <f>Tabela!H19</f>
        <v>0</v>
      </c>
      <c r="M46" s="35" t="str">
        <f>Tabela!I19</f>
        <v>x</v>
      </c>
      <c r="N46" s="35">
        <f>Tabela!J19</f>
        <v>0</v>
      </c>
      <c r="O46" s="39" t="str">
        <f>Tabela!K19</f>
        <v>Sérvia</v>
      </c>
    </row>
    <row r="47" spans="1:15" x14ac:dyDescent="0.25">
      <c r="A47" s="37" t="s">
        <v>43</v>
      </c>
      <c r="B47" s="35">
        <v>2</v>
      </c>
      <c r="C47" s="35" t="s">
        <v>230</v>
      </c>
      <c r="D47" s="35">
        <v>1</v>
      </c>
      <c r="E47" s="39" t="s">
        <v>67</v>
      </c>
      <c r="J47" s="36" t="str">
        <f>IF(Tabela!L20="","",Tabela!L20)</f>
        <v>N</v>
      </c>
      <c r="K47" s="37" t="str">
        <f>Tabela!G20</f>
        <v>Brasil</v>
      </c>
      <c r="L47" s="35">
        <f>Tabela!H20</f>
        <v>0</v>
      </c>
      <c r="M47" s="35" t="str">
        <f>Tabela!I20</f>
        <v>x</v>
      </c>
      <c r="N47" s="35">
        <f>Tabela!J20</f>
        <v>0</v>
      </c>
      <c r="O47" s="39" t="str">
        <f>Tabela!K20</f>
        <v>Suíça</v>
      </c>
    </row>
    <row r="48" spans="1:15" x14ac:dyDescent="0.25">
      <c r="A48" s="37" t="s">
        <v>44</v>
      </c>
      <c r="B48" s="35">
        <v>1</v>
      </c>
      <c r="C48" s="35" t="s">
        <v>230</v>
      </c>
      <c r="D48" s="35">
        <v>3</v>
      </c>
      <c r="E48" s="39" t="s">
        <v>43</v>
      </c>
      <c r="J48" s="36" t="str">
        <f>IF(Tabela!L21="","",Tabela!L21)</f>
        <v>N</v>
      </c>
      <c r="K48" s="37" t="str">
        <f>Tabela!G21</f>
        <v>Camarões</v>
      </c>
      <c r="L48" s="35">
        <f>Tabela!H21</f>
        <v>0</v>
      </c>
      <c r="M48" s="35" t="str">
        <f>Tabela!I21</f>
        <v>x</v>
      </c>
      <c r="N48" s="35">
        <f>Tabela!J21</f>
        <v>0</v>
      </c>
      <c r="O48" s="39" t="str">
        <f>Tabela!K21</f>
        <v>Brasil</v>
      </c>
    </row>
    <row r="49" spans="1:15" x14ac:dyDescent="0.25">
      <c r="A49" s="37" t="s">
        <v>66</v>
      </c>
      <c r="B49" s="35">
        <v>0</v>
      </c>
      <c r="C49" s="35" t="s">
        <v>230</v>
      </c>
      <c r="D49" s="35">
        <v>1</v>
      </c>
      <c r="E49" s="39" t="s">
        <v>67</v>
      </c>
      <c r="J49" s="36" t="str">
        <f>IF(Tabela!L22="","",Tabela!L22)</f>
        <v>N</v>
      </c>
      <c r="K49" s="37" t="str">
        <f>Tabela!G22</f>
        <v>Sérvia</v>
      </c>
      <c r="L49" s="35">
        <f>Tabela!H22</f>
        <v>0</v>
      </c>
      <c r="M49" s="35" t="str">
        <f>Tabela!I22</f>
        <v>x</v>
      </c>
      <c r="N49" s="35">
        <f>Tabela!J22</f>
        <v>0</v>
      </c>
      <c r="O49" s="39" t="str">
        <f>Tabela!K22</f>
        <v>Suíça</v>
      </c>
    </row>
    <row r="50" spans="1:15" x14ac:dyDescent="0.25">
      <c r="A50" s="168" t="s">
        <v>237</v>
      </c>
      <c r="B50" s="168"/>
      <c r="C50" s="168"/>
      <c r="D50" s="168"/>
      <c r="E50" s="168"/>
      <c r="J50" s="36" t="str">
        <f>IF(Tabela!L23="","",Tabela!L23)</f>
        <v/>
      </c>
      <c r="K50" s="169" t="s">
        <v>237</v>
      </c>
      <c r="L50" s="169"/>
      <c r="M50" s="169"/>
      <c r="N50" s="169"/>
      <c r="O50" s="169"/>
    </row>
    <row r="51" spans="1:15" x14ac:dyDescent="0.25">
      <c r="A51" s="37" t="s">
        <v>69</v>
      </c>
      <c r="B51" s="35">
        <v>2</v>
      </c>
      <c r="C51" s="35" t="s">
        <v>230</v>
      </c>
      <c r="D51" s="35">
        <v>1</v>
      </c>
      <c r="E51" s="39" t="s">
        <v>246</v>
      </c>
      <c r="H51" s="35">
        <v>0</v>
      </c>
      <c r="J51" s="36" t="str">
        <f>IF(Tabela!L24="","",Tabela!L24)</f>
        <v/>
      </c>
      <c r="K51" s="37" t="str">
        <f>Tabela!G24</f>
        <v>Uruguai</v>
      </c>
      <c r="L51" s="35">
        <f>Tabela!H24</f>
        <v>0</v>
      </c>
      <c r="M51" s="35" t="str">
        <f>Tabela!I24</f>
        <v>x</v>
      </c>
      <c r="N51" s="35">
        <f>Tabela!J24</f>
        <v>0</v>
      </c>
      <c r="O51" s="39" t="str">
        <f>Tabela!K24</f>
        <v>CoreiaDoSul</v>
      </c>
    </row>
    <row r="52" spans="1:15" x14ac:dyDescent="0.25">
      <c r="A52" s="37" t="s">
        <v>64</v>
      </c>
      <c r="B52" s="35">
        <v>3</v>
      </c>
      <c r="C52" s="35" t="s">
        <v>230</v>
      </c>
      <c r="D52" s="35">
        <v>0</v>
      </c>
      <c r="E52" s="39" t="s">
        <v>55</v>
      </c>
      <c r="H52" s="35">
        <v>15</v>
      </c>
      <c r="J52" s="36" t="str">
        <f>IF(Tabela!L25="","",Tabela!L25)</f>
        <v/>
      </c>
      <c r="K52" s="37" t="str">
        <f>Tabela!G25</f>
        <v>Portugal</v>
      </c>
      <c r="L52" s="35">
        <f>Tabela!H25</f>
        <v>3</v>
      </c>
      <c r="M52" s="35" t="str">
        <f>Tabela!I25</f>
        <v>x</v>
      </c>
      <c r="N52" s="35">
        <f>Tabela!J25</f>
        <v>2</v>
      </c>
      <c r="O52" s="39" t="str">
        <f>Tabela!K25</f>
        <v>Gana</v>
      </c>
    </row>
    <row r="53" spans="1:15" x14ac:dyDescent="0.25">
      <c r="A53" s="37" t="s">
        <v>246</v>
      </c>
      <c r="B53" s="35">
        <v>1</v>
      </c>
      <c r="C53" s="35" t="s">
        <v>230</v>
      </c>
      <c r="D53" s="35">
        <v>0</v>
      </c>
      <c r="E53" s="39" t="s">
        <v>55</v>
      </c>
      <c r="J53" s="36" t="str">
        <f>IF(Tabela!L26="","",Tabela!L26)</f>
        <v>N</v>
      </c>
      <c r="K53" s="37" t="str">
        <f>Tabela!G26</f>
        <v>CoreiaDoSul</v>
      </c>
      <c r="L53" s="35">
        <f>Tabela!H26</f>
        <v>0</v>
      </c>
      <c r="M53" s="35" t="str">
        <f>Tabela!I26</f>
        <v>x</v>
      </c>
      <c r="N53" s="35">
        <f>Tabela!J26</f>
        <v>0</v>
      </c>
      <c r="O53" s="39" t="str">
        <f>Tabela!K26</f>
        <v>Gana</v>
      </c>
    </row>
    <row r="54" spans="1:15" x14ac:dyDescent="0.25">
      <c r="A54" s="37" t="s">
        <v>64</v>
      </c>
      <c r="B54" s="35">
        <v>3</v>
      </c>
      <c r="C54" s="35" t="s">
        <v>230</v>
      </c>
      <c r="D54" s="35">
        <v>2</v>
      </c>
      <c r="E54" s="39" t="s">
        <v>69</v>
      </c>
      <c r="J54" s="36" t="str">
        <f>IF(Tabela!L27="","",Tabela!L27)</f>
        <v>N</v>
      </c>
      <c r="K54" s="37" t="str">
        <f>Tabela!G27</f>
        <v>Portugal</v>
      </c>
      <c r="L54" s="35">
        <f>Tabela!H27</f>
        <v>0</v>
      </c>
      <c r="M54" s="35" t="str">
        <f>Tabela!I27</f>
        <v>x</v>
      </c>
      <c r="N54" s="35">
        <f>Tabela!J27</f>
        <v>0</v>
      </c>
      <c r="O54" s="39" t="str">
        <f>Tabela!K27</f>
        <v>Uruguai</v>
      </c>
    </row>
    <row r="55" spans="1:15" x14ac:dyDescent="0.25">
      <c r="A55" s="37" t="s">
        <v>246</v>
      </c>
      <c r="B55" s="35">
        <v>1</v>
      </c>
      <c r="C55" s="35" t="s">
        <v>230</v>
      </c>
      <c r="D55" s="35">
        <v>3</v>
      </c>
      <c r="E55" s="39" t="s">
        <v>64</v>
      </c>
      <c r="J55" s="36" t="str">
        <f>IF(Tabela!L28="","",Tabela!L28)</f>
        <v>N</v>
      </c>
      <c r="K55" s="37" t="str">
        <f>Tabela!G28</f>
        <v>CoreiaDoSul</v>
      </c>
      <c r="L55" s="35">
        <f>Tabela!H28</f>
        <v>0</v>
      </c>
      <c r="M55" s="35" t="str">
        <f>Tabela!I28</f>
        <v>x</v>
      </c>
      <c r="N55" s="35">
        <f>Tabela!J28</f>
        <v>0</v>
      </c>
      <c r="O55" s="39" t="str">
        <f>Tabela!K28</f>
        <v>Portugal</v>
      </c>
    </row>
    <row r="56" spans="1:15" x14ac:dyDescent="0.25">
      <c r="A56" s="37" t="s">
        <v>55</v>
      </c>
      <c r="B56" s="35">
        <v>1</v>
      </c>
      <c r="C56" s="35" t="s">
        <v>230</v>
      </c>
      <c r="D56" s="35">
        <v>2</v>
      </c>
      <c r="E56" s="39" t="s">
        <v>69</v>
      </c>
      <c r="J56" s="36" t="str">
        <f>IF(Tabela!L29="","",Tabela!L29)</f>
        <v>N</v>
      </c>
      <c r="K56" s="37" t="str">
        <f>Tabela!G29</f>
        <v>Gana</v>
      </c>
      <c r="L56" s="35">
        <f>Tabela!H29</f>
        <v>0</v>
      </c>
      <c r="M56" s="35" t="str">
        <f>Tabela!I29</f>
        <v>x</v>
      </c>
      <c r="N56" s="35">
        <f>Tabela!J29</f>
        <v>0</v>
      </c>
      <c r="O56" s="39" t="str">
        <f>Tabela!K29</f>
        <v>Uruguai</v>
      </c>
    </row>
    <row r="58" spans="1:15" x14ac:dyDescent="0.25">
      <c r="A58" s="38" t="s">
        <v>89</v>
      </c>
    </row>
    <row r="59" spans="1:15" x14ac:dyDescent="0.25">
      <c r="A59" s="37" t="s">
        <v>144</v>
      </c>
    </row>
    <row r="60" spans="1:15" x14ac:dyDescent="0.25">
      <c r="A60" s="37" t="s">
        <v>159</v>
      </c>
    </row>
    <row r="62" spans="1:15" x14ac:dyDescent="0.25">
      <c r="A62" s="38" t="s">
        <v>88</v>
      </c>
    </row>
    <row r="63" spans="1:15" x14ac:dyDescent="0.25">
      <c r="A63" s="37" t="s">
        <v>224</v>
      </c>
    </row>
    <row r="64" spans="1:15" x14ac:dyDescent="0.25">
      <c r="A64" s="37" t="s">
        <v>225</v>
      </c>
    </row>
  </sheetData>
  <mergeCells count="64">
    <mergeCell ref="A29:E29"/>
    <mergeCell ref="A36:E36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W16:Y16"/>
    <mergeCell ref="W17:Y17"/>
    <mergeCell ref="W18:Y18"/>
    <mergeCell ref="A1:E1"/>
    <mergeCell ref="A43:E43"/>
    <mergeCell ref="A50:E50"/>
    <mergeCell ref="K1:O1"/>
    <mergeCell ref="K8:O8"/>
    <mergeCell ref="K15:O15"/>
    <mergeCell ref="K22:O22"/>
    <mergeCell ref="K29:O29"/>
    <mergeCell ref="K36:O36"/>
    <mergeCell ref="K43:O43"/>
    <mergeCell ref="K50:O50"/>
    <mergeCell ref="A2:E2"/>
    <mergeCell ref="A9:E9"/>
    <mergeCell ref="A8:E8"/>
    <mergeCell ref="A15:E15"/>
    <mergeCell ref="A22:E22"/>
    <mergeCell ref="W19:Y19"/>
    <mergeCell ref="W20:Y20"/>
    <mergeCell ref="W21:Y21"/>
    <mergeCell ref="W22:Y22"/>
    <mergeCell ref="W23:Y23"/>
    <mergeCell ref="W24:Y24"/>
    <mergeCell ref="W25:Y25"/>
    <mergeCell ref="W26:Y26"/>
    <mergeCell ref="W27:Y27"/>
    <mergeCell ref="W28:Y28"/>
    <mergeCell ref="W29:Y29"/>
    <mergeCell ref="W30:Y30"/>
    <mergeCell ref="AC30:AE30"/>
    <mergeCell ref="AC29:AE29"/>
    <mergeCell ref="AC28:AE28"/>
    <mergeCell ref="AC27:AE27"/>
    <mergeCell ref="AC26:AE26"/>
    <mergeCell ref="AC25:AE25"/>
    <mergeCell ref="AC24:AE24"/>
    <mergeCell ref="AC23:AE23"/>
    <mergeCell ref="AC22:AE22"/>
    <mergeCell ref="AC21:AE21"/>
    <mergeCell ref="AC20:AE20"/>
    <mergeCell ref="AC19:AE19"/>
    <mergeCell ref="AC18:AE18"/>
    <mergeCell ref="AC12:AE12"/>
    <mergeCell ref="AC11:AE11"/>
    <mergeCell ref="AC17:AE17"/>
    <mergeCell ref="AC16:AE16"/>
    <mergeCell ref="AC15:AE15"/>
    <mergeCell ref="AC14:AE14"/>
    <mergeCell ref="AC13:AE1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4754A-16B0-49C1-8281-2A00D222607B}">
  <sheetPr codeName="Planilha27">
    <tabColor rgb="FFFFFF00"/>
  </sheetPr>
  <dimension ref="A1:AD35"/>
  <sheetViews>
    <sheetView zoomScaleNormal="100" workbookViewId="0">
      <selection activeCell="O23" sqref="O23:R23"/>
    </sheetView>
  </sheetViews>
  <sheetFormatPr defaultRowHeight="15" x14ac:dyDescent="0.25"/>
  <cols>
    <col min="1" max="1" width="26.85546875" bestFit="1" customWidth="1"/>
    <col min="2" max="2" width="3.42578125" customWidth="1"/>
    <col min="3" max="3" width="26" bestFit="1" customWidth="1"/>
    <col min="4" max="4" width="3.42578125" customWidth="1"/>
    <col min="5" max="5" width="26" bestFit="1" customWidth="1"/>
    <col min="6" max="7" width="3" customWidth="1"/>
    <col min="8" max="11" width="4" customWidth="1"/>
    <col min="12" max="14" width="3" customWidth="1"/>
    <col min="15" max="18" width="4" customWidth="1"/>
    <col min="19" max="19" width="3" customWidth="1"/>
    <col min="20" max="23" width="4" customWidth="1"/>
    <col min="24" max="26" width="3" customWidth="1"/>
    <col min="27" max="30" width="4" customWidth="1"/>
    <col min="31" max="65" width="3" customWidth="1"/>
  </cols>
  <sheetData>
    <row r="1" spans="1:30" ht="16.5" thickTop="1" x14ac:dyDescent="0.25">
      <c r="A1" s="26" t="s">
        <v>105</v>
      </c>
      <c r="B1" s="85" t="s">
        <v>104</v>
      </c>
      <c r="C1" s="85"/>
      <c r="D1" s="85"/>
      <c r="E1" s="86"/>
    </row>
    <row r="2" spans="1:30" x14ac:dyDescent="0.25">
      <c r="A2" s="20" t="s">
        <v>0</v>
      </c>
      <c r="B2" s="21"/>
      <c r="C2" s="21" t="s">
        <v>0</v>
      </c>
      <c r="D2" s="21"/>
      <c r="E2" s="24" t="s">
        <v>0</v>
      </c>
      <c r="H2" s="84" t="str">
        <f>Tabela!A3</f>
        <v>Catar</v>
      </c>
      <c r="I2" s="84"/>
      <c r="J2" s="84"/>
      <c r="K2" s="84"/>
      <c r="L2" s="2">
        <f>Tabela!B3</f>
        <v>0</v>
      </c>
      <c r="M2" s="2" t="s">
        <v>70</v>
      </c>
      <c r="N2" s="2">
        <f>Tabela!D3</f>
        <v>2</v>
      </c>
      <c r="O2" s="84" t="str">
        <f>Tabela!E3</f>
        <v>Equador</v>
      </c>
      <c r="P2" s="84"/>
      <c r="Q2" s="84"/>
      <c r="R2" s="84"/>
      <c r="T2" s="84" t="str">
        <f>Tabela!G3</f>
        <v>Alemanha</v>
      </c>
      <c r="U2" s="84"/>
      <c r="V2" s="84"/>
      <c r="W2" s="84"/>
      <c r="X2">
        <f>Tabela!H3</f>
        <v>1</v>
      </c>
      <c r="Y2" s="2" t="s">
        <v>70</v>
      </c>
      <c r="Z2">
        <f>Tabela!J3</f>
        <v>2</v>
      </c>
      <c r="AA2" s="84" t="str">
        <f>Tabela!K3</f>
        <v>Japão</v>
      </c>
      <c r="AB2" s="84"/>
      <c r="AC2" s="84"/>
      <c r="AD2" s="84"/>
    </row>
    <row r="3" spans="1:30" x14ac:dyDescent="0.25">
      <c r="A3" s="16" t="s">
        <v>1</v>
      </c>
      <c r="B3" s="21"/>
      <c r="C3" s="17" t="s">
        <v>13</v>
      </c>
      <c r="D3" s="21"/>
      <c r="E3" s="18" t="s">
        <v>22</v>
      </c>
      <c r="H3" s="84" t="str">
        <f>Tabela!A4</f>
        <v>Senegal</v>
      </c>
      <c r="I3" s="84"/>
      <c r="J3" s="84"/>
      <c r="K3" s="84"/>
      <c r="L3" s="2">
        <f>Tabela!B4</f>
        <v>0</v>
      </c>
      <c r="M3" s="2" t="s">
        <v>70</v>
      </c>
      <c r="N3" s="2">
        <f>Tabela!D4</f>
        <v>2</v>
      </c>
      <c r="O3" s="84" t="str">
        <f>Tabela!E4</f>
        <v>Holanda</v>
      </c>
      <c r="P3" s="84"/>
      <c r="Q3" s="84"/>
      <c r="R3" s="84"/>
      <c r="T3" s="84" t="str">
        <f>Tabela!G4</f>
        <v>Espanha</v>
      </c>
      <c r="U3" s="84"/>
      <c r="V3" s="84"/>
      <c r="W3" s="84"/>
      <c r="X3">
        <f>Tabela!H4</f>
        <v>7</v>
      </c>
      <c r="Y3" s="2" t="s">
        <v>70</v>
      </c>
      <c r="Z3">
        <f>Tabela!J4</f>
        <v>0</v>
      </c>
      <c r="AA3" s="84" t="str">
        <f>Tabela!K4</f>
        <v>CostaRica</v>
      </c>
      <c r="AB3" s="84"/>
      <c r="AC3" s="84"/>
      <c r="AD3" s="84"/>
    </row>
    <row r="4" spans="1:30" x14ac:dyDescent="0.25">
      <c r="A4" s="20" t="s">
        <v>0</v>
      </c>
      <c r="B4" s="21"/>
      <c r="C4" s="21" t="s">
        <v>0</v>
      </c>
      <c r="D4" s="21"/>
      <c r="E4" s="24" t="s">
        <v>0</v>
      </c>
      <c r="H4" s="84" t="str">
        <f>Tabela!A5</f>
        <v>Catar</v>
      </c>
      <c r="I4" s="84"/>
      <c r="J4" s="84"/>
      <c r="K4" s="84"/>
      <c r="L4" s="2">
        <f>Tabela!B5</f>
        <v>1</v>
      </c>
      <c r="M4" s="2" t="s">
        <v>70</v>
      </c>
      <c r="N4" s="2">
        <f>Tabela!D5</f>
        <v>3</v>
      </c>
      <c r="O4" s="84" t="str">
        <f>Tabela!E5</f>
        <v>Senegal</v>
      </c>
      <c r="P4" s="84"/>
      <c r="Q4" s="84"/>
      <c r="R4" s="84"/>
      <c r="T4" s="84" t="str">
        <f>Tabela!G5</f>
        <v>Japão</v>
      </c>
      <c r="U4" s="84"/>
      <c r="V4" s="84"/>
      <c r="W4" s="84"/>
      <c r="X4">
        <f>Tabela!H5</f>
        <v>0</v>
      </c>
      <c r="Y4" s="2" t="s">
        <v>70</v>
      </c>
      <c r="Z4">
        <f>Tabela!J5</f>
        <v>1</v>
      </c>
      <c r="AA4" s="84" t="str">
        <f>Tabela!K5</f>
        <v>CostaRica</v>
      </c>
      <c r="AB4" s="84"/>
      <c r="AC4" s="84"/>
      <c r="AD4" s="84"/>
    </row>
    <row r="5" spans="1:30" x14ac:dyDescent="0.25">
      <c r="A5" s="20" t="s">
        <v>28</v>
      </c>
      <c r="B5" s="21"/>
      <c r="C5" s="21" t="s">
        <v>14</v>
      </c>
      <c r="D5" s="21"/>
      <c r="E5" s="24" t="s">
        <v>23</v>
      </c>
      <c r="H5" s="84" t="str">
        <f>Tabela!A6</f>
        <v>Holanda</v>
      </c>
      <c r="I5" s="84"/>
      <c r="J5" s="84"/>
      <c r="K5" s="84"/>
      <c r="L5" s="2">
        <f>Tabela!B6</f>
        <v>1</v>
      </c>
      <c r="M5" s="2" t="s">
        <v>70</v>
      </c>
      <c r="N5" s="2">
        <f>Tabela!D6</f>
        <v>1</v>
      </c>
      <c r="O5" s="84" t="str">
        <f>Tabela!E6</f>
        <v>Equador</v>
      </c>
      <c r="P5" s="84"/>
      <c r="Q5" s="84"/>
      <c r="R5" s="84"/>
      <c r="T5" s="84" t="str">
        <f>Tabela!G6</f>
        <v>Espanha</v>
      </c>
      <c r="U5" s="84"/>
      <c r="V5" s="84"/>
      <c r="W5" s="84"/>
      <c r="X5">
        <f>Tabela!H6</f>
        <v>0</v>
      </c>
      <c r="Y5" s="2" t="s">
        <v>70</v>
      </c>
      <c r="Z5">
        <f>Tabela!J6</f>
        <v>0</v>
      </c>
      <c r="AA5" s="84" t="str">
        <f>Tabela!K6</f>
        <v>Alemanha</v>
      </c>
      <c r="AB5" s="84"/>
      <c r="AC5" s="84"/>
      <c r="AD5" s="84"/>
    </row>
    <row r="6" spans="1:30" x14ac:dyDescent="0.25">
      <c r="A6" s="20" t="s">
        <v>2</v>
      </c>
      <c r="B6" s="21"/>
      <c r="C6" s="21" t="s">
        <v>15</v>
      </c>
      <c r="D6" s="21"/>
      <c r="E6" s="24" t="s">
        <v>34</v>
      </c>
      <c r="H6" s="84" t="str">
        <f>Tabela!A7</f>
        <v>Holanda</v>
      </c>
      <c r="I6" s="84"/>
      <c r="J6" s="84"/>
      <c r="K6" s="84"/>
      <c r="L6" s="2">
        <f>Tabela!B7</f>
        <v>0</v>
      </c>
      <c r="M6" s="2" t="s">
        <v>70</v>
      </c>
      <c r="N6" s="2">
        <f>Tabela!D7</f>
        <v>0</v>
      </c>
      <c r="O6" s="84" t="str">
        <f>Tabela!E7</f>
        <v>Catar</v>
      </c>
      <c r="P6" s="84"/>
      <c r="Q6" s="84"/>
      <c r="R6" s="84"/>
      <c r="T6" s="84" t="str">
        <f>Tabela!G7</f>
        <v>Japão</v>
      </c>
      <c r="U6" s="84"/>
      <c r="V6" s="84"/>
      <c r="W6" s="84"/>
      <c r="X6">
        <f>Tabela!H7</f>
        <v>0</v>
      </c>
      <c r="Y6" s="2" t="s">
        <v>70</v>
      </c>
      <c r="Z6">
        <f>Tabela!J7</f>
        <v>0</v>
      </c>
      <c r="AA6" s="84" t="str">
        <f>Tabela!K7</f>
        <v>Espanha</v>
      </c>
      <c r="AB6" s="84"/>
      <c r="AC6" s="84"/>
      <c r="AD6" s="84"/>
    </row>
    <row r="7" spans="1:30" x14ac:dyDescent="0.25">
      <c r="A7" s="20" t="s">
        <v>85</v>
      </c>
      <c r="B7" s="21"/>
      <c r="C7" s="21" t="s">
        <v>92</v>
      </c>
      <c r="D7" s="21"/>
      <c r="E7" s="24" t="s">
        <v>24</v>
      </c>
      <c r="H7" s="84" t="str">
        <f>Tabela!A8</f>
        <v>Equador</v>
      </c>
      <c r="I7" s="84"/>
      <c r="J7" s="84"/>
      <c r="K7" s="84"/>
      <c r="L7" s="2">
        <f>Tabela!B8</f>
        <v>0</v>
      </c>
      <c r="M7" s="2" t="s">
        <v>70</v>
      </c>
      <c r="N7" s="2">
        <f>Tabela!D8</f>
        <v>0</v>
      </c>
      <c r="O7" s="84" t="str">
        <f>Tabela!E8</f>
        <v>Senegal</v>
      </c>
      <c r="P7" s="84"/>
      <c r="Q7" s="84"/>
      <c r="R7" s="84"/>
      <c r="T7" s="84" t="str">
        <f>Tabela!G8</f>
        <v>CostaRica</v>
      </c>
      <c r="U7" s="84"/>
      <c r="V7" s="84"/>
      <c r="W7" s="84"/>
      <c r="X7">
        <f>Tabela!H8</f>
        <v>0</v>
      </c>
      <c r="Y7" s="2" t="s">
        <v>70</v>
      </c>
      <c r="Z7">
        <f>Tabela!J8</f>
        <v>0</v>
      </c>
      <c r="AA7" s="84" t="str">
        <f>Tabela!K8</f>
        <v>Alemanha</v>
      </c>
      <c r="AB7" s="84"/>
      <c r="AC7" s="84"/>
      <c r="AD7" s="84"/>
    </row>
    <row r="8" spans="1:30" x14ac:dyDescent="0.25">
      <c r="A8" s="20" t="s">
        <v>3</v>
      </c>
      <c r="B8" s="21"/>
      <c r="C8" s="21" t="s">
        <v>93</v>
      </c>
      <c r="D8" s="21"/>
      <c r="E8" s="24" t="s">
        <v>25</v>
      </c>
      <c r="H8" s="84" t="str">
        <f>Tabela!A9</f>
        <v>Grupo B</v>
      </c>
      <c r="I8" s="84"/>
      <c r="J8" s="84"/>
      <c r="K8" s="84"/>
      <c r="L8" s="2">
        <f>Tabela!B9</f>
        <v>0</v>
      </c>
      <c r="M8" s="2" t="s">
        <v>70</v>
      </c>
      <c r="N8" s="2">
        <f>Tabela!D9</f>
        <v>0</v>
      </c>
      <c r="O8" s="84">
        <f>Tabela!E9</f>
        <v>0</v>
      </c>
      <c r="P8" s="84"/>
      <c r="Q8" s="84"/>
      <c r="R8" s="84"/>
      <c r="T8" s="84" t="str">
        <f>Tabela!G9</f>
        <v>Grupo F</v>
      </c>
      <c r="U8" s="84"/>
      <c r="V8" s="84"/>
      <c r="W8" s="84"/>
      <c r="X8">
        <f>Tabela!H9</f>
        <v>0</v>
      </c>
      <c r="Y8" s="2" t="s">
        <v>70</v>
      </c>
      <c r="Z8">
        <f>Tabela!J9</f>
        <v>0</v>
      </c>
      <c r="AA8" s="84">
        <f>Tabela!K9</f>
        <v>0</v>
      </c>
      <c r="AB8" s="84"/>
      <c r="AC8" s="84"/>
      <c r="AD8" s="84"/>
    </row>
    <row r="9" spans="1:30" x14ac:dyDescent="0.25">
      <c r="A9" s="20" t="s">
        <v>4</v>
      </c>
      <c r="B9" s="21"/>
      <c r="C9" s="21" t="s">
        <v>94</v>
      </c>
      <c r="D9" s="21"/>
      <c r="E9" s="24" t="s">
        <v>26</v>
      </c>
      <c r="H9" s="84" t="str">
        <f>Tabela!A10</f>
        <v>Inglaterra</v>
      </c>
      <c r="I9" s="84"/>
      <c r="J9" s="84"/>
      <c r="K9" s="84"/>
      <c r="L9" s="2">
        <f>Tabela!B10</f>
        <v>6</v>
      </c>
      <c r="M9" s="2" t="s">
        <v>70</v>
      </c>
      <c r="N9" s="2">
        <f>Tabela!D10</f>
        <v>2</v>
      </c>
      <c r="O9" s="84" t="str">
        <f>Tabela!E10</f>
        <v>Irã</v>
      </c>
      <c r="P9" s="84"/>
      <c r="Q9" s="84"/>
      <c r="R9" s="84"/>
      <c r="T9" s="84" t="str">
        <f>Tabela!G10</f>
        <v>Marrocos</v>
      </c>
      <c r="U9" s="84"/>
      <c r="V9" s="84"/>
      <c r="W9" s="84"/>
      <c r="X9">
        <f>Tabela!H10</f>
        <v>0</v>
      </c>
      <c r="Y9" s="2" t="s">
        <v>70</v>
      </c>
      <c r="Z9">
        <f>Tabela!J10</f>
        <v>0</v>
      </c>
      <c r="AA9" s="84" t="str">
        <f>Tabela!K10</f>
        <v>Croácia</v>
      </c>
      <c r="AB9" s="84"/>
      <c r="AC9" s="84"/>
      <c r="AD9" s="84"/>
    </row>
    <row r="10" spans="1:30" x14ac:dyDescent="0.25">
      <c r="A10" s="20" t="s">
        <v>90</v>
      </c>
      <c r="B10" s="21"/>
      <c r="C10" s="21" t="s">
        <v>95</v>
      </c>
      <c r="D10" s="21"/>
      <c r="E10" s="24" t="s">
        <v>35</v>
      </c>
      <c r="H10" s="84" t="str">
        <f>Tabela!A11</f>
        <v>Estados Unidos</v>
      </c>
      <c r="I10" s="84"/>
      <c r="J10" s="84"/>
      <c r="K10" s="84"/>
      <c r="L10" s="2">
        <f>Tabela!B11</f>
        <v>1</v>
      </c>
      <c r="M10" s="2" t="s">
        <v>70</v>
      </c>
      <c r="N10" s="2">
        <f>Tabela!D11</f>
        <v>1</v>
      </c>
      <c r="O10" s="84" t="str">
        <f>Tabela!E11</f>
        <v>Gales</v>
      </c>
      <c r="P10" s="84"/>
      <c r="Q10" s="84"/>
      <c r="R10" s="84"/>
      <c r="T10" s="84" t="str">
        <f>Tabela!G11</f>
        <v>Bélgica</v>
      </c>
      <c r="U10" s="84"/>
      <c r="V10" s="84"/>
      <c r="W10" s="84"/>
      <c r="X10">
        <f>Tabela!H11</f>
        <v>1</v>
      </c>
      <c r="Y10" s="2" t="s">
        <v>70</v>
      </c>
      <c r="Z10">
        <f>Tabela!J11</f>
        <v>0</v>
      </c>
      <c r="AA10" s="84" t="str">
        <f>Tabela!K11</f>
        <v>Canadá</v>
      </c>
      <c r="AB10" s="84"/>
      <c r="AC10" s="84"/>
      <c r="AD10" s="84"/>
    </row>
    <row r="11" spans="1:30" x14ac:dyDescent="0.25">
      <c r="A11" s="20" t="s">
        <v>0</v>
      </c>
      <c r="B11" s="21"/>
      <c r="C11" s="21" t="s">
        <v>0</v>
      </c>
      <c r="D11" s="21"/>
      <c r="E11" s="24" t="s">
        <v>0</v>
      </c>
      <c r="H11" s="84" t="str">
        <f>Tabela!A12</f>
        <v>Gales</v>
      </c>
      <c r="I11" s="84"/>
      <c r="J11" s="84"/>
      <c r="K11" s="84"/>
      <c r="L11" s="2">
        <f>Tabela!B12</f>
        <v>0</v>
      </c>
      <c r="M11" s="2" t="s">
        <v>70</v>
      </c>
      <c r="N11" s="2">
        <f>Tabela!D12</f>
        <v>2</v>
      </c>
      <c r="O11" s="84" t="str">
        <f>Tabela!E12</f>
        <v>Irã</v>
      </c>
      <c r="P11" s="84"/>
      <c r="Q11" s="84"/>
      <c r="R11" s="84"/>
      <c r="T11" s="84" t="str">
        <f>Tabela!G12</f>
        <v>Bélgica</v>
      </c>
      <c r="U11" s="84"/>
      <c r="V11" s="84"/>
      <c r="W11" s="84"/>
      <c r="X11">
        <f>Tabela!H12</f>
        <v>0</v>
      </c>
      <c r="Y11" s="2" t="s">
        <v>70</v>
      </c>
      <c r="Z11">
        <f>Tabela!J12</f>
        <v>2</v>
      </c>
      <c r="AA11" s="84" t="str">
        <f>Tabela!K12</f>
        <v>Marrocos</v>
      </c>
      <c r="AB11" s="84"/>
      <c r="AC11" s="84"/>
      <c r="AD11" s="84"/>
    </row>
    <row r="12" spans="1:30" x14ac:dyDescent="0.25">
      <c r="A12" s="16" t="s">
        <v>5</v>
      </c>
      <c r="B12" s="21"/>
      <c r="C12" s="17" t="s">
        <v>16</v>
      </c>
      <c r="D12" s="21"/>
      <c r="E12" s="18" t="s">
        <v>27</v>
      </c>
      <c r="H12" s="84" t="str">
        <f>Tabela!A13</f>
        <v>Inglaterra</v>
      </c>
      <c r="I12" s="84"/>
      <c r="J12" s="84"/>
      <c r="K12" s="84"/>
      <c r="L12" s="2">
        <f>Tabela!B13</f>
        <v>0</v>
      </c>
      <c r="M12" s="2" t="s">
        <v>70</v>
      </c>
      <c r="N12" s="2">
        <f>Tabela!D13</f>
        <v>0</v>
      </c>
      <c r="O12" s="84" t="str">
        <f>Tabela!E13</f>
        <v>Estados Unidos</v>
      </c>
      <c r="P12" s="84"/>
      <c r="Q12" s="84"/>
      <c r="R12" s="84"/>
      <c r="T12" s="84" t="str">
        <f>Tabela!G13</f>
        <v>Croácia</v>
      </c>
      <c r="U12" s="84"/>
      <c r="V12" s="84"/>
      <c r="W12" s="84"/>
      <c r="X12">
        <f>Tabela!H13</f>
        <v>0</v>
      </c>
      <c r="Y12" s="2" t="s">
        <v>70</v>
      </c>
      <c r="Z12">
        <f>Tabela!J13</f>
        <v>0</v>
      </c>
      <c r="AA12" s="84" t="str">
        <f>Tabela!K13</f>
        <v>Canadá</v>
      </c>
      <c r="AB12" s="84"/>
      <c r="AC12" s="84"/>
      <c r="AD12" s="84"/>
    </row>
    <row r="13" spans="1:30" x14ac:dyDescent="0.25">
      <c r="A13" s="20" t="s">
        <v>0</v>
      </c>
      <c r="B13" s="21"/>
      <c r="C13" s="21" t="s">
        <v>0</v>
      </c>
      <c r="D13" s="21"/>
      <c r="E13" s="24" t="s">
        <v>0</v>
      </c>
      <c r="H13" s="84" t="str">
        <f>Tabela!A14</f>
        <v>Irã</v>
      </c>
      <c r="I13" s="84"/>
      <c r="J13" s="84"/>
      <c r="K13" s="84"/>
      <c r="L13" s="2">
        <f>Tabela!B14</f>
        <v>0</v>
      </c>
      <c r="M13" s="2" t="s">
        <v>70</v>
      </c>
      <c r="N13" s="2">
        <f>Tabela!D14</f>
        <v>0</v>
      </c>
      <c r="O13" s="84" t="str">
        <f>Tabela!E14</f>
        <v>Estados Unidos</v>
      </c>
      <c r="P13" s="84"/>
      <c r="Q13" s="84"/>
      <c r="R13" s="84"/>
      <c r="T13" s="84" t="str">
        <f>Tabela!G14</f>
        <v>Croácia</v>
      </c>
      <c r="U13" s="84"/>
      <c r="V13" s="84"/>
      <c r="W13" s="84"/>
      <c r="X13">
        <f>Tabela!H14</f>
        <v>0</v>
      </c>
      <c r="Y13" s="2" t="s">
        <v>70</v>
      </c>
      <c r="Z13">
        <f>Tabela!J14</f>
        <v>0</v>
      </c>
      <c r="AA13" s="84" t="str">
        <f>Tabela!K14</f>
        <v>Bélgica</v>
      </c>
      <c r="AB13" s="84"/>
      <c r="AC13" s="84"/>
      <c r="AD13" s="84"/>
    </row>
    <row r="14" spans="1:30" x14ac:dyDescent="0.25">
      <c r="A14" s="20" t="s">
        <v>29</v>
      </c>
      <c r="B14" s="21"/>
      <c r="C14" s="21" t="s">
        <v>31</v>
      </c>
      <c r="D14" s="21"/>
      <c r="E14" s="24" t="s">
        <v>263</v>
      </c>
      <c r="H14" s="84" t="str">
        <f>Tabela!A15</f>
        <v>Gales</v>
      </c>
      <c r="I14" s="84"/>
      <c r="J14" s="84"/>
      <c r="K14" s="84"/>
      <c r="L14" s="2">
        <f>Tabela!B15</f>
        <v>0</v>
      </c>
      <c r="M14" s="2" t="s">
        <v>70</v>
      </c>
      <c r="N14" s="2">
        <f>Tabela!D15</f>
        <v>0</v>
      </c>
      <c r="O14" s="84" t="str">
        <f>Tabela!E15</f>
        <v>Inglaterra</v>
      </c>
      <c r="P14" s="84"/>
      <c r="Q14" s="84"/>
      <c r="R14" s="84"/>
      <c r="T14" s="84" t="str">
        <f>Tabela!G15</f>
        <v>Canadá</v>
      </c>
      <c r="U14" s="84"/>
      <c r="V14" s="84"/>
      <c r="W14" s="84"/>
      <c r="X14">
        <f>Tabela!H15</f>
        <v>0</v>
      </c>
      <c r="Y14" s="2" t="s">
        <v>70</v>
      </c>
      <c r="Z14">
        <f>Tabela!J15</f>
        <v>0</v>
      </c>
      <c r="AA14" s="84" t="str">
        <f>Tabela!K15</f>
        <v>Marrocos</v>
      </c>
      <c r="AB14" s="84"/>
      <c r="AC14" s="84"/>
      <c r="AD14" s="84"/>
    </row>
    <row r="15" spans="1:30" x14ac:dyDescent="0.25">
      <c r="A15" s="20" t="s">
        <v>6</v>
      </c>
      <c r="B15" s="21"/>
      <c r="C15" s="21" t="s">
        <v>259</v>
      </c>
      <c r="D15" s="21"/>
      <c r="E15" s="24" t="s">
        <v>101</v>
      </c>
      <c r="H15" s="84" t="str">
        <f>Tabela!A16</f>
        <v>Grupo C</v>
      </c>
      <c r="I15" s="84"/>
      <c r="J15" s="84"/>
      <c r="K15" s="84"/>
      <c r="L15" s="2">
        <f>Tabela!B16</f>
        <v>0</v>
      </c>
      <c r="M15" s="2" t="s">
        <v>70</v>
      </c>
      <c r="N15" s="2">
        <f>Tabela!D16</f>
        <v>0</v>
      </c>
      <c r="O15" s="84">
        <f>Tabela!E16</f>
        <v>0</v>
      </c>
      <c r="P15" s="84"/>
      <c r="Q15" s="84"/>
      <c r="R15" s="84"/>
      <c r="T15" s="84" t="str">
        <f>Tabela!G16</f>
        <v>Grupo G</v>
      </c>
      <c r="U15" s="84"/>
      <c r="V15" s="84"/>
      <c r="W15" s="84"/>
      <c r="X15">
        <f>Tabela!H16</f>
        <v>0</v>
      </c>
      <c r="Y15" s="2" t="s">
        <v>70</v>
      </c>
      <c r="Z15">
        <f>Tabela!J16</f>
        <v>0</v>
      </c>
      <c r="AA15" s="84">
        <f>Tabela!K16</f>
        <v>0</v>
      </c>
      <c r="AB15" s="84"/>
      <c r="AC15" s="84"/>
      <c r="AD15" s="84"/>
    </row>
    <row r="16" spans="1:30" x14ac:dyDescent="0.25">
      <c r="A16" s="20" t="s">
        <v>7</v>
      </c>
      <c r="B16" s="21"/>
      <c r="C16" s="21" t="s">
        <v>254</v>
      </c>
      <c r="D16" s="21"/>
      <c r="E16" s="24" t="s">
        <v>268</v>
      </c>
      <c r="H16" s="84" t="str">
        <f>Tabela!A17</f>
        <v>Argentina</v>
      </c>
      <c r="I16" s="84"/>
      <c r="J16" s="84"/>
      <c r="K16" s="84"/>
      <c r="L16" s="2">
        <f>Tabela!B17</f>
        <v>1</v>
      </c>
      <c r="M16" s="2" t="s">
        <v>70</v>
      </c>
      <c r="N16" s="2">
        <f>Tabela!D17</f>
        <v>2</v>
      </c>
      <c r="O16" s="84" t="str">
        <f>Tabela!E17</f>
        <v>ArábiaSaudita</v>
      </c>
      <c r="P16" s="84"/>
      <c r="Q16" s="84"/>
      <c r="R16" s="84"/>
      <c r="T16" s="84" t="str">
        <f>Tabela!G17</f>
        <v>Suíça</v>
      </c>
      <c r="U16" s="84"/>
      <c r="V16" s="84"/>
      <c r="W16" s="84"/>
      <c r="X16">
        <f>Tabela!H17</f>
        <v>1</v>
      </c>
      <c r="Y16" s="2" t="s">
        <v>70</v>
      </c>
      <c r="Z16">
        <f>Tabela!J17</f>
        <v>0</v>
      </c>
      <c r="AA16" s="84" t="str">
        <f>Tabela!K17</f>
        <v>Camarões</v>
      </c>
      <c r="AB16" s="84"/>
      <c r="AC16" s="84"/>
      <c r="AD16" s="84"/>
    </row>
    <row r="17" spans="1:30" x14ac:dyDescent="0.25">
      <c r="A17" s="20" t="s">
        <v>8</v>
      </c>
      <c r="B17" s="21"/>
      <c r="C17" s="21" t="s">
        <v>17</v>
      </c>
      <c r="D17" s="21"/>
      <c r="E17" s="24" t="s">
        <v>37</v>
      </c>
      <c r="H17" s="84" t="str">
        <f>Tabela!A18</f>
        <v>México</v>
      </c>
      <c r="I17" s="84"/>
      <c r="J17" s="84"/>
      <c r="K17" s="84"/>
      <c r="L17" s="2">
        <f>Tabela!B18</f>
        <v>0</v>
      </c>
      <c r="M17" s="2" t="s">
        <v>70</v>
      </c>
      <c r="N17" s="2">
        <f>Tabela!D18</f>
        <v>0</v>
      </c>
      <c r="O17" s="84" t="str">
        <f>Tabela!E18</f>
        <v>Polônia</v>
      </c>
      <c r="P17" s="84"/>
      <c r="Q17" s="84"/>
      <c r="R17" s="84"/>
      <c r="T17" s="84" t="str">
        <f>Tabela!G18</f>
        <v>Brasil</v>
      </c>
      <c r="U17" s="84"/>
      <c r="V17" s="84"/>
      <c r="W17" s="84"/>
      <c r="X17">
        <f>Tabela!H18</f>
        <v>2</v>
      </c>
      <c r="Y17" s="2" t="s">
        <v>70</v>
      </c>
      <c r="Z17">
        <f>Tabela!J18</f>
        <v>0</v>
      </c>
      <c r="AA17" s="84" t="str">
        <f>Tabela!K18</f>
        <v>Sérvia</v>
      </c>
      <c r="AB17" s="84"/>
      <c r="AC17" s="84"/>
      <c r="AD17" s="84"/>
    </row>
    <row r="18" spans="1:30" x14ac:dyDescent="0.25">
      <c r="A18" s="20" t="s">
        <v>80</v>
      </c>
      <c r="B18" s="21"/>
      <c r="C18" s="21" t="s">
        <v>18</v>
      </c>
      <c r="D18" s="21"/>
      <c r="E18" s="24" t="s">
        <v>267</v>
      </c>
      <c r="H18" s="84" t="str">
        <f>Tabela!A19</f>
        <v>Polônia</v>
      </c>
      <c r="I18" s="84"/>
      <c r="J18" s="84"/>
      <c r="K18" s="84"/>
      <c r="L18" s="2">
        <f>Tabela!B19</f>
        <v>2</v>
      </c>
      <c r="M18" s="2" t="s">
        <v>70</v>
      </c>
      <c r="N18" s="2">
        <f>Tabela!D19</f>
        <v>0</v>
      </c>
      <c r="O18" s="84" t="str">
        <f>Tabela!E19</f>
        <v>ArábiaSaudita</v>
      </c>
      <c r="P18" s="84"/>
      <c r="Q18" s="84"/>
      <c r="R18" s="84"/>
      <c r="T18" s="84" t="str">
        <f>Tabela!G19</f>
        <v>Camarões</v>
      </c>
      <c r="U18" s="84"/>
      <c r="V18" s="84"/>
      <c r="W18" s="84"/>
      <c r="X18">
        <f>Tabela!H19</f>
        <v>0</v>
      </c>
      <c r="Y18" s="2" t="s">
        <v>70</v>
      </c>
      <c r="Z18">
        <f>Tabela!J19</f>
        <v>0</v>
      </c>
      <c r="AA18" s="84" t="str">
        <f>Tabela!K19</f>
        <v>Sérvia</v>
      </c>
      <c r="AB18" s="84"/>
      <c r="AC18" s="84"/>
      <c r="AD18" s="84"/>
    </row>
    <row r="19" spans="1:30" x14ac:dyDescent="0.25">
      <c r="A19" s="20" t="s">
        <v>86</v>
      </c>
      <c r="B19" s="21"/>
      <c r="C19" s="21" t="s">
        <v>260</v>
      </c>
      <c r="D19" s="21"/>
      <c r="E19" s="24" t="s">
        <v>103</v>
      </c>
      <c r="H19" s="84" t="str">
        <f>Tabela!A20</f>
        <v>Argentina</v>
      </c>
      <c r="I19" s="84"/>
      <c r="J19" s="84"/>
      <c r="K19" s="84"/>
      <c r="L19" s="2">
        <f>Tabela!B20</f>
        <v>2</v>
      </c>
      <c r="M19" s="2" t="s">
        <v>70</v>
      </c>
      <c r="N19" s="2">
        <f>Tabela!D20</f>
        <v>0</v>
      </c>
      <c r="O19" s="84" t="str">
        <f>Tabela!E20</f>
        <v>México</v>
      </c>
      <c r="P19" s="84"/>
      <c r="Q19" s="84"/>
      <c r="R19" s="84"/>
      <c r="T19" s="84" t="str">
        <f>Tabela!G20</f>
        <v>Brasil</v>
      </c>
      <c r="U19" s="84"/>
      <c r="V19" s="84"/>
      <c r="W19" s="84"/>
      <c r="X19">
        <f>Tabela!H20</f>
        <v>0</v>
      </c>
      <c r="Y19" s="2" t="s">
        <v>70</v>
      </c>
      <c r="Z19">
        <f>Tabela!J20</f>
        <v>0</v>
      </c>
      <c r="AA19" s="84" t="str">
        <f>Tabela!K20</f>
        <v>Suíça</v>
      </c>
      <c r="AB19" s="84"/>
      <c r="AC19" s="84"/>
      <c r="AD19" s="84"/>
    </row>
    <row r="20" spans="1:30" x14ac:dyDescent="0.25">
      <c r="A20" s="20" t="s">
        <v>0</v>
      </c>
      <c r="B20" s="21"/>
      <c r="C20" s="21" t="s">
        <v>0</v>
      </c>
      <c r="D20" s="21"/>
      <c r="E20" s="24"/>
      <c r="H20" s="84" t="str">
        <f>Tabela!A21</f>
        <v>Polônia</v>
      </c>
      <c r="I20" s="84"/>
      <c r="J20" s="84"/>
      <c r="K20" s="84"/>
      <c r="L20" s="2">
        <f>Tabela!B21</f>
        <v>0</v>
      </c>
      <c r="M20" s="2" t="s">
        <v>70</v>
      </c>
      <c r="N20" s="2">
        <f>Tabela!D21</f>
        <v>0</v>
      </c>
      <c r="O20" s="84" t="str">
        <f>Tabela!E21</f>
        <v>Argentina</v>
      </c>
      <c r="P20" s="84"/>
      <c r="Q20" s="84"/>
      <c r="R20" s="84"/>
      <c r="T20" s="84" t="str">
        <f>Tabela!G21</f>
        <v>Camarões</v>
      </c>
      <c r="U20" s="84"/>
      <c r="V20" s="84"/>
      <c r="W20" s="84"/>
      <c r="X20">
        <f>Tabela!H21</f>
        <v>0</v>
      </c>
      <c r="Y20" s="2" t="s">
        <v>70</v>
      </c>
      <c r="Z20">
        <f>Tabela!J21</f>
        <v>0</v>
      </c>
      <c r="AA20" s="84" t="str">
        <f>Tabela!K21</f>
        <v>Brasil</v>
      </c>
      <c r="AB20" s="84"/>
      <c r="AC20" s="84"/>
      <c r="AD20" s="84"/>
    </row>
    <row r="21" spans="1:30" x14ac:dyDescent="0.25">
      <c r="A21" s="16" t="s">
        <v>9</v>
      </c>
      <c r="B21" s="21"/>
      <c r="C21" s="17" t="s">
        <v>19</v>
      </c>
      <c r="D21" s="21"/>
      <c r="E21" s="19" t="s">
        <v>89</v>
      </c>
      <c r="H21" s="84" t="str">
        <f>Tabela!A22</f>
        <v>ArábiaSaudita</v>
      </c>
      <c r="I21" s="84"/>
      <c r="J21" s="84"/>
      <c r="K21" s="84"/>
      <c r="L21" s="2">
        <f>Tabela!B22</f>
        <v>0</v>
      </c>
      <c r="M21" s="2" t="s">
        <v>70</v>
      </c>
      <c r="N21" s="2">
        <f>Tabela!D22</f>
        <v>0</v>
      </c>
      <c r="O21" s="84" t="str">
        <f>Tabela!E22</f>
        <v>México</v>
      </c>
      <c r="P21" s="84"/>
      <c r="Q21" s="84"/>
      <c r="R21" s="84"/>
      <c r="T21" s="84" t="str">
        <f>Tabela!G22</f>
        <v>Sérvia</v>
      </c>
      <c r="U21" s="84"/>
      <c r="V21" s="84"/>
      <c r="W21" s="84"/>
      <c r="X21">
        <f>Tabela!H22</f>
        <v>0</v>
      </c>
      <c r="Y21" s="2" t="s">
        <v>70</v>
      </c>
      <c r="Z21">
        <f>Tabela!J22</f>
        <v>0</v>
      </c>
      <c r="AA21" s="84" t="str">
        <f>Tabela!K22</f>
        <v>Suíça</v>
      </c>
      <c r="AB21" s="84"/>
      <c r="AC21" s="84"/>
      <c r="AD21" s="84"/>
    </row>
    <row r="22" spans="1:30" x14ac:dyDescent="0.25">
      <c r="A22" s="20" t="s">
        <v>0</v>
      </c>
      <c r="B22" s="21"/>
      <c r="C22" s="21" t="s">
        <v>0</v>
      </c>
      <c r="D22" s="21"/>
      <c r="E22" s="24" t="s">
        <v>144</v>
      </c>
      <c r="H22" s="84" t="str">
        <f>Tabela!A23</f>
        <v>Grupo D</v>
      </c>
      <c r="I22" s="84"/>
      <c r="J22" s="84"/>
      <c r="K22" s="84"/>
      <c r="L22" s="2">
        <f>Tabela!B23</f>
        <v>0</v>
      </c>
      <c r="M22" s="2" t="s">
        <v>70</v>
      </c>
      <c r="N22" s="2">
        <f>Tabela!D23</f>
        <v>0</v>
      </c>
      <c r="O22" s="84">
        <f>Tabela!E23</f>
        <v>0</v>
      </c>
      <c r="P22" s="84"/>
      <c r="Q22" s="84"/>
      <c r="R22" s="84"/>
      <c r="T22" s="84" t="str">
        <f>Tabela!G23</f>
        <v>Grupo H</v>
      </c>
      <c r="U22" s="84"/>
      <c r="V22" s="84"/>
      <c r="W22" s="84"/>
      <c r="X22">
        <f>Tabela!H23</f>
        <v>0</v>
      </c>
      <c r="Y22" s="2" t="s">
        <v>70</v>
      </c>
      <c r="Z22">
        <f>Tabela!J23</f>
        <v>0</v>
      </c>
      <c r="AA22" s="84">
        <f>Tabela!K23</f>
        <v>0</v>
      </c>
      <c r="AB22" s="84"/>
      <c r="AC22" s="84"/>
      <c r="AD22" s="84"/>
    </row>
    <row r="23" spans="1:30" x14ac:dyDescent="0.25">
      <c r="A23" s="20" t="s">
        <v>251</v>
      </c>
      <c r="B23" s="21"/>
      <c r="C23" s="21" t="s">
        <v>98</v>
      </c>
      <c r="D23" s="21"/>
      <c r="E23" s="24" t="s">
        <v>145</v>
      </c>
      <c r="H23" s="84" t="str">
        <f>Tabela!A24</f>
        <v>Dinamarca</v>
      </c>
      <c r="I23" s="84"/>
      <c r="J23" s="84"/>
      <c r="K23" s="84"/>
      <c r="L23" s="2">
        <f>Tabela!B24</f>
        <v>0</v>
      </c>
      <c r="M23" s="2" t="s">
        <v>70</v>
      </c>
      <c r="N23" s="2">
        <f>Tabela!D24</f>
        <v>0</v>
      </c>
      <c r="O23" s="84" t="str">
        <f>Tabela!E24</f>
        <v>Tunísia</v>
      </c>
      <c r="P23" s="84"/>
      <c r="Q23" s="84"/>
      <c r="R23" s="84"/>
      <c r="T23" s="84" t="str">
        <f>Tabela!G24</f>
        <v>Uruguai</v>
      </c>
      <c r="U23" s="84"/>
      <c r="V23" s="84"/>
      <c r="W23" s="84"/>
      <c r="X23">
        <f>Tabela!H24</f>
        <v>0</v>
      </c>
      <c r="Y23" s="2" t="s">
        <v>70</v>
      </c>
      <c r="Z23">
        <f>Tabela!J24</f>
        <v>0</v>
      </c>
      <c r="AA23" s="84" t="str">
        <f>Tabela!K24</f>
        <v>CoreiaDoSul</v>
      </c>
      <c r="AB23" s="84"/>
      <c r="AC23" s="84"/>
      <c r="AD23" s="84"/>
    </row>
    <row r="24" spans="1:30" x14ac:dyDescent="0.25">
      <c r="A24" s="20" t="s">
        <v>10</v>
      </c>
      <c r="B24" s="21"/>
      <c r="C24" s="21" t="s">
        <v>99</v>
      </c>
      <c r="D24" s="21"/>
      <c r="E24" s="24"/>
      <c r="H24" s="84" t="str">
        <f>Tabela!A25</f>
        <v>França</v>
      </c>
      <c r="I24" s="84"/>
      <c r="J24" s="84"/>
      <c r="K24" s="84"/>
      <c r="L24" s="2">
        <f>Tabela!B25</f>
        <v>4</v>
      </c>
      <c r="M24" s="2" t="s">
        <v>70</v>
      </c>
      <c r="N24" s="2">
        <f>Tabela!D25</f>
        <v>1</v>
      </c>
      <c r="O24" s="84" t="str">
        <f>Tabela!E25</f>
        <v>Austrália</v>
      </c>
      <c r="P24" s="84"/>
      <c r="Q24" s="84"/>
      <c r="R24" s="84"/>
      <c r="T24" s="84" t="str">
        <f>Tabela!G25</f>
        <v>Portugal</v>
      </c>
      <c r="U24" s="84"/>
      <c r="V24" s="84"/>
      <c r="W24" s="84"/>
      <c r="X24">
        <f>Tabela!H25</f>
        <v>3</v>
      </c>
      <c r="Y24" s="2" t="s">
        <v>70</v>
      </c>
      <c r="Z24">
        <f>Tabela!J25</f>
        <v>2</v>
      </c>
      <c r="AA24" s="84" t="str">
        <f>Tabela!K25</f>
        <v>Gana</v>
      </c>
      <c r="AB24" s="84"/>
      <c r="AC24" s="84"/>
      <c r="AD24" s="84"/>
    </row>
    <row r="25" spans="1:30" x14ac:dyDescent="0.25">
      <c r="A25" s="20" t="s">
        <v>250</v>
      </c>
      <c r="B25" s="21"/>
      <c r="C25" s="21" t="s">
        <v>83</v>
      </c>
      <c r="D25" s="21"/>
      <c r="E25" s="19" t="s">
        <v>88</v>
      </c>
      <c r="H25" s="84" t="str">
        <f>Tabela!A26</f>
        <v>Tunísia</v>
      </c>
      <c r="I25" s="84"/>
      <c r="J25" s="84"/>
      <c r="K25" s="84"/>
      <c r="L25" s="2">
        <f>Tabela!B26</f>
        <v>0</v>
      </c>
      <c r="M25" s="2" t="s">
        <v>70</v>
      </c>
      <c r="N25" s="2">
        <f>Tabela!D26</f>
        <v>1</v>
      </c>
      <c r="O25" s="84" t="str">
        <f>Tabela!E26</f>
        <v>Austrália</v>
      </c>
      <c r="P25" s="84"/>
      <c r="Q25" s="84"/>
      <c r="R25" s="84"/>
      <c r="T25" s="84" t="str">
        <f>Tabela!G26</f>
        <v>CoreiaDoSul</v>
      </c>
      <c r="U25" s="84"/>
      <c r="V25" s="84"/>
      <c r="W25" s="84"/>
      <c r="X25">
        <f>Tabela!H26</f>
        <v>0</v>
      </c>
      <c r="Y25" s="2" t="s">
        <v>70</v>
      </c>
      <c r="Z25">
        <f>Tabela!J26</f>
        <v>0</v>
      </c>
      <c r="AA25" s="84" t="str">
        <f>Tabela!K26</f>
        <v>Gana</v>
      </c>
      <c r="AB25" s="84"/>
      <c r="AC25" s="84"/>
      <c r="AD25" s="84"/>
    </row>
    <row r="26" spans="1:30" x14ac:dyDescent="0.25">
      <c r="A26" s="20" t="s">
        <v>30</v>
      </c>
      <c r="B26" s="21"/>
      <c r="C26" s="21" t="s">
        <v>20</v>
      </c>
      <c r="D26" s="21"/>
      <c r="E26" s="24" t="s">
        <v>142</v>
      </c>
      <c r="H26" s="84" t="str">
        <f>Tabela!A27</f>
        <v>França</v>
      </c>
      <c r="I26" s="84"/>
      <c r="J26" s="84"/>
      <c r="K26" s="84"/>
      <c r="L26" s="2">
        <f>Tabela!B27</f>
        <v>2</v>
      </c>
      <c r="M26" s="2" t="s">
        <v>70</v>
      </c>
      <c r="N26" s="2">
        <f>Tabela!D27</f>
        <v>1</v>
      </c>
      <c r="O26" s="84" t="str">
        <f>Tabela!E27</f>
        <v>Dinamarca</v>
      </c>
      <c r="P26" s="84"/>
      <c r="Q26" s="84"/>
      <c r="R26" s="84"/>
      <c r="T26" s="84" t="str">
        <f>Tabela!G27</f>
        <v>Portugal</v>
      </c>
      <c r="U26" s="84"/>
      <c r="V26" s="84"/>
      <c r="W26" s="84"/>
      <c r="X26">
        <f>Tabela!H27</f>
        <v>0</v>
      </c>
      <c r="Y26" s="2" t="s">
        <v>70</v>
      </c>
      <c r="Z26">
        <f>Tabela!J27</f>
        <v>0</v>
      </c>
      <c r="AA26" s="84" t="str">
        <f>Tabela!K27</f>
        <v>Uruguai</v>
      </c>
      <c r="AB26" s="84"/>
      <c r="AC26" s="84"/>
      <c r="AD26" s="84"/>
    </row>
    <row r="27" spans="1:30" x14ac:dyDescent="0.25">
      <c r="A27" s="20" t="s">
        <v>11</v>
      </c>
      <c r="B27" s="21"/>
      <c r="C27" s="21" t="s">
        <v>84</v>
      </c>
      <c r="D27" s="21"/>
      <c r="E27" s="24" t="s">
        <v>143</v>
      </c>
      <c r="H27" s="84" t="str">
        <f>Tabela!A28</f>
        <v>Tunísia</v>
      </c>
      <c r="I27" s="84"/>
      <c r="J27" s="84"/>
      <c r="K27" s="84"/>
      <c r="L27" s="2">
        <f>Tabela!B28</f>
        <v>0</v>
      </c>
      <c r="M27" s="2" t="s">
        <v>70</v>
      </c>
      <c r="N27" s="2">
        <f>Tabela!D28</f>
        <v>0</v>
      </c>
      <c r="O27" s="84" t="str">
        <f>Tabela!E28</f>
        <v>França</v>
      </c>
      <c r="P27" s="84"/>
      <c r="Q27" s="84"/>
      <c r="R27" s="84"/>
      <c r="T27" s="84" t="str">
        <f>Tabela!G28</f>
        <v>CoreiaDoSul</v>
      </c>
      <c r="U27" s="84"/>
      <c r="V27" s="84"/>
      <c r="W27" s="84"/>
      <c r="X27">
        <f>Tabela!H28</f>
        <v>0</v>
      </c>
      <c r="Y27" s="2" t="s">
        <v>70</v>
      </c>
      <c r="Z27">
        <f>Tabela!J28</f>
        <v>0</v>
      </c>
      <c r="AA27" s="84" t="str">
        <f>Tabela!K28</f>
        <v>Portugal</v>
      </c>
      <c r="AB27" s="84"/>
      <c r="AC27" s="84"/>
      <c r="AD27" s="84"/>
    </row>
    <row r="28" spans="1:30" ht="15.75" thickBot="1" x14ac:dyDescent="0.3">
      <c r="A28" s="22" t="s">
        <v>247</v>
      </c>
      <c r="B28" s="23"/>
      <c r="C28" s="23" t="s">
        <v>21</v>
      </c>
      <c r="D28" s="23"/>
      <c r="E28" s="25"/>
      <c r="H28" s="84" t="str">
        <f>Tabela!A29</f>
        <v>Austrália</v>
      </c>
      <c r="I28" s="84"/>
      <c r="J28" s="84"/>
      <c r="K28" s="84"/>
      <c r="L28" s="2">
        <f>Tabela!B29</f>
        <v>0</v>
      </c>
      <c r="M28" s="2" t="s">
        <v>70</v>
      </c>
      <c r="N28" s="2">
        <f>Tabela!D29</f>
        <v>0</v>
      </c>
      <c r="O28" s="84" t="str">
        <f>Tabela!E29</f>
        <v>Dinamarca</v>
      </c>
      <c r="P28" s="84"/>
      <c r="Q28" s="84"/>
      <c r="R28" s="84"/>
      <c r="T28" s="84" t="str">
        <f>Tabela!G29</f>
        <v>Gana</v>
      </c>
      <c r="U28" s="84"/>
      <c r="V28" s="84"/>
      <c r="W28" s="84"/>
      <c r="X28">
        <f>Tabela!H29</f>
        <v>0</v>
      </c>
      <c r="Y28" s="2" t="s">
        <v>70</v>
      </c>
      <c r="Z28">
        <f>Tabela!J29</f>
        <v>0</v>
      </c>
      <c r="AA28" s="84" t="str">
        <f>Tabela!K29</f>
        <v>Uruguai</v>
      </c>
      <c r="AB28" s="84"/>
      <c r="AC28" s="84"/>
      <c r="AD28" s="84"/>
    </row>
    <row r="29" spans="1:30" ht="15.75" thickTop="1" x14ac:dyDescent="0.25">
      <c r="O29" s="29"/>
      <c r="P29" s="29"/>
      <c r="Q29" s="29"/>
      <c r="R29" s="29"/>
      <c r="T29" s="29"/>
      <c r="U29" s="29"/>
      <c r="V29" s="29"/>
      <c r="W29" s="29"/>
    </row>
    <row r="30" spans="1:30" x14ac:dyDescent="0.25">
      <c r="O30" s="29"/>
      <c r="P30" s="29"/>
      <c r="Q30" s="29"/>
      <c r="R30" s="29"/>
      <c r="T30" s="29"/>
      <c r="U30" s="29"/>
      <c r="V30" s="29"/>
      <c r="W30" s="29"/>
    </row>
    <row r="31" spans="1:30" x14ac:dyDescent="0.25">
      <c r="O31" s="29"/>
      <c r="P31" s="29"/>
      <c r="Q31" s="29"/>
      <c r="R31" s="29"/>
    </row>
    <row r="32" spans="1:30" x14ac:dyDescent="0.25">
      <c r="O32" s="84"/>
      <c r="P32" s="84"/>
      <c r="Q32" s="84"/>
      <c r="R32" s="84"/>
    </row>
    <row r="33" spans="15:18" x14ac:dyDescent="0.25">
      <c r="O33" s="84"/>
      <c r="P33" s="84"/>
      <c r="Q33" s="84"/>
      <c r="R33" s="84"/>
    </row>
    <row r="34" spans="15:18" x14ac:dyDescent="0.25">
      <c r="O34" s="84"/>
      <c r="P34" s="84"/>
      <c r="Q34" s="84"/>
      <c r="R34" s="84"/>
    </row>
    <row r="35" spans="15:18" x14ac:dyDescent="0.25">
      <c r="O35" s="84"/>
      <c r="P35" s="84"/>
      <c r="Q35" s="84"/>
      <c r="R35" s="84"/>
    </row>
  </sheetData>
  <mergeCells count="113">
    <mergeCell ref="H4:K4"/>
    <mergeCell ref="O4:R4"/>
    <mergeCell ref="T4:W4"/>
    <mergeCell ref="AA4:AD4"/>
    <mergeCell ref="H5:K5"/>
    <mergeCell ref="O5:R5"/>
    <mergeCell ref="T5:W5"/>
    <mergeCell ref="AA5:AD5"/>
    <mergeCell ref="B1:E1"/>
    <mergeCell ref="H2:K2"/>
    <mergeCell ref="O2:R2"/>
    <mergeCell ref="T2:W2"/>
    <mergeCell ref="AA2:AD2"/>
    <mergeCell ref="H3:K3"/>
    <mergeCell ref="O3:R3"/>
    <mergeCell ref="T3:W3"/>
    <mergeCell ref="AA3:AD3"/>
    <mergeCell ref="H8:K8"/>
    <mergeCell ref="O8:R8"/>
    <mergeCell ref="T8:W8"/>
    <mergeCell ref="AA8:AD8"/>
    <mergeCell ref="H9:K9"/>
    <mergeCell ref="O9:R9"/>
    <mergeCell ref="T9:W9"/>
    <mergeCell ref="AA9:AD9"/>
    <mergeCell ref="H6:K6"/>
    <mergeCell ref="O6:R6"/>
    <mergeCell ref="T6:W6"/>
    <mergeCell ref="AA6:AD6"/>
    <mergeCell ref="H7:K7"/>
    <mergeCell ref="O7:R7"/>
    <mergeCell ref="T7:W7"/>
    <mergeCell ref="AA7:AD7"/>
    <mergeCell ref="H12:K12"/>
    <mergeCell ref="O12:R12"/>
    <mergeCell ref="T12:W12"/>
    <mergeCell ref="AA12:AD12"/>
    <mergeCell ref="H13:K13"/>
    <mergeCell ref="O13:R13"/>
    <mergeCell ref="T13:W13"/>
    <mergeCell ref="AA13:AD13"/>
    <mergeCell ref="H10:K10"/>
    <mergeCell ref="O10:R10"/>
    <mergeCell ref="T10:W10"/>
    <mergeCell ref="AA10:AD10"/>
    <mergeCell ref="H11:K11"/>
    <mergeCell ref="O11:R11"/>
    <mergeCell ref="T11:W11"/>
    <mergeCell ref="AA11:AD11"/>
    <mergeCell ref="H16:K16"/>
    <mergeCell ref="O16:R16"/>
    <mergeCell ref="T16:W16"/>
    <mergeCell ref="AA16:AD16"/>
    <mergeCell ref="H17:K17"/>
    <mergeCell ref="O17:R17"/>
    <mergeCell ref="T17:W17"/>
    <mergeCell ref="AA17:AD17"/>
    <mergeCell ref="H14:K14"/>
    <mergeCell ref="O14:R14"/>
    <mergeCell ref="T14:W14"/>
    <mergeCell ref="AA14:AD14"/>
    <mergeCell ref="H15:K15"/>
    <mergeCell ref="O15:R15"/>
    <mergeCell ref="T15:W15"/>
    <mergeCell ref="AA15:AD15"/>
    <mergeCell ref="H20:K20"/>
    <mergeCell ref="O20:R20"/>
    <mergeCell ref="T20:W20"/>
    <mergeCell ref="AA20:AD20"/>
    <mergeCell ref="H21:K21"/>
    <mergeCell ref="O21:R21"/>
    <mergeCell ref="T21:W21"/>
    <mergeCell ref="AA21:AD21"/>
    <mergeCell ref="H18:K18"/>
    <mergeCell ref="O18:R18"/>
    <mergeCell ref="T18:W18"/>
    <mergeCell ref="AA18:AD18"/>
    <mergeCell ref="H19:K19"/>
    <mergeCell ref="O19:R19"/>
    <mergeCell ref="T19:W19"/>
    <mergeCell ref="AA19:AD19"/>
    <mergeCell ref="H24:K24"/>
    <mergeCell ref="O24:R24"/>
    <mergeCell ref="T24:W24"/>
    <mergeCell ref="AA24:AD24"/>
    <mergeCell ref="H25:K25"/>
    <mergeCell ref="O25:R25"/>
    <mergeCell ref="T25:W25"/>
    <mergeCell ref="AA25:AD25"/>
    <mergeCell ref="H22:K22"/>
    <mergeCell ref="O22:R22"/>
    <mergeCell ref="T22:W22"/>
    <mergeCell ref="AA22:AD22"/>
    <mergeCell ref="H23:K23"/>
    <mergeCell ref="O23:R23"/>
    <mergeCell ref="T23:W23"/>
    <mergeCell ref="AA23:AD23"/>
    <mergeCell ref="O34:R34"/>
    <mergeCell ref="O35:R35"/>
    <mergeCell ref="H28:K28"/>
    <mergeCell ref="O28:R28"/>
    <mergeCell ref="T28:W28"/>
    <mergeCell ref="AA28:AD28"/>
    <mergeCell ref="O32:R32"/>
    <mergeCell ref="O33:R33"/>
    <mergeCell ref="H26:K26"/>
    <mergeCell ref="O26:R26"/>
    <mergeCell ref="T26:W26"/>
    <mergeCell ref="AA26:AD26"/>
    <mergeCell ref="H27:K27"/>
    <mergeCell ref="O27:R27"/>
    <mergeCell ref="T27:W27"/>
    <mergeCell ref="AA27:AD2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Ivan (2)</vt:lpstr>
      <vt:lpstr>Seleções</vt:lpstr>
      <vt:lpstr>Jean (2)</vt:lpstr>
      <vt:lpstr>Simulador</vt:lpstr>
      <vt:lpstr>Placar Exato</vt:lpstr>
      <vt:lpstr>Classificação</vt:lpstr>
      <vt:lpstr>Tabela</vt:lpstr>
      <vt:lpstr>Ivan Alex_1</vt:lpstr>
      <vt:lpstr>Ivan Alex_2</vt:lpstr>
      <vt:lpstr>Bruno Flores</vt:lpstr>
      <vt:lpstr>Luis</vt:lpstr>
      <vt:lpstr>Gabriel</vt:lpstr>
      <vt:lpstr>Juninho_1</vt:lpstr>
      <vt:lpstr>Juninho_2</vt:lpstr>
      <vt:lpstr>Luana (2)</vt:lpstr>
      <vt:lpstr>Luana</vt:lpstr>
      <vt:lpstr>Mácio (2)</vt:lpstr>
      <vt:lpstr>Macélio</vt:lpstr>
      <vt:lpstr>Ivani</vt:lpstr>
      <vt:lpstr>Mácio</vt:lpstr>
      <vt:lpstr>Alex</vt:lpstr>
      <vt:lpstr>Jean</vt:lpstr>
      <vt:lpstr>Robert</vt:lpstr>
      <vt:lpstr>Roberto</vt:lpstr>
      <vt:lpstr>Andréia</vt:lpstr>
      <vt:lpstr>Joseir_2</vt:lpstr>
      <vt:lpstr>Joseir_1</vt:lpstr>
      <vt:lpstr>Josimar</vt:lpstr>
      <vt:lpstr>Julio</vt:lpstr>
      <vt:lpstr>Talita</vt:lpstr>
      <vt:lpstr>Anderson</vt:lpstr>
      <vt:lpstr>Cléofaz</vt:lpstr>
      <vt:lpstr>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2022-11-27T15:53:16Z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2022-11-27T15:53:16Z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ad732ab7-2a55-4913-83e5-3a48340ec25d</vt:lpwstr>
  </property>
  <property fmtid="{D5CDD505-2E9C-101B-9397-08002B2CF9AE}" pid="8" name="MSIP_Label_c06de4a7-0f08-40d9-aeea-6b6c28cbe58e_ContentBits">
    <vt:lpwstr>2</vt:lpwstr>
  </property>
</Properties>
</file>