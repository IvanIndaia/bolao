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AAAFB87B-4EE6-4BD4-89B3-8CFBF6B23C37}" xr6:coauthVersionLast="47" xr6:coauthVersionMax="47" xr10:uidLastSave="{00000000-0000-0000-0000-000000000000}"/>
  <bookViews>
    <workbookView xWindow="-120" yWindow="-120" windowWidth="20730" windowHeight="11160" tabRatio="791" firstSheet="3" activeTab="3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Classificação" sheetId="31" r:id="rId4"/>
    <sheet name="Tabela" sheetId="1" r:id="rId5"/>
    <sheet name="Ivan Alex_1" sheetId="3" r:id="rId6"/>
    <sheet name="Ivan Alex_2" sheetId="10" r:id="rId7"/>
    <sheet name="Bruno Flores" sheetId="6" r:id="rId8"/>
    <sheet name="Luis" sheetId="29" r:id="rId9"/>
    <sheet name="Gabriel" sheetId="28" r:id="rId10"/>
    <sheet name="Juninho_1" sheetId="17" r:id="rId11"/>
    <sheet name="Juninho_2" sheetId="18" r:id="rId12"/>
    <sheet name="Luana (2)" sheetId="37" state="hidden" r:id="rId13"/>
    <sheet name="Luana" sheetId="12" r:id="rId14"/>
    <sheet name="Mácio (2)" sheetId="38" state="hidden" r:id="rId15"/>
    <sheet name="Macélio" sheetId="11" r:id="rId16"/>
    <sheet name="Ivani" sheetId="25" r:id="rId17"/>
    <sheet name="Mácio" sheetId="16" r:id="rId18"/>
    <sheet name="Alex" sheetId="13" r:id="rId19"/>
    <sheet name="Jean" sheetId="19" r:id="rId20"/>
    <sheet name="Robert" sheetId="20" r:id="rId21"/>
    <sheet name="Roberto" sheetId="21" r:id="rId22"/>
    <sheet name="Andréia" sheetId="22" r:id="rId23"/>
    <sheet name="Joseir_1" sheetId="23" r:id="rId24"/>
    <sheet name="Joseir_2" sheetId="24" r:id="rId25"/>
    <sheet name="Josimar" sheetId="26" r:id="rId26"/>
    <sheet name="Julio" sheetId="27" r:id="rId27"/>
    <sheet name="Talita" sheetId="30" r:id="rId28"/>
    <sheet name="Anderson" sheetId="32" r:id="rId29"/>
    <sheet name="Cléofaz" sheetId="34" r:id="rId30"/>
    <sheet name="NEW" sheetId="35" state="hidden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1" l="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5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9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1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5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8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4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22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1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4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12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18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0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6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3" i="31"/>
  <c r="P23" i="31"/>
  <c r="L17" i="31"/>
  <c r="P20" i="31"/>
  <c r="L5" i="31"/>
  <c r="P18" i="31"/>
  <c r="L23" i="31"/>
  <c r="P16" i="31"/>
  <c r="L10" i="31"/>
  <c r="P14" i="31"/>
  <c r="P13" i="31"/>
  <c r="P12" i="31"/>
  <c r="P11" i="31"/>
  <c r="P10" i="31"/>
  <c r="L7" i="31"/>
  <c r="L16" i="31"/>
  <c r="L14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2" i="31"/>
  <c r="D17" i="31"/>
  <c r="D21" i="31"/>
  <c r="D4" i="31"/>
  <c r="D13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9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D11" i="31" l="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<sst xmlns="http://schemas.openxmlformats.org/spreadsheetml/2006/main" count="4941" uniqueCount="326">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</sst>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29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24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67" t="s">
        <v>221</v>
      </c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E1" s="67" t="s">
        <v>222</v>
      </c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68" t="s">
        <v>104</v>
      </c>
      <c r="C2" s="68"/>
      <c r="D2" s="68"/>
      <c r="E2" s="69"/>
      <c r="G2" s="70" t="s">
        <v>1</v>
      </c>
      <c r="H2" s="70"/>
      <c r="I2" s="70"/>
      <c r="J2" s="70"/>
      <c r="K2" s="70"/>
      <c r="L2" s="70"/>
      <c r="M2" s="70"/>
      <c r="N2" s="70"/>
      <c r="O2" s="70"/>
      <c r="P2" s="70"/>
      <c r="Q2" s="70"/>
      <c r="S2" s="70" t="s">
        <v>73</v>
      </c>
      <c r="T2" s="70"/>
      <c r="U2" s="70"/>
      <c r="V2" s="70"/>
      <c r="W2" s="70"/>
      <c r="X2" s="70"/>
      <c r="Y2" s="70"/>
      <c r="Z2" s="70"/>
      <c r="AA2" s="70"/>
      <c r="AB2" s="70"/>
      <c r="AC2" s="70"/>
      <c r="AE2" s="71" t="str">
        <f>Tabela!A2</f>
        <v>Grupo A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Q2" s="71" t="str">
        <f>Tabela!G2</f>
        <v>Grupo E</v>
      </c>
      <c r="AR2" s="71"/>
      <c r="AS2" s="71"/>
      <c r="AT2" s="71"/>
      <c r="AU2" s="71"/>
      <c r="AV2" s="71"/>
      <c r="AW2" s="71"/>
      <c r="AX2" s="71"/>
      <c r="AY2" s="71"/>
      <c r="AZ2" s="71"/>
      <c r="BA2" s="71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72" t="s">
        <v>46</v>
      </c>
      <c r="H3" s="72"/>
      <c r="I3" s="72"/>
      <c r="J3" s="72"/>
      <c r="K3" s="2">
        <v>1</v>
      </c>
      <c r="L3" s="2" t="s">
        <v>70</v>
      </c>
      <c r="M3" s="2">
        <v>2</v>
      </c>
      <c r="N3" s="73" t="s">
        <v>51</v>
      </c>
      <c r="O3" s="73"/>
      <c r="P3" s="73"/>
      <c r="Q3" s="73"/>
      <c r="S3" s="72" t="s">
        <v>38</v>
      </c>
      <c r="T3" s="72"/>
      <c r="U3" s="72"/>
      <c r="V3" s="72"/>
      <c r="W3" s="2">
        <v>2</v>
      </c>
      <c r="X3" s="2" t="s">
        <v>70</v>
      </c>
      <c r="Y3" s="2">
        <v>0</v>
      </c>
      <c r="Z3" s="73" t="s">
        <v>59</v>
      </c>
      <c r="AA3" s="73"/>
      <c r="AB3" s="73"/>
      <c r="AC3" s="73"/>
      <c r="AE3" s="72" t="str">
        <f>Tabela!A3</f>
        <v>Catar</v>
      </c>
      <c r="AF3" s="72"/>
      <c r="AG3" s="72"/>
      <c r="AH3" s="72"/>
      <c r="AI3" s="2">
        <v>0</v>
      </c>
      <c r="AJ3" s="2" t="s">
        <v>70</v>
      </c>
      <c r="AK3" s="2">
        <v>2</v>
      </c>
      <c r="AL3" s="73" t="str">
        <f>Tabela!E3</f>
        <v>Equador</v>
      </c>
      <c r="AM3" s="73"/>
      <c r="AN3" s="73"/>
      <c r="AO3" s="73"/>
      <c r="AQ3" s="72" t="str">
        <f>Tabela!G3</f>
        <v>Alemanha</v>
      </c>
      <c r="AR3" s="72"/>
      <c r="AS3" s="72"/>
      <c r="AT3" s="72"/>
      <c r="AU3" s="2">
        <f>Tabela!H3</f>
        <v>1</v>
      </c>
      <c r="AV3" s="2" t="s">
        <v>70</v>
      </c>
      <c r="AW3" s="2">
        <f>Tabela!J3</f>
        <v>2</v>
      </c>
      <c r="AX3" s="73" t="str">
        <f>Tabela!K3</f>
        <v>Japão</v>
      </c>
      <c r="AY3" s="73"/>
      <c r="AZ3" s="73"/>
      <c r="BA3" s="73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72" t="s">
        <v>65</v>
      </c>
      <c r="H4" s="72"/>
      <c r="I4" s="72"/>
      <c r="J4" s="72"/>
      <c r="K4" s="2">
        <v>1</v>
      </c>
      <c r="L4" s="2" t="s">
        <v>70</v>
      </c>
      <c r="M4" s="2">
        <v>2</v>
      </c>
      <c r="N4" s="73" t="s">
        <v>56</v>
      </c>
      <c r="O4" s="73"/>
      <c r="P4" s="73"/>
      <c r="Q4" s="73"/>
      <c r="S4" s="72" t="s">
        <v>52</v>
      </c>
      <c r="T4" s="72"/>
      <c r="U4" s="72"/>
      <c r="V4" s="72"/>
      <c r="W4" s="2">
        <v>2</v>
      </c>
      <c r="X4" s="2" t="s">
        <v>70</v>
      </c>
      <c r="Y4" s="2">
        <v>1</v>
      </c>
      <c r="Z4" s="73" t="s">
        <v>48</v>
      </c>
      <c r="AA4" s="73"/>
      <c r="AB4" s="73"/>
      <c r="AC4" s="73"/>
      <c r="AE4" s="72" t="str">
        <f>Tabela!A4</f>
        <v>Senegal</v>
      </c>
      <c r="AF4" s="72"/>
      <c r="AG4" s="72"/>
      <c r="AH4" s="72"/>
      <c r="AI4" s="2">
        <f>Tabela!B4</f>
        <v>0</v>
      </c>
      <c r="AJ4" s="2" t="s">
        <v>70</v>
      </c>
      <c r="AK4" s="2">
        <f>Tabela!D4</f>
        <v>2</v>
      </c>
      <c r="AL4" s="73" t="str">
        <f>Tabela!E4</f>
        <v>Holanda</v>
      </c>
      <c r="AM4" s="73"/>
      <c r="AN4" s="73"/>
      <c r="AO4" s="73"/>
      <c r="AQ4" s="72" t="str">
        <f>Tabela!G4</f>
        <v>Espanha</v>
      </c>
      <c r="AR4" s="72"/>
      <c r="AS4" s="72"/>
      <c r="AT4" s="72"/>
      <c r="AU4" s="2">
        <f>Tabela!H4</f>
        <v>7</v>
      </c>
      <c r="AV4" s="2" t="s">
        <v>70</v>
      </c>
      <c r="AW4" s="2">
        <f>Tabela!J4</f>
        <v>0</v>
      </c>
      <c r="AX4" s="73" t="str">
        <f>Tabela!K4</f>
        <v>CostaRica</v>
      </c>
      <c r="AY4" s="73"/>
      <c r="AZ4" s="73"/>
      <c r="BA4" s="73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72" t="s">
        <v>46</v>
      </c>
      <c r="H5" s="72"/>
      <c r="I5" s="72"/>
      <c r="J5" s="72"/>
      <c r="K5" s="2">
        <v>1</v>
      </c>
      <c r="L5" s="2" t="s">
        <v>70</v>
      </c>
      <c r="M5" s="2">
        <v>2</v>
      </c>
      <c r="N5" s="73" t="s">
        <v>65</v>
      </c>
      <c r="O5" s="73"/>
      <c r="P5" s="73"/>
      <c r="Q5" s="73"/>
      <c r="S5" s="72" t="s">
        <v>59</v>
      </c>
      <c r="T5" s="72"/>
      <c r="U5" s="72"/>
      <c r="V5" s="72"/>
      <c r="W5" s="2">
        <v>1</v>
      </c>
      <c r="X5" s="2" t="s">
        <v>70</v>
      </c>
      <c r="Y5" s="2">
        <v>0</v>
      </c>
      <c r="Z5" s="73" t="s">
        <v>48</v>
      </c>
      <c r="AA5" s="73"/>
      <c r="AB5" s="73"/>
      <c r="AC5" s="73"/>
      <c r="AE5" s="72" t="str">
        <f>Tabela!A5</f>
        <v>Catar</v>
      </c>
      <c r="AF5" s="72"/>
      <c r="AG5" s="72"/>
      <c r="AH5" s="72"/>
      <c r="AI5" s="2">
        <f>Tabela!B5</f>
        <v>0</v>
      </c>
      <c r="AJ5" s="2" t="s">
        <v>70</v>
      </c>
      <c r="AK5" s="2">
        <f>Tabela!D5</f>
        <v>0</v>
      </c>
      <c r="AL5" s="73" t="str">
        <f>Tabela!E5</f>
        <v>Senegal</v>
      </c>
      <c r="AM5" s="73"/>
      <c r="AN5" s="73"/>
      <c r="AO5" s="73"/>
      <c r="AQ5" s="72" t="str">
        <f>Tabela!G5</f>
        <v>Japão</v>
      </c>
      <c r="AR5" s="72"/>
      <c r="AS5" s="72"/>
      <c r="AT5" s="72"/>
      <c r="AU5" s="2">
        <f>Tabela!H5</f>
        <v>0</v>
      </c>
      <c r="AV5" s="2" t="s">
        <v>70</v>
      </c>
      <c r="AW5" s="2">
        <f>Tabela!J5</f>
        <v>0</v>
      </c>
      <c r="AX5" s="73" t="str">
        <f>Tabela!K5</f>
        <v>CostaRica</v>
      </c>
      <c r="AY5" s="73"/>
      <c r="AZ5" s="73"/>
      <c r="BA5" s="73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74" t="s">
        <v>226</v>
      </c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74"/>
      <c r="DA5" s="74"/>
      <c r="DB5" s="74"/>
      <c r="DC5" s="74"/>
      <c r="DD5" s="74"/>
      <c r="DE5" s="74"/>
      <c r="DF5" s="74"/>
      <c r="DG5" s="74"/>
      <c r="DH5" s="74"/>
      <c r="DI5" s="74"/>
      <c r="DJ5" s="74"/>
      <c r="DK5" s="74"/>
      <c r="DL5" s="74"/>
      <c r="DM5" s="74"/>
      <c r="DN5" s="74"/>
      <c r="DO5" s="74"/>
      <c r="DP5" s="74"/>
      <c r="DQ5" s="7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72" t="s">
        <v>56</v>
      </c>
      <c r="H6" s="72"/>
      <c r="I6" s="72"/>
      <c r="J6" s="72"/>
      <c r="K6" s="2">
        <v>1</v>
      </c>
      <c r="L6" s="2" t="s">
        <v>70</v>
      </c>
      <c r="M6" s="2">
        <v>1</v>
      </c>
      <c r="N6" s="73" t="s">
        <v>51</v>
      </c>
      <c r="O6" s="73"/>
      <c r="P6" s="73"/>
      <c r="Q6" s="73"/>
      <c r="S6" s="72" t="s">
        <v>52</v>
      </c>
      <c r="T6" s="72"/>
      <c r="U6" s="72"/>
      <c r="V6" s="72"/>
      <c r="W6" s="2">
        <v>2</v>
      </c>
      <c r="X6" s="2" t="s">
        <v>70</v>
      </c>
      <c r="Y6" s="2">
        <v>3</v>
      </c>
      <c r="Z6" s="73" t="s">
        <v>38</v>
      </c>
      <c r="AA6" s="73"/>
      <c r="AB6" s="73"/>
      <c r="AC6" s="73"/>
      <c r="AE6" s="72" t="str">
        <f>Tabela!A6</f>
        <v>Holanda</v>
      </c>
      <c r="AF6" s="72"/>
      <c r="AG6" s="72"/>
      <c r="AH6" s="72"/>
      <c r="AI6" s="2">
        <f>Tabela!B6</f>
        <v>0</v>
      </c>
      <c r="AJ6" s="2" t="s">
        <v>70</v>
      </c>
      <c r="AK6" s="2">
        <f>Tabela!D6</f>
        <v>0</v>
      </c>
      <c r="AL6" s="73" t="str">
        <f>Tabela!E6</f>
        <v>Equador</v>
      </c>
      <c r="AM6" s="73"/>
      <c r="AN6" s="73"/>
      <c r="AO6" s="73"/>
      <c r="AQ6" s="72" t="str">
        <f>Tabela!G6</f>
        <v>Espanha</v>
      </c>
      <c r="AR6" s="72"/>
      <c r="AS6" s="72"/>
      <c r="AT6" s="72"/>
      <c r="AU6" s="2">
        <f>Tabela!H6</f>
        <v>0</v>
      </c>
      <c r="AV6" s="2" t="s">
        <v>70</v>
      </c>
      <c r="AW6" s="2">
        <f>Tabela!J6</f>
        <v>0</v>
      </c>
      <c r="AX6" s="73" t="str">
        <f>Tabela!K6</f>
        <v>Alemanha</v>
      </c>
      <c r="AY6" s="73"/>
      <c r="AZ6" s="73"/>
      <c r="BA6" s="73"/>
      <c r="BC6" s="2">
        <f t="shared" si="0"/>
        <v>0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  <c r="DH6" s="74"/>
      <c r="DI6" s="74"/>
      <c r="DJ6" s="74"/>
      <c r="DK6" s="74"/>
      <c r="DL6" s="74"/>
      <c r="DM6" s="74"/>
      <c r="DN6" s="74"/>
      <c r="DO6" s="74"/>
      <c r="DP6" s="74"/>
      <c r="DQ6" s="7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72" t="s">
        <v>56</v>
      </c>
      <c r="H7" s="72"/>
      <c r="I7" s="72"/>
      <c r="J7" s="72"/>
      <c r="K7" s="2">
        <v>2</v>
      </c>
      <c r="L7" s="2" t="s">
        <v>70</v>
      </c>
      <c r="M7" s="2">
        <v>0</v>
      </c>
      <c r="N7" s="73" t="s">
        <v>46</v>
      </c>
      <c r="O7" s="73"/>
      <c r="P7" s="73"/>
      <c r="Q7" s="73"/>
      <c r="S7" s="72" t="s">
        <v>59</v>
      </c>
      <c r="T7" s="72"/>
      <c r="U7" s="72"/>
      <c r="V7" s="72"/>
      <c r="W7" s="2">
        <v>2</v>
      </c>
      <c r="X7" s="2" t="s">
        <v>70</v>
      </c>
      <c r="Y7" s="2">
        <v>2</v>
      </c>
      <c r="Z7" s="73" t="s">
        <v>52</v>
      </c>
      <c r="AA7" s="73"/>
      <c r="AB7" s="73"/>
      <c r="AC7" s="73"/>
      <c r="AE7" s="72" t="str">
        <f>Tabela!A7</f>
        <v>Holanda</v>
      </c>
      <c r="AF7" s="72"/>
      <c r="AG7" s="72"/>
      <c r="AH7" s="72"/>
      <c r="AI7" s="2">
        <f>Tabela!B7</f>
        <v>0</v>
      </c>
      <c r="AJ7" s="2" t="s">
        <v>70</v>
      </c>
      <c r="AK7" s="2">
        <f>Tabela!D7</f>
        <v>0</v>
      </c>
      <c r="AL7" s="73" t="str">
        <f>Tabela!E7</f>
        <v>Catar</v>
      </c>
      <c r="AM7" s="73"/>
      <c r="AN7" s="73"/>
      <c r="AO7" s="73"/>
      <c r="AQ7" s="72" t="str">
        <f>Tabela!G7</f>
        <v>Japão</v>
      </c>
      <c r="AR7" s="72"/>
      <c r="AS7" s="72"/>
      <c r="AT7" s="72"/>
      <c r="AU7" s="2">
        <f>Tabela!H7</f>
        <v>0</v>
      </c>
      <c r="AV7" s="2" t="s">
        <v>70</v>
      </c>
      <c r="AW7" s="2">
        <f>Tabela!J7</f>
        <v>0</v>
      </c>
      <c r="AX7" s="73" t="str">
        <f>Tabela!K7</f>
        <v>Espanha</v>
      </c>
      <c r="AY7" s="73"/>
      <c r="AZ7" s="73"/>
      <c r="BA7" s="73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  <c r="CM7" s="74"/>
      <c r="CN7" s="74"/>
      <c r="CO7" s="74"/>
      <c r="CP7" s="74"/>
      <c r="CQ7" s="74"/>
      <c r="CR7" s="74"/>
      <c r="CS7" s="74"/>
      <c r="CT7" s="74"/>
      <c r="CU7" s="74"/>
      <c r="CV7" s="74"/>
      <c r="CW7" s="74"/>
      <c r="CX7" s="74"/>
      <c r="CY7" s="74"/>
      <c r="CZ7" s="74"/>
      <c r="DA7" s="74"/>
      <c r="DB7" s="74"/>
      <c r="DC7" s="74"/>
      <c r="DD7" s="74"/>
      <c r="DE7" s="74"/>
      <c r="DF7" s="74"/>
      <c r="DG7" s="74"/>
      <c r="DH7" s="74"/>
      <c r="DI7" s="74"/>
      <c r="DJ7" s="74"/>
      <c r="DK7" s="74"/>
      <c r="DL7" s="74"/>
      <c r="DM7" s="74"/>
      <c r="DN7" s="74"/>
      <c r="DO7" s="74"/>
      <c r="DP7" s="74"/>
      <c r="DQ7" s="7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72" t="s">
        <v>51</v>
      </c>
      <c r="H8" s="72"/>
      <c r="I8" s="72"/>
      <c r="J8" s="72"/>
      <c r="K8" s="2">
        <v>1</v>
      </c>
      <c r="L8" s="2" t="s">
        <v>70</v>
      </c>
      <c r="M8" s="2">
        <v>0</v>
      </c>
      <c r="N8" s="73" t="s">
        <v>65</v>
      </c>
      <c r="O8" s="73"/>
      <c r="P8" s="73"/>
      <c r="Q8" s="73"/>
      <c r="S8" s="72" t="s">
        <v>48</v>
      </c>
      <c r="T8" s="72"/>
      <c r="U8" s="72"/>
      <c r="V8" s="72"/>
      <c r="W8" s="2">
        <v>0</v>
      </c>
      <c r="X8" s="2" t="s">
        <v>70</v>
      </c>
      <c r="Y8" s="2">
        <v>4</v>
      </c>
      <c r="Z8" s="73" t="s">
        <v>38</v>
      </c>
      <c r="AA8" s="73"/>
      <c r="AB8" s="73"/>
      <c r="AC8" s="73"/>
      <c r="AE8" s="72" t="str">
        <f>Tabela!A8</f>
        <v>Equador</v>
      </c>
      <c r="AF8" s="72"/>
      <c r="AG8" s="72"/>
      <c r="AH8" s="72"/>
      <c r="AI8" s="2">
        <f>Tabela!B8</f>
        <v>0</v>
      </c>
      <c r="AJ8" s="2" t="s">
        <v>70</v>
      </c>
      <c r="AK8" s="2">
        <f>Tabela!D8</f>
        <v>0</v>
      </c>
      <c r="AL8" s="73" t="str">
        <f>Tabela!E8</f>
        <v>Senegal</v>
      </c>
      <c r="AM8" s="73"/>
      <c r="AN8" s="73"/>
      <c r="AO8" s="73"/>
      <c r="AQ8" s="72" t="str">
        <f>Tabela!G8</f>
        <v>CostaRica</v>
      </c>
      <c r="AR8" s="72"/>
      <c r="AS8" s="72"/>
      <c r="AT8" s="72"/>
      <c r="AU8" s="2">
        <f>Tabela!H8</f>
        <v>0</v>
      </c>
      <c r="AV8" s="2" t="s">
        <v>70</v>
      </c>
      <c r="AW8" s="2">
        <f>Tabela!J8</f>
        <v>0</v>
      </c>
      <c r="AX8" s="73" t="str">
        <f>Tabela!K8</f>
        <v>Alemanha</v>
      </c>
      <c r="AY8" s="73"/>
      <c r="AZ8" s="73"/>
      <c r="BA8" s="73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5"/>
      <c r="CH8" s="75"/>
      <c r="CI8" s="75"/>
      <c r="CJ8" s="75"/>
      <c r="CK8" s="75"/>
      <c r="CL8" s="75"/>
      <c r="CM8" s="75"/>
      <c r="CN8" s="75"/>
      <c r="CO8" s="74"/>
      <c r="CP8" s="74"/>
      <c r="CQ8" s="74"/>
      <c r="CR8" s="74"/>
      <c r="CS8" s="74"/>
      <c r="CT8" s="74"/>
      <c r="CU8" s="75"/>
      <c r="CV8" s="75"/>
      <c r="CW8" s="75"/>
      <c r="CX8" s="75"/>
      <c r="CY8" s="75"/>
      <c r="CZ8" s="75"/>
      <c r="DA8" s="75"/>
      <c r="DB8" s="75"/>
      <c r="DC8" s="74"/>
      <c r="DD8" s="74"/>
      <c r="DE8" s="74"/>
      <c r="DF8" s="74"/>
      <c r="DG8" s="74"/>
      <c r="DH8" s="74"/>
      <c r="DI8" s="74"/>
      <c r="DJ8" s="74"/>
      <c r="DK8" s="74"/>
      <c r="DL8" s="74"/>
      <c r="DM8" s="74"/>
      <c r="DN8" s="74"/>
      <c r="DO8" s="74"/>
      <c r="DP8" s="74"/>
      <c r="DQ8" s="7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70" t="s">
        <v>5</v>
      </c>
      <c r="H9" s="70"/>
      <c r="I9" s="70"/>
      <c r="J9" s="70"/>
      <c r="K9" s="70"/>
      <c r="L9" s="70"/>
      <c r="M9" s="70"/>
      <c r="N9" s="70"/>
      <c r="O9" s="70"/>
      <c r="P9" s="70"/>
      <c r="Q9" s="70"/>
      <c r="S9" s="70" t="s">
        <v>74</v>
      </c>
      <c r="T9" s="70"/>
      <c r="U9" s="70"/>
      <c r="V9" s="70"/>
      <c r="W9" s="70"/>
      <c r="X9" s="70"/>
      <c r="Y9" s="70"/>
      <c r="Z9" s="70"/>
      <c r="AA9" s="70"/>
      <c r="AB9" s="70"/>
      <c r="AC9" s="70"/>
      <c r="AE9" s="71" t="str">
        <f>Tabela!A9</f>
        <v>Grupo B</v>
      </c>
      <c r="AF9" s="71"/>
      <c r="AG9" s="71"/>
      <c r="AH9" s="71"/>
      <c r="AI9" s="71"/>
      <c r="AJ9" s="71"/>
      <c r="AK9" s="71"/>
      <c r="AL9" s="71"/>
      <c r="AM9" s="71"/>
      <c r="AN9" s="71"/>
      <c r="AO9" s="71"/>
      <c r="AQ9" s="71" t="str">
        <f>Tabela!G9</f>
        <v>Grupo F</v>
      </c>
      <c r="AR9" s="71"/>
      <c r="AS9" s="71"/>
      <c r="AT9" s="71"/>
      <c r="AU9" s="71"/>
      <c r="AV9" s="71"/>
      <c r="AW9" s="71"/>
      <c r="AX9" s="71"/>
      <c r="AY9" s="71"/>
      <c r="AZ9" s="71"/>
      <c r="BA9" s="71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76" t="s">
        <v>228</v>
      </c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7"/>
      <c r="CG9" s="78">
        <v>0</v>
      </c>
      <c r="CH9" s="79"/>
      <c r="CI9" s="79"/>
      <c r="CJ9" s="79"/>
      <c r="CK9" s="79"/>
      <c r="CL9" s="79"/>
      <c r="CM9" s="79"/>
      <c r="CN9" s="80"/>
      <c r="CO9" s="87" t="s">
        <v>230</v>
      </c>
      <c r="CP9" s="88"/>
      <c r="CQ9" s="88"/>
      <c r="CR9" s="88"/>
      <c r="CS9" s="88"/>
      <c r="CT9" s="89"/>
      <c r="CU9" s="78">
        <v>0</v>
      </c>
      <c r="CV9" s="79"/>
      <c r="CW9" s="79"/>
      <c r="CX9" s="79"/>
      <c r="CY9" s="79"/>
      <c r="CZ9" s="79"/>
      <c r="DA9" s="79"/>
      <c r="DB9" s="80"/>
      <c r="DC9" s="90" t="s">
        <v>229</v>
      </c>
      <c r="DD9" s="91"/>
      <c r="DE9" s="91"/>
      <c r="DF9" s="91"/>
      <c r="DG9" s="91"/>
      <c r="DH9" s="91"/>
      <c r="DI9" s="91"/>
      <c r="DJ9" s="91"/>
      <c r="DK9" s="91"/>
      <c r="DL9" s="91"/>
      <c r="DM9" s="91"/>
      <c r="DN9" s="91"/>
      <c r="DO9" s="91"/>
      <c r="DP9" s="91"/>
      <c r="DQ9" s="91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72" t="s">
        <v>57</v>
      </c>
      <c r="H10" s="72"/>
      <c r="I10" s="72"/>
      <c r="J10" s="72"/>
      <c r="K10" s="2">
        <v>2</v>
      </c>
      <c r="L10" s="2" t="s">
        <v>70</v>
      </c>
      <c r="M10" s="2">
        <v>0</v>
      </c>
      <c r="N10" s="73" t="s">
        <v>58</v>
      </c>
      <c r="O10" s="73"/>
      <c r="P10" s="73"/>
      <c r="Q10" s="73"/>
      <c r="S10" s="72" t="s">
        <v>60</v>
      </c>
      <c r="T10" s="72"/>
      <c r="U10" s="72"/>
      <c r="V10" s="72"/>
      <c r="W10" s="2">
        <v>1</v>
      </c>
      <c r="X10" s="2" t="s">
        <v>70</v>
      </c>
      <c r="Y10" s="2">
        <v>3</v>
      </c>
      <c r="Z10" s="73" t="s">
        <v>49</v>
      </c>
      <c r="AA10" s="73"/>
      <c r="AB10" s="73"/>
      <c r="AC10" s="73"/>
      <c r="AE10" s="72" t="str">
        <f>Tabela!A10</f>
        <v>Inglaterra</v>
      </c>
      <c r="AF10" s="72"/>
      <c r="AG10" s="72"/>
      <c r="AH10" s="72"/>
      <c r="AI10" s="2">
        <f>Tabela!B10</f>
        <v>6</v>
      </c>
      <c r="AJ10" s="2" t="s">
        <v>70</v>
      </c>
      <c r="AK10" s="2">
        <f>Tabela!D10</f>
        <v>2</v>
      </c>
      <c r="AL10" s="73" t="str">
        <f>Tabela!E10</f>
        <v>Irã</v>
      </c>
      <c r="AM10" s="73"/>
      <c r="AN10" s="73"/>
      <c r="AO10" s="73"/>
      <c r="AQ10" s="72" t="str">
        <f>Tabela!G10</f>
        <v>Marrocos</v>
      </c>
      <c r="AR10" s="72"/>
      <c r="AS10" s="72"/>
      <c r="AT10" s="72"/>
      <c r="AU10" s="2">
        <f>Tabela!H10</f>
        <v>0</v>
      </c>
      <c r="AV10" s="2" t="s">
        <v>70</v>
      </c>
      <c r="AW10" s="2">
        <f>Tabela!J10</f>
        <v>0</v>
      </c>
      <c r="AX10" s="73" t="str">
        <f>Tabela!K10</f>
        <v>Croácia</v>
      </c>
      <c r="AY10" s="73"/>
      <c r="AZ10" s="73"/>
      <c r="BA10" s="73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  <c r="CE10" s="76"/>
      <c r="CF10" s="77"/>
      <c r="CG10" s="81"/>
      <c r="CH10" s="82"/>
      <c r="CI10" s="82"/>
      <c r="CJ10" s="82"/>
      <c r="CK10" s="82"/>
      <c r="CL10" s="82"/>
      <c r="CM10" s="82"/>
      <c r="CN10" s="83"/>
      <c r="CO10" s="87"/>
      <c r="CP10" s="88"/>
      <c r="CQ10" s="88"/>
      <c r="CR10" s="88"/>
      <c r="CS10" s="88"/>
      <c r="CT10" s="89"/>
      <c r="CU10" s="81"/>
      <c r="CV10" s="82"/>
      <c r="CW10" s="82"/>
      <c r="CX10" s="82"/>
      <c r="CY10" s="82"/>
      <c r="CZ10" s="82"/>
      <c r="DA10" s="82"/>
      <c r="DB10" s="83"/>
      <c r="DC10" s="90"/>
      <c r="DD10" s="91"/>
      <c r="DE10" s="91"/>
      <c r="DF10" s="91"/>
      <c r="DG10" s="91"/>
      <c r="DH10" s="91"/>
      <c r="DI10" s="91"/>
      <c r="DJ10" s="91"/>
      <c r="DK10" s="91"/>
      <c r="DL10" s="91"/>
      <c r="DM10" s="91"/>
      <c r="DN10" s="91"/>
      <c r="DO10" s="91"/>
      <c r="DP10" s="91"/>
      <c r="DQ10" s="91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72" t="s">
        <v>53</v>
      </c>
      <c r="H11" s="72"/>
      <c r="I11" s="72"/>
      <c r="J11" s="72"/>
      <c r="K11" s="2">
        <v>1</v>
      </c>
      <c r="L11" s="2" t="s">
        <v>70</v>
      </c>
      <c r="M11" s="2">
        <v>0</v>
      </c>
      <c r="N11" s="73" t="s">
        <v>71</v>
      </c>
      <c r="O11" s="73"/>
      <c r="P11" s="73"/>
      <c r="Q11" s="73"/>
      <c r="S11" s="72" t="s">
        <v>42</v>
      </c>
      <c r="T11" s="72"/>
      <c r="U11" s="72"/>
      <c r="V11" s="72"/>
      <c r="W11" s="2">
        <v>2</v>
      </c>
      <c r="X11" s="2" t="s">
        <v>70</v>
      </c>
      <c r="Y11" s="2">
        <v>1</v>
      </c>
      <c r="Z11" s="73" t="s">
        <v>45</v>
      </c>
      <c r="AA11" s="73"/>
      <c r="AB11" s="73"/>
      <c r="AC11" s="73"/>
      <c r="AE11" s="72" t="str">
        <f>Tabela!A11</f>
        <v>Estados Unidos</v>
      </c>
      <c r="AF11" s="72"/>
      <c r="AG11" s="72"/>
      <c r="AH11" s="72"/>
      <c r="AI11" s="2">
        <f>Tabela!B11</f>
        <v>1</v>
      </c>
      <c r="AJ11" s="2" t="s">
        <v>70</v>
      </c>
      <c r="AK11" s="2">
        <f>Tabela!D11</f>
        <v>1</v>
      </c>
      <c r="AL11" s="73" t="str">
        <f>Tabela!E11</f>
        <v>Gales</v>
      </c>
      <c r="AM11" s="73"/>
      <c r="AN11" s="73"/>
      <c r="AO11" s="73"/>
      <c r="AQ11" s="72" t="str">
        <f>Tabela!G11</f>
        <v>Bélgica</v>
      </c>
      <c r="AR11" s="72"/>
      <c r="AS11" s="72"/>
      <c r="AT11" s="72"/>
      <c r="AU11" s="2">
        <f>Tabela!H11</f>
        <v>1</v>
      </c>
      <c r="AV11" s="2" t="s">
        <v>70</v>
      </c>
      <c r="AW11" s="2">
        <f>Tabela!J11</f>
        <v>0</v>
      </c>
      <c r="AX11" s="73" t="str">
        <f>Tabela!K11</f>
        <v>Canadá</v>
      </c>
      <c r="AY11" s="73"/>
      <c r="AZ11" s="73"/>
      <c r="BA11" s="73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7"/>
      <c r="CG11" s="81"/>
      <c r="CH11" s="82"/>
      <c r="CI11" s="82"/>
      <c r="CJ11" s="82"/>
      <c r="CK11" s="82"/>
      <c r="CL11" s="82"/>
      <c r="CM11" s="82"/>
      <c r="CN11" s="83"/>
      <c r="CO11" s="87"/>
      <c r="CP11" s="88"/>
      <c r="CQ11" s="88"/>
      <c r="CR11" s="88"/>
      <c r="CS11" s="88"/>
      <c r="CT11" s="89"/>
      <c r="CU11" s="81"/>
      <c r="CV11" s="82"/>
      <c r="CW11" s="82"/>
      <c r="CX11" s="82"/>
      <c r="CY11" s="82"/>
      <c r="CZ11" s="82"/>
      <c r="DA11" s="82"/>
      <c r="DB11" s="83"/>
      <c r="DC11" s="90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72" t="s">
        <v>71</v>
      </c>
      <c r="H12" s="72"/>
      <c r="I12" s="72"/>
      <c r="J12" s="72"/>
      <c r="K12" s="2">
        <v>1</v>
      </c>
      <c r="L12" s="2" t="s">
        <v>70</v>
      </c>
      <c r="M12" s="2">
        <v>1</v>
      </c>
      <c r="N12" s="73" t="s">
        <v>58</v>
      </c>
      <c r="O12" s="73"/>
      <c r="P12" s="73"/>
      <c r="Q12" s="73"/>
      <c r="S12" s="72" t="s">
        <v>42</v>
      </c>
      <c r="T12" s="72"/>
      <c r="U12" s="72"/>
      <c r="V12" s="72"/>
      <c r="W12" s="2">
        <v>2</v>
      </c>
      <c r="X12" s="2" t="s">
        <v>70</v>
      </c>
      <c r="Y12" s="2">
        <v>0</v>
      </c>
      <c r="Z12" s="73" t="s">
        <v>60</v>
      </c>
      <c r="AA12" s="73"/>
      <c r="AB12" s="73"/>
      <c r="AC12" s="73"/>
      <c r="AE12" s="72" t="str">
        <f>Tabela!A12</f>
        <v>Gales</v>
      </c>
      <c r="AF12" s="72"/>
      <c r="AG12" s="72"/>
      <c r="AH12" s="72"/>
      <c r="AI12" s="2">
        <f>Tabela!B12</f>
        <v>0</v>
      </c>
      <c r="AJ12" s="2" t="s">
        <v>70</v>
      </c>
      <c r="AK12" s="2">
        <f>Tabela!D12</f>
        <v>0</v>
      </c>
      <c r="AL12" s="73" t="str">
        <f>Tabela!E12</f>
        <v>Irã</v>
      </c>
      <c r="AM12" s="73"/>
      <c r="AN12" s="73"/>
      <c r="AO12" s="73"/>
      <c r="AQ12" s="72" t="str">
        <f>Tabela!G12</f>
        <v>Bélgica</v>
      </c>
      <c r="AR12" s="72"/>
      <c r="AS12" s="72"/>
      <c r="AT12" s="72"/>
      <c r="AU12" s="2">
        <f>Tabela!H12</f>
        <v>0</v>
      </c>
      <c r="AV12" s="2" t="s">
        <v>70</v>
      </c>
      <c r="AW12" s="2">
        <f>Tabela!J12</f>
        <v>0</v>
      </c>
      <c r="AX12" s="73" t="str">
        <f>Tabela!K12</f>
        <v>Marrocos</v>
      </c>
      <c r="AY12" s="73"/>
      <c r="AZ12" s="73"/>
      <c r="BA12" s="73"/>
      <c r="BC12" s="2">
        <f t="shared" si="1"/>
        <v>0</v>
      </c>
      <c r="BD12" s="33"/>
      <c r="BE12" s="92" t="s">
        <v>223</v>
      </c>
      <c r="BF12" s="93"/>
      <c r="BG12" s="93"/>
      <c r="BH12" s="93"/>
      <c r="BI12" s="93"/>
      <c r="BJ12" s="93"/>
      <c r="BK12" s="93"/>
      <c r="BL12" s="93"/>
      <c r="BM12" s="93"/>
      <c r="BN12" s="93"/>
      <c r="BO12" s="94"/>
      <c r="BP12" s="34"/>
      <c r="BQ12" s="34"/>
      <c r="BR12" s="76"/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  <c r="CE12" s="76"/>
      <c r="CF12" s="77"/>
      <c r="CG12" s="81"/>
      <c r="CH12" s="82"/>
      <c r="CI12" s="82"/>
      <c r="CJ12" s="82"/>
      <c r="CK12" s="82"/>
      <c r="CL12" s="82"/>
      <c r="CM12" s="82"/>
      <c r="CN12" s="83"/>
      <c r="CO12" s="87"/>
      <c r="CP12" s="88"/>
      <c r="CQ12" s="88"/>
      <c r="CR12" s="88"/>
      <c r="CS12" s="88"/>
      <c r="CT12" s="89"/>
      <c r="CU12" s="81"/>
      <c r="CV12" s="82"/>
      <c r="CW12" s="82"/>
      <c r="CX12" s="82"/>
      <c r="CY12" s="82"/>
      <c r="CZ12" s="82"/>
      <c r="DA12" s="82"/>
      <c r="DB12" s="83"/>
      <c r="DC12" s="90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72" t="s">
        <v>57</v>
      </c>
      <c r="H13" s="72"/>
      <c r="I13" s="72"/>
      <c r="J13" s="72"/>
      <c r="K13" s="2">
        <v>2</v>
      </c>
      <c r="L13" s="2" t="s">
        <v>70</v>
      </c>
      <c r="M13" s="2">
        <v>1</v>
      </c>
      <c r="N13" s="73" t="s">
        <v>53</v>
      </c>
      <c r="O13" s="73"/>
      <c r="P13" s="73"/>
      <c r="Q13" s="73"/>
      <c r="S13" s="72" t="s">
        <v>49</v>
      </c>
      <c r="T13" s="72"/>
      <c r="U13" s="72"/>
      <c r="V13" s="72"/>
      <c r="W13" s="2">
        <v>2</v>
      </c>
      <c r="X13" s="2" t="s">
        <v>70</v>
      </c>
      <c r="Y13" s="2">
        <v>1</v>
      </c>
      <c r="Z13" s="73" t="s">
        <v>45</v>
      </c>
      <c r="AA13" s="73"/>
      <c r="AB13" s="73"/>
      <c r="AC13" s="73"/>
      <c r="AE13" s="72" t="str">
        <f>Tabela!A13</f>
        <v>Inglaterra</v>
      </c>
      <c r="AF13" s="72"/>
      <c r="AG13" s="72"/>
      <c r="AH13" s="72"/>
      <c r="AI13" s="2">
        <f>Tabela!B13</f>
        <v>0</v>
      </c>
      <c r="AJ13" s="2" t="s">
        <v>70</v>
      </c>
      <c r="AK13" s="2">
        <f>Tabela!D13</f>
        <v>0</v>
      </c>
      <c r="AL13" s="73" t="str">
        <f>Tabela!E13</f>
        <v>Estados Unidos</v>
      </c>
      <c r="AM13" s="73"/>
      <c r="AN13" s="73"/>
      <c r="AO13" s="73"/>
      <c r="AQ13" s="72" t="str">
        <f>Tabela!G13</f>
        <v>Croácia</v>
      </c>
      <c r="AR13" s="72"/>
      <c r="AS13" s="72"/>
      <c r="AT13" s="72"/>
      <c r="AU13" s="2">
        <f>Tabela!H13</f>
        <v>0</v>
      </c>
      <c r="AV13" s="2" t="s">
        <v>70</v>
      </c>
      <c r="AW13" s="2">
        <f>Tabela!J13</f>
        <v>0</v>
      </c>
      <c r="AX13" s="73" t="str">
        <f>Tabela!K13</f>
        <v>Canadá</v>
      </c>
      <c r="AY13" s="73"/>
      <c r="AZ13" s="73"/>
      <c r="BA13" s="73"/>
      <c r="BC13" s="2">
        <f t="shared" si="1"/>
        <v>0</v>
      </c>
      <c r="BD13" s="33"/>
      <c r="BE13" s="92"/>
      <c r="BF13" s="93"/>
      <c r="BG13" s="93"/>
      <c r="BH13" s="93"/>
      <c r="BI13" s="93"/>
      <c r="BJ13" s="93"/>
      <c r="BK13" s="93"/>
      <c r="BL13" s="93"/>
      <c r="BM13" s="93"/>
      <c r="BN13" s="93"/>
      <c r="BO13" s="94"/>
      <c r="BP13" s="34"/>
      <c r="BQ13" s="34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7"/>
      <c r="CG13" s="81"/>
      <c r="CH13" s="82"/>
      <c r="CI13" s="82"/>
      <c r="CJ13" s="82"/>
      <c r="CK13" s="82"/>
      <c r="CL13" s="82"/>
      <c r="CM13" s="82"/>
      <c r="CN13" s="83"/>
      <c r="CO13" s="87"/>
      <c r="CP13" s="88"/>
      <c r="CQ13" s="88"/>
      <c r="CR13" s="88"/>
      <c r="CS13" s="88"/>
      <c r="CT13" s="89"/>
      <c r="CU13" s="81"/>
      <c r="CV13" s="82"/>
      <c r="CW13" s="82"/>
      <c r="CX13" s="82"/>
      <c r="CY13" s="82"/>
      <c r="CZ13" s="82"/>
      <c r="DA13" s="82"/>
      <c r="DB13" s="83"/>
      <c r="DC13" s="90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72" t="s">
        <v>58</v>
      </c>
      <c r="H14" s="72"/>
      <c r="I14" s="72"/>
      <c r="J14" s="72"/>
      <c r="K14" s="2">
        <v>1</v>
      </c>
      <c r="L14" s="2" t="s">
        <v>70</v>
      </c>
      <c r="M14" s="2">
        <v>1</v>
      </c>
      <c r="N14" s="73" t="s">
        <v>53</v>
      </c>
      <c r="O14" s="73"/>
      <c r="P14" s="73"/>
      <c r="Q14" s="73"/>
      <c r="S14" s="72" t="s">
        <v>49</v>
      </c>
      <c r="T14" s="72"/>
      <c r="U14" s="72"/>
      <c r="V14" s="72"/>
      <c r="W14" s="2">
        <v>1</v>
      </c>
      <c r="X14" s="2" t="s">
        <v>70</v>
      </c>
      <c r="Y14" s="2">
        <v>1</v>
      </c>
      <c r="Z14" s="73" t="s">
        <v>42</v>
      </c>
      <c r="AA14" s="73"/>
      <c r="AB14" s="73"/>
      <c r="AC14" s="73"/>
      <c r="AE14" s="72" t="str">
        <f>Tabela!A14</f>
        <v>Irã</v>
      </c>
      <c r="AF14" s="72"/>
      <c r="AG14" s="72"/>
      <c r="AH14" s="72"/>
      <c r="AI14" s="2">
        <f>Tabela!B14</f>
        <v>0</v>
      </c>
      <c r="AJ14" s="2" t="s">
        <v>70</v>
      </c>
      <c r="AK14" s="2">
        <f>Tabela!D14</f>
        <v>0</v>
      </c>
      <c r="AL14" s="73" t="str">
        <f>Tabela!E14</f>
        <v>Estados Unidos</v>
      </c>
      <c r="AM14" s="73"/>
      <c r="AN14" s="73"/>
      <c r="AO14" s="73"/>
      <c r="AQ14" s="72" t="str">
        <f>Tabela!G14</f>
        <v>Croácia</v>
      </c>
      <c r="AR14" s="72"/>
      <c r="AS14" s="72"/>
      <c r="AT14" s="72"/>
      <c r="AU14" s="2">
        <f>Tabela!H14</f>
        <v>0</v>
      </c>
      <c r="AV14" s="2" t="s">
        <v>70</v>
      </c>
      <c r="AW14" s="2">
        <f>Tabela!J14</f>
        <v>0</v>
      </c>
      <c r="AX14" s="73" t="str">
        <f>Tabela!K14</f>
        <v>Bélgica</v>
      </c>
      <c r="AY14" s="73"/>
      <c r="AZ14" s="73"/>
      <c r="BA14" s="73"/>
      <c r="BC14" s="2">
        <f t="shared" si="1"/>
        <v>0</v>
      </c>
      <c r="BD14" s="33"/>
      <c r="BE14" s="95">
        <v>10</v>
      </c>
      <c r="BF14" s="96"/>
      <c r="BG14" s="96"/>
      <c r="BH14" s="96"/>
      <c r="BI14" s="96"/>
      <c r="BJ14" s="96"/>
      <c r="BK14" s="96"/>
      <c r="BL14" s="96"/>
      <c r="BM14" s="96"/>
      <c r="BN14" s="96"/>
      <c r="BO14" s="97"/>
      <c r="BP14" s="34"/>
      <c r="BQ14" s="34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  <c r="CF14" s="77"/>
      <c r="CG14" s="84"/>
      <c r="CH14" s="85"/>
      <c r="CI14" s="85"/>
      <c r="CJ14" s="85"/>
      <c r="CK14" s="85"/>
      <c r="CL14" s="85"/>
      <c r="CM14" s="85"/>
      <c r="CN14" s="86"/>
      <c r="CO14" s="87"/>
      <c r="CP14" s="88"/>
      <c r="CQ14" s="88"/>
      <c r="CR14" s="88"/>
      <c r="CS14" s="88"/>
      <c r="CT14" s="89"/>
      <c r="CU14" s="84"/>
      <c r="CV14" s="85"/>
      <c r="CW14" s="85"/>
      <c r="CX14" s="85"/>
      <c r="CY14" s="85"/>
      <c r="CZ14" s="85"/>
      <c r="DA14" s="85"/>
      <c r="DB14" s="86"/>
      <c r="DC14" s="90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72" t="s">
        <v>71</v>
      </c>
      <c r="H15" s="72"/>
      <c r="I15" s="72"/>
      <c r="J15" s="72"/>
      <c r="K15" s="2">
        <v>0</v>
      </c>
      <c r="L15" s="2" t="s">
        <v>70</v>
      </c>
      <c r="M15" s="2">
        <v>3</v>
      </c>
      <c r="N15" s="73" t="s">
        <v>57</v>
      </c>
      <c r="O15" s="73"/>
      <c r="P15" s="73"/>
      <c r="Q15" s="73"/>
      <c r="S15" s="72" t="s">
        <v>45</v>
      </c>
      <c r="T15" s="72"/>
      <c r="U15" s="72"/>
      <c r="V15" s="72"/>
      <c r="W15" s="2">
        <v>1</v>
      </c>
      <c r="X15" s="2" t="s">
        <v>70</v>
      </c>
      <c r="Y15" s="2">
        <v>0</v>
      </c>
      <c r="Z15" s="73" t="s">
        <v>60</v>
      </c>
      <c r="AA15" s="73"/>
      <c r="AB15" s="73"/>
      <c r="AC15" s="73"/>
      <c r="AE15" s="72" t="str">
        <f>Tabela!A15</f>
        <v>Gales</v>
      </c>
      <c r="AF15" s="72"/>
      <c r="AG15" s="72"/>
      <c r="AH15" s="72"/>
      <c r="AI15" s="2">
        <f>Tabela!B15</f>
        <v>0</v>
      </c>
      <c r="AJ15" s="2" t="s">
        <v>70</v>
      </c>
      <c r="AK15" s="2">
        <f>Tabela!D15</f>
        <v>0</v>
      </c>
      <c r="AL15" s="73" t="str">
        <f>Tabela!E15</f>
        <v>Inglaterra</v>
      </c>
      <c r="AM15" s="73"/>
      <c r="AN15" s="73"/>
      <c r="AO15" s="73"/>
      <c r="AQ15" s="72" t="str">
        <f>Tabela!G15</f>
        <v>Canadá</v>
      </c>
      <c r="AR15" s="72"/>
      <c r="AS15" s="72"/>
      <c r="AT15" s="72"/>
      <c r="AU15" s="2">
        <f>Tabela!H15</f>
        <v>0</v>
      </c>
      <c r="AV15" s="2" t="s">
        <v>70</v>
      </c>
      <c r="AW15" s="2">
        <f>Tabela!J15</f>
        <v>0</v>
      </c>
      <c r="AX15" s="73" t="str">
        <f>Tabela!K15</f>
        <v>Marrocos</v>
      </c>
      <c r="AY15" s="73"/>
      <c r="AZ15" s="73"/>
      <c r="BA15" s="73"/>
      <c r="BC15" s="2">
        <f t="shared" si="1"/>
        <v>0</v>
      </c>
      <c r="BD15" s="33"/>
      <c r="BE15" s="95"/>
      <c r="BF15" s="96"/>
      <c r="BG15" s="96"/>
      <c r="BH15" s="96"/>
      <c r="BI15" s="96"/>
      <c r="BJ15" s="96"/>
      <c r="BK15" s="96"/>
      <c r="BL15" s="96"/>
      <c r="BM15" s="96"/>
      <c r="BN15" s="96"/>
      <c r="BO15" s="97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70" t="s">
        <v>9</v>
      </c>
      <c r="H16" s="70"/>
      <c r="I16" s="70"/>
      <c r="J16" s="70"/>
      <c r="K16" s="70"/>
      <c r="L16" s="70"/>
      <c r="M16" s="70"/>
      <c r="N16" s="70"/>
      <c r="O16" s="70"/>
      <c r="P16" s="70"/>
      <c r="Q16" s="70"/>
      <c r="S16" s="70" t="s">
        <v>75</v>
      </c>
      <c r="T16" s="70"/>
      <c r="U16" s="70"/>
      <c r="V16" s="70"/>
      <c r="W16" s="70"/>
      <c r="X16" s="70"/>
      <c r="Y16" s="70"/>
      <c r="Z16" s="70"/>
      <c r="AA16" s="70"/>
      <c r="AB16" s="70"/>
      <c r="AC16" s="70"/>
      <c r="AE16" s="71" t="str">
        <f>Tabela!A16</f>
        <v>Grupo C</v>
      </c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Q16" s="71" t="str">
        <f>Tabela!G16</f>
        <v>Grupo G</v>
      </c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D16" s="33"/>
      <c r="BE16" s="95"/>
      <c r="BF16" s="96"/>
      <c r="BG16" s="96"/>
      <c r="BH16" s="96"/>
      <c r="BI16" s="96"/>
      <c r="BJ16" s="96"/>
      <c r="BK16" s="96"/>
      <c r="BL16" s="96"/>
      <c r="BM16" s="96"/>
      <c r="BN16" s="96"/>
      <c r="BO16" s="97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72" t="s">
        <v>40</v>
      </c>
      <c r="H17" s="72"/>
      <c r="I17" s="72"/>
      <c r="J17" s="72"/>
      <c r="K17" s="2">
        <v>3</v>
      </c>
      <c r="L17" s="2" t="s">
        <v>70</v>
      </c>
      <c r="M17" s="2">
        <v>0</v>
      </c>
      <c r="N17" s="73" t="s">
        <v>39</v>
      </c>
      <c r="O17" s="73"/>
      <c r="P17" s="73"/>
      <c r="Q17" s="73"/>
      <c r="S17" s="72" t="s">
        <v>67</v>
      </c>
      <c r="T17" s="72"/>
      <c r="U17" s="72"/>
      <c r="V17" s="72"/>
      <c r="W17" s="2">
        <v>2</v>
      </c>
      <c r="X17" s="2" t="s">
        <v>70</v>
      </c>
      <c r="Y17" s="2">
        <v>1</v>
      </c>
      <c r="Z17" s="73" t="s">
        <v>44</v>
      </c>
      <c r="AA17" s="73"/>
      <c r="AB17" s="73"/>
      <c r="AC17" s="73"/>
      <c r="AE17" s="72" t="str">
        <f>Tabela!A17</f>
        <v>Argentina</v>
      </c>
      <c r="AF17" s="72"/>
      <c r="AG17" s="72"/>
      <c r="AH17" s="72"/>
      <c r="AI17" s="2">
        <f>Tabela!B17</f>
        <v>1</v>
      </c>
      <c r="AJ17" s="2" t="s">
        <v>70</v>
      </c>
      <c r="AK17" s="2">
        <f>Tabela!D17</f>
        <v>2</v>
      </c>
      <c r="AL17" s="73" t="str">
        <f>Tabela!E17</f>
        <v>ArábiaSaudita</v>
      </c>
      <c r="AM17" s="73"/>
      <c r="AN17" s="73"/>
      <c r="AO17" s="73"/>
      <c r="AQ17" s="72" t="str">
        <f>Tabela!G17</f>
        <v>Suíça</v>
      </c>
      <c r="AR17" s="72"/>
      <c r="AS17" s="72"/>
      <c r="AT17" s="72"/>
      <c r="AU17" s="2">
        <f>Tabela!H17</f>
        <v>1</v>
      </c>
      <c r="AV17" s="2" t="s">
        <v>70</v>
      </c>
      <c r="AW17" s="2">
        <f>Tabela!J17</f>
        <v>0</v>
      </c>
      <c r="AX17" s="73" t="str">
        <f>Tabela!K17</f>
        <v>Camarões</v>
      </c>
      <c r="AY17" s="73"/>
      <c r="AZ17" s="73"/>
      <c r="BA17" s="73"/>
      <c r="BC17" s="2">
        <f t="shared" si="1"/>
        <v>0</v>
      </c>
      <c r="BD17" s="33"/>
      <c r="BE17" s="95"/>
      <c r="BF17" s="96"/>
      <c r="BG17" s="96"/>
      <c r="BH17" s="96"/>
      <c r="BI17" s="96"/>
      <c r="BJ17" s="96"/>
      <c r="BK17" s="96"/>
      <c r="BL17" s="96"/>
      <c r="BM17" s="96"/>
      <c r="BN17" s="96"/>
      <c r="BO17" s="97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72" t="s">
        <v>61</v>
      </c>
      <c r="H18" s="72"/>
      <c r="I18" s="72"/>
      <c r="J18" s="72"/>
      <c r="K18" s="2">
        <v>1</v>
      </c>
      <c r="L18" s="2" t="s">
        <v>70</v>
      </c>
      <c r="M18" s="2">
        <v>1</v>
      </c>
      <c r="N18" s="73" t="s">
        <v>63</v>
      </c>
      <c r="O18" s="73"/>
      <c r="P18" s="73"/>
      <c r="Q18" s="73"/>
      <c r="S18" s="72" t="s">
        <v>43</v>
      </c>
      <c r="T18" s="72"/>
      <c r="U18" s="72"/>
      <c r="V18" s="72"/>
      <c r="W18" s="2">
        <v>2</v>
      </c>
      <c r="X18" s="2" t="s">
        <v>70</v>
      </c>
      <c r="Y18" s="2">
        <v>0</v>
      </c>
      <c r="Z18" s="73" t="s">
        <v>66</v>
      </c>
      <c r="AA18" s="73"/>
      <c r="AB18" s="73"/>
      <c r="AC18" s="73"/>
      <c r="AE18" s="72" t="str">
        <f>Tabela!A18</f>
        <v>México</v>
      </c>
      <c r="AF18" s="72"/>
      <c r="AG18" s="72"/>
      <c r="AH18" s="72"/>
      <c r="AI18" s="2">
        <f>Tabela!B18</f>
        <v>0</v>
      </c>
      <c r="AJ18" s="2" t="s">
        <v>70</v>
      </c>
      <c r="AK18" s="2">
        <f>Tabela!D18</f>
        <v>0</v>
      </c>
      <c r="AL18" s="73" t="str">
        <f>Tabela!E18</f>
        <v>Polônia</v>
      </c>
      <c r="AM18" s="73"/>
      <c r="AN18" s="73"/>
      <c r="AO18" s="73"/>
      <c r="AQ18" s="72" t="str">
        <f>Tabela!G18</f>
        <v>Brasil</v>
      </c>
      <c r="AR18" s="72"/>
      <c r="AS18" s="72"/>
      <c r="AT18" s="72"/>
      <c r="AU18" s="2">
        <f>Tabela!H18</f>
        <v>0</v>
      </c>
      <c r="AV18" s="2" t="s">
        <v>70</v>
      </c>
      <c r="AW18" s="2">
        <f>Tabela!J18</f>
        <v>0</v>
      </c>
      <c r="AX18" s="73" t="str">
        <f>Tabela!K18</f>
        <v>Sérvia</v>
      </c>
      <c r="AY18" s="73"/>
      <c r="AZ18" s="73"/>
      <c r="BA18" s="73"/>
      <c r="BC18" s="2">
        <f t="shared" si="1"/>
        <v>0</v>
      </c>
      <c r="BD18" s="33"/>
      <c r="BE18" s="95"/>
      <c r="BF18" s="96"/>
      <c r="BG18" s="96"/>
      <c r="BH18" s="96"/>
      <c r="BI18" s="96"/>
      <c r="BJ18" s="96"/>
      <c r="BK18" s="96"/>
      <c r="BL18" s="96"/>
      <c r="BM18" s="96"/>
      <c r="BN18" s="96"/>
      <c r="BO18" s="97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72" t="s">
        <v>63</v>
      </c>
      <c r="H19" s="72"/>
      <c r="I19" s="72"/>
      <c r="J19" s="72"/>
      <c r="K19" s="2">
        <v>2</v>
      </c>
      <c r="L19" s="2" t="s">
        <v>70</v>
      </c>
      <c r="M19" s="2">
        <v>0</v>
      </c>
      <c r="N19" s="73" t="s">
        <v>39</v>
      </c>
      <c r="O19" s="73"/>
      <c r="P19" s="73"/>
      <c r="Q19" s="73"/>
      <c r="S19" s="72" t="s">
        <v>44</v>
      </c>
      <c r="T19" s="72"/>
      <c r="U19" s="72"/>
      <c r="V19" s="72"/>
      <c r="W19" s="2">
        <v>1</v>
      </c>
      <c r="X19" s="2" t="s">
        <v>70</v>
      </c>
      <c r="Y19" s="2">
        <v>1</v>
      </c>
      <c r="Z19" s="73" t="s">
        <v>66</v>
      </c>
      <c r="AA19" s="73"/>
      <c r="AB19" s="73"/>
      <c r="AC19" s="73"/>
      <c r="AE19" s="72" t="str">
        <f>Tabela!A19</f>
        <v>Polônia</v>
      </c>
      <c r="AF19" s="72"/>
      <c r="AG19" s="72"/>
      <c r="AH19" s="72"/>
      <c r="AI19" s="2">
        <f>Tabela!B19</f>
        <v>0</v>
      </c>
      <c r="AJ19" s="2" t="s">
        <v>70</v>
      </c>
      <c r="AK19" s="2">
        <f>Tabela!D19</f>
        <v>0</v>
      </c>
      <c r="AL19" s="73" t="str">
        <f>Tabela!E19</f>
        <v>ArábiaSaudita</v>
      </c>
      <c r="AM19" s="73"/>
      <c r="AN19" s="73"/>
      <c r="AO19" s="73"/>
      <c r="AQ19" s="72" t="str">
        <f>Tabela!G19</f>
        <v>Camarões</v>
      </c>
      <c r="AR19" s="72"/>
      <c r="AS19" s="72"/>
      <c r="AT19" s="72"/>
      <c r="AU19" s="2">
        <f>Tabela!H19</f>
        <v>0</v>
      </c>
      <c r="AV19" s="2" t="s">
        <v>70</v>
      </c>
      <c r="AW19" s="2">
        <f>Tabela!J19</f>
        <v>0</v>
      </c>
      <c r="AX19" s="73" t="str">
        <f>Tabela!K19</f>
        <v>Sérvia</v>
      </c>
      <c r="AY19" s="73"/>
      <c r="AZ19" s="73"/>
      <c r="BA19" s="73"/>
      <c r="BC19" s="2">
        <f t="shared" si="1"/>
        <v>0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72" t="s">
        <v>40</v>
      </c>
      <c r="H20" s="72"/>
      <c r="I20" s="72"/>
      <c r="J20" s="72"/>
      <c r="K20" s="2">
        <v>2</v>
      </c>
      <c r="L20" s="2" t="s">
        <v>70</v>
      </c>
      <c r="M20" s="2">
        <v>1</v>
      </c>
      <c r="N20" s="73" t="s">
        <v>61</v>
      </c>
      <c r="O20" s="73"/>
      <c r="P20" s="73"/>
      <c r="Q20" s="73"/>
      <c r="S20" s="72" t="s">
        <v>43</v>
      </c>
      <c r="T20" s="72"/>
      <c r="U20" s="72"/>
      <c r="V20" s="72"/>
      <c r="W20" s="2">
        <v>2</v>
      </c>
      <c r="X20" s="2" t="s">
        <v>70</v>
      </c>
      <c r="Y20" s="2">
        <v>1</v>
      </c>
      <c r="Z20" s="73" t="s">
        <v>67</v>
      </c>
      <c r="AA20" s="73"/>
      <c r="AB20" s="73"/>
      <c r="AC20" s="73"/>
      <c r="AE20" s="72" t="str">
        <f>Tabela!A20</f>
        <v>Argentina</v>
      </c>
      <c r="AF20" s="72"/>
      <c r="AG20" s="72"/>
      <c r="AH20" s="72"/>
      <c r="AI20" s="2">
        <f>Tabela!B20</f>
        <v>0</v>
      </c>
      <c r="AJ20" s="2" t="s">
        <v>70</v>
      </c>
      <c r="AK20" s="2">
        <f>Tabela!D20</f>
        <v>0</v>
      </c>
      <c r="AL20" s="73" t="str">
        <f>Tabela!E20</f>
        <v>México</v>
      </c>
      <c r="AM20" s="73"/>
      <c r="AN20" s="73"/>
      <c r="AO20" s="73"/>
      <c r="AQ20" s="72" t="str">
        <f>Tabela!G20</f>
        <v>Brasil</v>
      </c>
      <c r="AR20" s="72"/>
      <c r="AS20" s="72"/>
      <c r="AT20" s="72"/>
      <c r="AU20" s="2">
        <f>Tabela!H20</f>
        <v>0</v>
      </c>
      <c r="AV20" s="2" t="s">
        <v>70</v>
      </c>
      <c r="AW20" s="2">
        <f>Tabela!J20</f>
        <v>0</v>
      </c>
      <c r="AX20" s="73" t="str">
        <f>Tabela!K20</f>
        <v>Suíça</v>
      </c>
      <c r="AY20" s="73"/>
      <c r="AZ20" s="73"/>
      <c r="BA20" s="73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98" t="s">
        <v>227</v>
      </c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8"/>
      <c r="DJ20" s="98"/>
      <c r="DK20" s="98"/>
      <c r="DL20" s="98"/>
      <c r="DM20" s="98"/>
      <c r="DN20" s="98"/>
      <c r="DO20" s="98"/>
      <c r="DP20" s="98"/>
      <c r="DQ20" s="98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72" t="s">
        <v>63</v>
      </c>
      <c r="H21" s="72"/>
      <c r="I21" s="72"/>
      <c r="J21" s="72"/>
      <c r="K21" s="2">
        <v>1</v>
      </c>
      <c r="L21" s="2" t="s">
        <v>70</v>
      </c>
      <c r="M21" s="2">
        <v>2</v>
      </c>
      <c r="N21" s="73" t="s">
        <v>40</v>
      </c>
      <c r="O21" s="73"/>
      <c r="P21" s="73"/>
      <c r="Q21" s="73"/>
      <c r="S21" s="72" t="s">
        <v>44</v>
      </c>
      <c r="T21" s="72"/>
      <c r="U21" s="72"/>
      <c r="V21" s="72"/>
      <c r="W21" s="2">
        <v>0</v>
      </c>
      <c r="X21" s="2" t="s">
        <v>70</v>
      </c>
      <c r="Y21" s="2">
        <v>4</v>
      </c>
      <c r="Z21" s="73" t="s">
        <v>43</v>
      </c>
      <c r="AA21" s="73"/>
      <c r="AB21" s="73"/>
      <c r="AC21" s="73"/>
      <c r="AE21" s="72" t="str">
        <f>Tabela!A21</f>
        <v>Polônia</v>
      </c>
      <c r="AF21" s="72"/>
      <c r="AG21" s="72"/>
      <c r="AH21" s="72"/>
      <c r="AI21" s="2">
        <f>Tabela!B21</f>
        <v>0</v>
      </c>
      <c r="AJ21" s="2" t="s">
        <v>70</v>
      </c>
      <c r="AK21" s="2">
        <f>Tabela!D21</f>
        <v>0</v>
      </c>
      <c r="AL21" s="73" t="str">
        <f>Tabela!E21</f>
        <v>Argentina</v>
      </c>
      <c r="AM21" s="73"/>
      <c r="AN21" s="73"/>
      <c r="AO21" s="73"/>
      <c r="AQ21" s="72" t="str">
        <f>Tabela!G21</f>
        <v>Camarões</v>
      </c>
      <c r="AR21" s="72"/>
      <c r="AS21" s="72"/>
      <c r="AT21" s="72"/>
      <c r="AU21" s="2">
        <f>Tabela!H21</f>
        <v>0</v>
      </c>
      <c r="AV21" s="2" t="s">
        <v>70</v>
      </c>
      <c r="AW21" s="2">
        <f>Tabela!J21</f>
        <v>0</v>
      </c>
      <c r="AX21" s="73" t="str">
        <f>Tabela!K21</f>
        <v>Brasil</v>
      </c>
      <c r="AY21" s="73"/>
      <c r="AZ21" s="73"/>
      <c r="BA21" s="73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98"/>
      <c r="BS21" s="98"/>
      <c r="BT21" s="98"/>
      <c r="BU21" s="98"/>
      <c r="BV21" s="98"/>
      <c r="BW21" s="98"/>
      <c r="BX21" s="98"/>
      <c r="BY21" s="98"/>
      <c r="BZ21" s="98"/>
      <c r="CA21" s="98"/>
      <c r="CB21" s="98"/>
      <c r="CC21" s="98"/>
      <c r="CD21" s="98"/>
      <c r="CE21" s="98"/>
      <c r="CF21" s="98"/>
      <c r="CG21" s="98"/>
      <c r="CH21" s="98"/>
      <c r="CI21" s="98"/>
      <c r="CJ21" s="98"/>
      <c r="CK21" s="98"/>
      <c r="CL21" s="98"/>
      <c r="CM21" s="98"/>
      <c r="CN21" s="98"/>
      <c r="CO21" s="98"/>
      <c r="CP21" s="98"/>
      <c r="CQ21" s="98"/>
      <c r="CR21" s="98"/>
      <c r="CS21" s="98"/>
      <c r="CT21" s="98"/>
      <c r="CU21" s="98"/>
      <c r="CV21" s="98"/>
      <c r="CW21" s="98"/>
      <c r="CX21" s="98"/>
      <c r="CY21" s="98"/>
      <c r="CZ21" s="98"/>
      <c r="DA21" s="98"/>
      <c r="DB21" s="98"/>
      <c r="DC21" s="98"/>
      <c r="DD21" s="98"/>
      <c r="DE21" s="98"/>
      <c r="DF21" s="98"/>
      <c r="DG21" s="98"/>
      <c r="DH21" s="98"/>
      <c r="DI21" s="98"/>
      <c r="DJ21" s="98"/>
      <c r="DK21" s="98"/>
      <c r="DL21" s="98"/>
      <c r="DM21" s="98"/>
      <c r="DN21" s="98"/>
      <c r="DO21" s="98"/>
      <c r="DP21" s="98"/>
      <c r="DQ21" s="98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72" t="s">
        <v>39</v>
      </c>
      <c r="H22" s="72"/>
      <c r="I22" s="72"/>
      <c r="J22" s="72"/>
      <c r="K22" s="2">
        <v>0</v>
      </c>
      <c r="L22" s="2" t="s">
        <v>70</v>
      </c>
      <c r="M22" s="2">
        <v>1</v>
      </c>
      <c r="N22" s="73" t="s">
        <v>61</v>
      </c>
      <c r="O22" s="73"/>
      <c r="P22" s="73"/>
      <c r="Q22" s="73"/>
      <c r="S22" s="72" t="s">
        <v>66</v>
      </c>
      <c r="T22" s="72"/>
      <c r="U22" s="72"/>
      <c r="V22" s="72"/>
      <c r="W22" s="2">
        <v>1</v>
      </c>
      <c r="X22" s="2" t="s">
        <v>70</v>
      </c>
      <c r="Y22" s="2">
        <v>2</v>
      </c>
      <c r="Z22" s="73" t="s">
        <v>67</v>
      </c>
      <c r="AA22" s="73"/>
      <c r="AB22" s="73"/>
      <c r="AC22" s="73"/>
      <c r="AE22" s="72" t="str">
        <f>Tabela!A22</f>
        <v>ArábiaSaudita</v>
      </c>
      <c r="AF22" s="72"/>
      <c r="AG22" s="72"/>
      <c r="AH22" s="72"/>
      <c r="AI22" s="2">
        <f>Tabela!B22</f>
        <v>0</v>
      </c>
      <c r="AJ22" s="2" t="s">
        <v>70</v>
      </c>
      <c r="AK22" s="2">
        <f>Tabela!D22</f>
        <v>0</v>
      </c>
      <c r="AL22" s="73" t="str">
        <f>Tabela!E22</f>
        <v>México</v>
      </c>
      <c r="AM22" s="73"/>
      <c r="AN22" s="73"/>
      <c r="AO22" s="73"/>
      <c r="AQ22" s="72" t="str">
        <f>Tabela!G22</f>
        <v>Sérvia</v>
      </c>
      <c r="AR22" s="72"/>
      <c r="AS22" s="72"/>
      <c r="AT22" s="72"/>
      <c r="AU22" s="2">
        <f>Tabela!H22</f>
        <v>0</v>
      </c>
      <c r="AV22" s="2" t="s">
        <v>70</v>
      </c>
      <c r="AW22" s="2">
        <f>Tabela!J22</f>
        <v>0</v>
      </c>
      <c r="AX22" s="73" t="str">
        <f>Tabela!K22</f>
        <v>Suíça</v>
      </c>
      <c r="AY22" s="73"/>
      <c r="AZ22" s="73"/>
      <c r="BA22" s="73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98"/>
      <c r="BS22" s="98"/>
      <c r="BT22" s="98"/>
      <c r="BU22" s="98"/>
      <c r="BV22" s="98"/>
      <c r="BW22" s="98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8"/>
      <c r="CP22" s="98"/>
      <c r="CQ22" s="98"/>
      <c r="CR22" s="98"/>
      <c r="CS22" s="98"/>
      <c r="CT22" s="98"/>
      <c r="CU22" s="98"/>
      <c r="CV22" s="98"/>
      <c r="CW22" s="98"/>
      <c r="CX22" s="98"/>
      <c r="CY22" s="98"/>
      <c r="CZ22" s="98"/>
      <c r="DA22" s="98"/>
      <c r="DB22" s="98"/>
      <c r="DC22" s="98"/>
      <c r="DD22" s="98"/>
      <c r="DE22" s="98"/>
      <c r="DF22" s="98"/>
      <c r="DG22" s="98"/>
      <c r="DH22" s="98"/>
      <c r="DI22" s="98"/>
      <c r="DJ22" s="98"/>
      <c r="DK22" s="98"/>
      <c r="DL22" s="98"/>
      <c r="DM22" s="98"/>
      <c r="DN22" s="98"/>
      <c r="DO22" s="98"/>
      <c r="DP22" s="98"/>
      <c r="DQ22" s="98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70" t="s">
        <v>13</v>
      </c>
      <c r="H23" s="70"/>
      <c r="I23" s="70"/>
      <c r="J23" s="70"/>
      <c r="K23" s="70"/>
      <c r="L23" s="70"/>
      <c r="M23" s="70"/>
      <c r="N23" s="70"/>
      <c r="O23" s="70"/>
      <c r="P23" s="70"/>
      <c r="Q23" s="70"/>
      <c r="S23" s="70" t="s">
        <v>76</v>
      </c>
      <c r="T23" s="70"/>
      <c r="U23" s="70"/>
      <c r="V23" s="70"/>
      <c r="W23" s="70"/>
      <c r="X23" s="70"/>
      <c r="Y23" s="70"/>
      <c r="Z23" s="70"/>
      <c r="AA23" s="70"/>
      <c r="AB23" s="70"/>
      <c r="AC23" s="70"/>
      <c r="AE23" s="71" t="str">
        <f>Tabela!A23</f>
        <v>Grupo D</v>
      </c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Q23" s="71" t="str">
        <f>Tabela!G23</f>
        <v>Grupo H</v>
      </c>
      <c r="AR23" s="71"/>
      <c r="AS23" s="71"/>
      <c r="AT23" s="71"/>
      <c r="AU23" s="71"/>
      <c r="AV23" s="71"/>
      <c r="AW23" s="71"/>
      <c r="AX23" s="71"/>
      <c r="AY23" s="71"/>
      <c r="AZ23" s="71"/>
      <c r="BA23" s="71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98"/>
      <c r="BS23" s="98"/>
      <c r="BT23" s="98"/>
      <c r="BU23" s="98"/>
      <c r="BV23" s="98"/>
      <c r="BW23" s="98"/>
      <c r="BX23" s="98"/>
      <c r="BY23" s="98"/>
      <c r="BZ23" s="98"/>
      <c r="CA23" s="98"/>
      <c r="CB23" s="98"/>
      <c r="CC23" s="98"/>
      <c r="CD23" s="98"/>
      <c r="CE23" s="98"/>
      <c r="CF23" s="98"/>
      <c r="CG23" s="99"/>
      <c r="CH23" s="99"/>
      <c r="CI23" s="99"/>
      <c r="CJ23" s="99"/>
      <c r="CK23" s="99"/>
      <c r="CL23" s="99"/>
      <c r="CM23" s="99"/>
      <c r="CN23" s="99"/>
      <c r="CO23" s="98"/>
      <c r="CP23" s="98"/>
      <c r="CQ23" s="98"/>
      <c r="CR23" s="98"/>
      <c r="CS23" s="98"/>
      <c r="CT23" s="98"/>
      <c r="CU23" s="99"/>
      <c r="CV23" s="99"/>
      <c r="CW23" s="99"/>
      <c r="CX23" s="99"/>
      <c r="CY23" s="99"/>
      <c r="CZ23" s="99"/>
      <c r="DA23" s="99"/>
      <c r="DB23" s="99"/>
      <c r="DC23" s="98"/>
      <c r="DD23" s="98"/>
      <c r="DE23" s="98"/>
      <c r="DF23" s="98"/>
      <c r="DG23" s="98"/>
      <c r="DH23" s="98"/>
      <c r="DI23" s="98"/>
      <c r="DJ23" s="98"/>
      <c r="DK23" s="98"/>
      <c r="DL23" s="98"/>
      <c r="DM23" s="98"/>
      <c r="DN23" s="98"/>
      <c r="DO23" s="98"/>
      <c r="DP23" s="98"/>
      <c r="DQ23" s="98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72" t="s">
        <v>50</v>
      </c>
      <c r="H24" s="72"/>
      <c r="I24" s="72"/>
      <c r="J24" s="72"/>
      <c r="K24" s="2">
        <v>1</v>
      </c>
      <c r="L24" s="2" t="s">
        <v>70</v>
      </c>
      <c r="M24" s="2">
        <v>1</v>
      </c>
      <c r="N24" s="73" t="s">
        <v>68</v>
      </c>
      <c r="O24" s="73"/>
      <c r="P24" s="73"/>
      <c r="Q24" s="73"/>
      <c r="S24" s="72" t="s">
        <v>69</v>
      </c>
      <c r="T24" s="72"/>
      <c r="U24" s="72"/>
      <c r="V24" s="72"/>
      <c r="W24" s="2">
        <v>2</v>
      </c>
      <c r="X24" s="2" t="s">
        <v>70</v>
      </c>
      <c r="Y24" s="2">
        <v>1</v>
      </c>
      <c r="Z24" s="73" t="s">
        <v>47</v>
      </c>
      <c r="AA24" s="73"/>
      <c r="AB24" s="73"/>
      <c r="AC24" s="73"/>
      <c r="AE24" s="72" t="str">
        <f>Tabela!A24</f>
        <v>Dinamarca</v>
      </c>
      <c r="AF24" s="72"/>
      <c r="AG24" s="72"/>
      <c r="AH24" s="72"/>
      <c r="AI24" s="2">
        <f>Tabela!B24</f>
        <v>0</v>
      </c>
      <c r="AJ24" s="2" t="s">
        <v>70</v>
      </c>
      <c r="AK24" s="2">
        <f>Tabela!D24</f>
        <v>0</v>
      </c>
      <c r="AL24" s="73" t="str">
        <f>Tabela!E24</f>
        <v>Tunísia</v>
      </c>
      <c r="AM24" s="73"/>
      <c r="AN24" s="73"/>
      <c r="AO24" s="73"/>
      <c r="AQ24" s="72" t="str">
        <f>Tabela!G24</f>
        <v>Uruguai</v>
      </c>
      <c r="AR24" s="72"/>
      <c r="AS24" s="72"/>
      <c r="AT24" s="72"/>
      <c r="AU24" s="2">
        <f>Tabela!H24</f>
        <v>0</v>
      </c>
      <c r="AV24" s="2" t="s">
        <v>70</v>
      </c>
      <c r="AW24" s="2">
        <f>Tabela!J24</f>
        <v>0</v>
      </c>
      <c r="AX24" s="73" t="str">
        <f>Tabela!K24</f>
        <v>CoreiaDoSul</v>
      </c>
      <c r="AY24" s="73"/>
      <c r="AZ24" s="73"/>
      <c r="BA24" s="73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76" t="s">
        <v>228</v>
      </c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7"/>
      <c r="CG24" s="78">
        <v>1</v>
      </c>
      <c r="CH24" s="79"/>
      <c r="CI24" s="79"/>
      <c r="CJ24" s="79"/>
      <c r="CK24" s="79"/>
      <c r="CL24" s="79"/>
      <c r="CM24" s="79"/>
      <c r="CN24" s="80"/>
      <c r="CO24" s="87" t="s">
        <v>230</v>
      </c>
      <c r="CP24" s="88"/>
      <c r="CQ24" s="88"/>
      <c r="CR24" s="88"/>
      <c r="CS24" s="88"/>
      <c r="CT24" s="89"/>
      <c r="CU24" s="78">
        <v>1</v>
      </c>
      <c r="CV24" s="79"/>
      <c r="CW24" s="79"/>
      <c r="CX24" s="79"/>
      <c r="CY24" s="79"/>
      <c r="CZ24" s="79"/>
      <c r="DA24" s="79"/>
      <c r="DB24" s="80"/>
      <c r="DC24" s="90" t="s">
        <v>229</v>
      </c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91"/>
      <c r="DQ24" s="91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72" t="s">
        <v>54</v>
      </c>
      <c r="H25" s="72"/>
      <c r="I25" s="72"/>
      <c r="J25" s="72"/>
      <c r="K25" s="2">
        <v>2</v>
      </c>
      <c r="L25" s="2" t="s">
        <v>70</v>
      </c>
      <c r="M25" s="2">
        <v>1</v>
      </c>
      <c r="N25" s="73" t="s">
        <v>41</v>
      </c>
      <c r="O25" s="73"/>
      <c r="P25" s="73"/>
      <c r="Q25" s="73"/>
      <c r="S25" s="72" t="s">
        <v>64</v>
      </c>
      <c r="T25" s="72"/>
      <c r="U25" s="72"/>
      <c r="V25" s="72"/>
      <c r="W25" s="2">
        <v>1</v>
      </c>
      <c r="X25" s="2" t="s">
        <v>70</v>
      </c>
      <c r="Y25" s="2">
        <v>0</v>
      </c>
      <c r="Z25" s="73" t="s">
        <v>55</v>
      </c>
      <c r="AA25" s="73"/>
      <c r="AB25" s="73"/>
      <c r="AC25" s="73"/>
      <c r="AE25" s="72" t="str">
        <f>Tabela!A25</f>
        <v>França</v>
      </c>
      <c r="AF25" s="72"/>
      <c r="AG25" s="72"/>
      <c r="AH25" s="72"/>
      <c r="AI25" s="2">
        <f>Tabela!B25</f>
        <v>4</v>
      </c>
      <c r="AJ25" s="2" t="s">
        <v>70</v>
      </c>
      <c r="AK25" s="2">
        <f>Tabela!D25</f>
        <v>1</v>
      </c>
      <c r="AL25" s="73" t="str">
        <f>Tabela!E25</f>
        <v>Austrália</v>
      </c>
      <c r="AM25" s="73"/>
      <c r="AN25" s="73"/>
      <c r="AO25" s="73"/>
      <c r="AQ25" s="72" t="str">
        <f>Tabela!G25</f>
        <v>Portugal</v>
      </c>
      <c r="AR25" s="72"/>
      <c r="AS25" s="72"/>
      <c r="AT25" s="72"/>
      <c r="AU25" s="2">
        <f>Tabela!H25</f>
        <v>0</v>
      </c>
      <c r="AV25" s="2" t="s">
        <v>70</v>
      </c>
      <c r="AW25" s="2">
        <f>Tabela!J25</f>
        <v>0</v>
      </c>
      <c r="AX25" s="73" t="str">
        <f>Tabela!K25</f>
        <v>Gana</v>
      </c>
      <c r="AY25" s="73"/>
      <c r="AZ25" s="73"/>
      <c r="BA25" s="73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76"/>
      <c r="BS25" s="76"/>
      <c r="BT25" s="76"/>
      <c r="BU25" s="76"/>
      <c r="BV25" s="76"/>
      <c r="BW25" s="76"/>
      <c r="BX25" s="76"/>
      <c r="BY25" s="76"/>
      <c r="BZ25" s="76"/>
      <c r="CA25" s="76"/>
      <c r="CB25" s="76"/>
      <c r="CC25" s="76"/>
      <c r="CD25" s="76"/>
      <c r="CE25" s="76"/>
      <c r="CF25" s="77"/>
      <c r="CG25" s="81"/>
      <c r="CH25" s="82"/>
      <c r="CI25" s="82"/>
      <c r="CJ25" s="82"/>
      <c r="CK25" s="82"/>
      <c r="CL25" s="82"/>
      <c r="CM25" s="82"/>
      <c r="CN25" s="83"/>
      <c r="CO25" s="87"/>
      <c r="CP25" s="88"/>
      <c r="CQ25" s="88"/>
      <c r="CR25" s="88"/>
      <c r="CS25" s="88"/>
      <c r="CT25" s="89"/>
      <c r="CU25" s="81"/>
      <c r="CV25" s="82"/>
      <c r="CW25" s="82"/>
      <c r="CX25" s="82"/>
      <c r="CY25" s="82"/>
      <c r="CZ25" s="82"/>
      <c r="DA25" s="82"/>
      <c r="DB25" s="83"/>
      <c r="DC25" s="90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72" t="s">
        <v>68</v>
      </c>
      <c r="H26" s="72"/>
      <c r="I26" s="72"/>
      <c r="J26" s="72"/>
      <c r="K26" s="2">
        <v>0</v>
      </c>
      <c r="L26" s="2" t="s">
        <v>70</v>
      </c>
      <c r="M26" s="2">
        <v>0</v>
      </c>
      <c r="N26" s="73" t="s">
        <v>41</v>
      </c>
      <c r="O26" s="73"/>
      <c r="P26" s="73"/>
      <c r="Q26" s="73"/>
      <c r="S26" s="72" t="s">
        <v>47</v>
      </c>
      <c r="T26" s="72"/>
      <c r="U26" s="72"/>
      <c r="V26" s="72"/>
      <c r="W26" s="2">
        <v>2</v>
      </c>
      <c r="X26" s="2" t="s">
        <v>70</v>
      </c>
      <c r="Y26" s="2">
        <v>1</v>
      </c>
      <c r="Z26" s="73" t="s">
        <v>55</v>
      </c>
      <c r="AA26" s="73"/>
      <c r="AB26" s="73"/>
      <c r="AC26" s="73"/>
      <c r="AE26" s="72" t="str">
        <f>Tabela!A26</f>
        <v>Tunísia</v>
      </c>
      <c r="AF26" s="72"/>
      <c r="AG26" s="72"/>
      <c r="AH26" s="72"/>
      <c r="AI26" s="2">
        <f>Tabela!B26</f>
        <v>0</v>
      </c>
      <c r="AJ26" s="2" t="s">
        <v>70</v>
      </c>
      <c r="AK26" s="2">
        <f>Tabela!D26</f>
        <v>0</v>
      </c>
      <c r="AL26" s="73" t="str">
        <f>Tabela!E26</f>
        <v>Austrália</v>
      </c>
      <c r="AM26" s="73"/>
      <c r="AN26" s="73"/>
      <c r="AO26" s="73"/>
      <c r="AQ26" s="72" t="str">
        <f>Tabela!G26</f>
        <v>CoreiaDoSul</v>
      </c>
      <c r="AR26" s="72"/>
      <c r="AS26" s="72"/>
      <c r="AT26" s="72"/>
      <c r="AU26" s="2">
        <f>Tabela!H26</f>
        <v>0</v>
      </c>
      <c r="AV26" s="2" t="s">
        <v>70</v>
      </c>
      <c r="AW26" s="2">
        <f>Tabela!J26</f>
        <v>0</v>
      </c>
      <c r="AX26" s="73" t="str">
        <f>Tabela!K26</f>
        <v>Gana</v>
      </c>
      <c r="AY26" s="73"/>
      <c r="AZ26" s="73"/>
      <c r="BA26" s="73"/>
      <c r="BC26" s="2">
        <f t="shared" si="1"/>
        <v>25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76"/>
      <c r="BS26" s="76"/>
      <c r="BT26" s="76"/>
      <c r="BU26" s="76"/>
      <c r="BV26" s="76"/>
      <c r="BW26" s="76"/>
      <c r="BX26" s="76"/>
      <c r="BY26" s="76"/>
      <c r="BZ26" s="76"/>
      <c r="CA26" s="76"/>
      <c r="CB26" s="76"/>
      <c r="CC26" s="76"/>
      <c r="CD26" s="76"/>
      <c r="CE26" s="76"/>
      <c r="CF26" s="77"/>
      <c r="CG26" s="81"/>
      <c r="CH26" s="82"/>
      <c r="CI26" s="82"/>
      <c r="CJ26" s="82"/>
      <c r="CK26" s="82"/>
      <c r="CL26" s="82"/>
      <c r="CM26" s="82"/>
      <c r="CN26" s="83"/>
      <c r="CO26" s="87"/>
      <c r="CP26" s="88"/>
      <c r="CQ26" s="88"/>
      <c r="CR26" s="88"/>
      <c r="CS26" s="88"/>
      <c r="CT26" s="89"/>
      <c r="CU26" s="81"/>
      <c r="CV26" s="82"/>
      <c r="CW26" s="82"/>
      <c r="CX26" s="82"/>
      <c r="CY26" s="82"/>
      <c r="CZ26" s="82"/>
      <c r="DA26" s="82"/>
      <c r="DB26" s="83"/>
      <c r="DC26" s="90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91"/>
      <c r="DQ26" s="91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72" t="s">
        <v>54</v>
      </c>
      <c r="H27" s="72"/>
      <c r="I27" s="72"/>
      <c r="J27" s="72"/>
      <c r="K27" s="2">
        <v>2</v>
      </c>
      <c r="L27" s="2" t="s">
        <v>70</v>
      </c>
      <c r="M27" s="2">
        <v>0</v>
      </c>
      <c r="N27" s="73" t="s">
        <v>50</v>
      </c>
      <c r="O27" s="73"/>
      <c r="P27" s="73"/>
      <c r="Q27" s="73"/>
      <c r="S27" s="72" t="s">
        <v>64</v>
      </c>
      <c r="T27" s="72"/>
      <c r="U27" s="72"/>
      <c r="V27" s="72"/>
      <c r="W27" s="2">
        <v>2</v>
      </c>
      <c r="X27" s="2" t="s">
        <v>70</v>
      </c>
      <c r="Y27" s="2">
        <v>2</v>
      </c>
      <c r="Z27" s="73" t="s">
        <v>69</v>
      </c>
      <c r="AA27" s="73"/>
      <c r="AB27" s="73"/>
      <c r="AC27" s="73"/>
      <c r="AE27" s="72" t="str">
        <f>Tabela!A27</f>
        <v>França</v>
      </c>
      <c r="AF27" s="72"/>
      <c r="AG27" s="72"/>
      <c r="AH27" s="72"/>
      <c r="AI27" s="2">
        <f>Tabela!B27</f>
        <v>0</v>
      </c>
      <c r="AJ27" s="2" t="s">
        <v>70</v>
      </c>
      <c r="AK27" s="2">
        <f>Tabela!D27</f>
        <v>0</v>
      </c>
      <c r="AL27" s="73" t="str">
        <f>Tabela!E27</f>
        <v>Dinamarca</v>
      </c>
      <c r="AM27" s="73"/>
      <c r="AN27" s="73"/>
      <c r="AO27" s="73"/>
      <c r="AQ27" s="72" t="str">
        <f>Tabela!G27</f>
        <v>Portugal</v>
      </c>
      <c r="AR27" s="72"/>
      <c r="AS27" s="72"/>
      <c r="AT27" s="72"/>
      <c r="AU27" s="2">
        <f>Tabela!H27</f>
        <v>0</v>
      </c>
      <c r="AV27" s="2" t="s">
        <v>70</v>
      </c>
      <c r="AW27" s="2">
        <f>Tabela!J27</f>
        <v>0</v>
      </c>
      <c r="AX27" s="73" t="str">
        <f>Tabela!K27</f>
        <v>Uruguai</v>
      </c>
      <c r="AY27" s="73"/>
      <c r="AZ27" s="73"/>
      <c r="BA27" s="73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7"/>
      <c r="CG27" s="81"/>
      <c r="CH27" s="82"/>
      <c r="CI27" s="82"/>
      <c r="CJ27" s="82"/>
      <c r="CK27" s="82"/>
      <c r="CL27" s="82"/>
      <c r="CM27" s="82"/>
      <c r="CN27" s="83"/>
      <c r="CO27" s="87"/>
      <c r="CP27" s="88"/>
      <c r="CQ27" s="88"/>
      <c r="CR27" s="88"/>
      <c r="CS27" s="88"/>
      <c r="CT27" s="89"/>
      <c r="CU27" s="81"/>
      <c r="CV27" s="82"/>
      <c r="CW27" s="82"/>
      <c r="CX27" s="82"/>
      <c r="CY27" s="82"/>
      <c r="CZ27" s="82"/>
      <c r="DA27" s="82"/>
      <c r="DB27" s="83"/>
      <c r="DC27" s="90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91"/>
      <c r="DQ27" s="91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72" t="s">
        <v>68</v>
      </c>
      <c r="H28" s="72"/>
      <c r="I28" s="72"/>
      <c r="J28" s="72"/>
      <c r="K28" s="2">
        <v>0</v>
      </c>
      <c r="L28" s="2" t="s">
        <v>70</v>
      </c>
      <c r="M28" s="2">
        <v>3</v>
      </c>
      <c r="N28" s="73" t="s">
        <v>54</v>
      </c>
      <c r="O28" s="73"/>
      <c r="P28" s="73"/>
      <c r="Q28" s="73"/>
      <c r="S28" s="72" t="s">
        <v>47</v>
      </c>
      <c r="T28" s="72"/>
      <c r="U28" s="72"/>
      <c r="V28" s="72"/>
      <c r="W28" s="2">
        <v>1</v>
      </c>
      <c r="X28" s="2" t="s">
        <v>70</v>
      </c>
      <c r="Y28" s="2">
        <v>1</v>
      </c>
      <c r="Z28" s="73" t="s">
        <v>64</v>
      </c>
      <c r="AA28" s="73"/>
      <c r="AB28" s="73"/>
      <c r="AC28" s="73"/>
      <c r="AE28" s="72" t="str">
        <f>Tabela!A28</f>
        <v>Tunísia</v>
      </c>
      <c r="AF28" s="72"/>
      <c r="AG28" s="72"/>
      <c r="AH28" s="72"/>
      <c r="AI28" s="2">
        <f>Tabela!B28</f>
        <v>0</v>
      </c>
      <c r="AJ28" s="2" t="s">
        <v>70</v>
      </c>
      <c r="AK28" s="2">
        <f>Tabela!D28</f>
        <v>0</v>
      </c>
      <c r="AL28" s="73" t="str">
        <f>Tabela!E28</f>
        <v>França</v>
      </c>
      <c r="AM28" s="73"/>
      <c r="AN28" s="73"/>
      <c r="AO28" s="73"/>
      <c r="AQ28" s="72" t="str">
        <f>Tabela!G28</f>
        <v>CoreiaDoSul</v>
      </c>
      <c r="AR28" s="72"/>
      <c r="AS28" s="72"/>
      <c r="AT28" s="72"/>
      <c r="AU28" s="2">
        <f>Tabela!H28</f>
        <v>0</v>
      </c>
      <c r="AV28" s="2" t="s">
        <v>70</v>
      </c>
      <c r="AW28" s="2">
        <f>Tabela!J28</f>
        <v>0</v>
      </c>
      <c r="AX28" s="73" t="str">
        <f>Tabela!K28</f>
        <v>Portugal</v>
      </c>
      <c r="AY28" s="73"/>
      <c r="AZ28" s="73"/>
      <c r="BA28" s="73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76"/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7"/>
      <c r="CG28" s="81"/>
      <c r="CH28" s="82"/>
      <c r="CI28" s="82"/>
      <c r="CJ28" s="82"/>
      <c r="CK28" s="82"/>
      <c r="CL28" s="82"/>
      <c r="CM28" s="82"/>
      <c r="CN28" s="83"/>
      <c r="CO28" s="87"/>
      <c r="CP28" s="88"/>
      <c r="CQ28" s="88"/>
      <c r="CR28" s="88"/>
      <c r="CS28" s="88"/>
      <c r="CT28" s="89"/>
      <c r="CU28" s="81"/>
      <c r="CV28" s="82"/>
      <c r="CW28" s="82"/>
      <c r="CX28" s="82"/>
      <c r="CY28" s="82"/>
      <c r="CZ28" s="82"/>
      <c r="DA28" s="82"/>
      <c r="DB28" s="83"/>
      <c r="DC28" s="90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91"/>
      <c r="DQ28" s="91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72" t="s">
        <v>41</v>
      </c>
      <c r="H29" s="72"/>
      <c r="I29" s="72"/>
      <c r="J29" s="72"/>
      <c r="K29" s="2">
        <v>1</v>
      </c>
      <c r="L29" s="2" t="s">
        <v>70</v>
      </c>
      <c r="M29" s="2">
        <v>0</v>
      </c>
      <c r="N29" s="73" t="s">
        <v>50</v>
      </c>
      <c r="O29" s="73"/>
      <c r="P29" s="73"/>
      <c r="Q29" s="73"/>
      <c r="S29" s="72" t="s">
        <v>55</v>
      </c>
      <c r="T29" s="72"/>
      <c r="U29" s="72"/>
      <c r="V29" s="72"/>
      <c r="W29" s="2">
        <v>1</v>
      </c>
      <c r="X29" s="2" t="s">
        <v>70</v>
      </c>
      <c r="Y29" s="2">
        <v>2</v>
      </c>
      <c r="Z29" s="73" t="s">
        <v>69</v>
      </c>
      <c r="AA29" s="73"/>
      <c r="AB29" s="73"/>
      <c r="AC29" s="73"/>
      <c r="AE29" s="72" t="str">
        <f>Tabela!A29</f>
        <v>Austrália</v>
      </c>
      <c r="AF29" s="72"/>
      <c r="AG29" s="72"/>
      <c r="AH29" s="72"/>
      <c r="AI29" s="2">
        <f>Tabela!B29</f>
        <v>0</v>
      </c>
      <c r="AJ29" s="2" t="s">
        <v>70</v>
      </c>
      <c r="AK29" s="2">
        <f>Tabela!D29</f>
        <v>0</v>
      </c>
      <c r="AL29" s="73" t="str">
        <f>Tabela!E29</f>
        <v>Dinamarca</v>
      </c>
      <c r="AM29" s="73"/>
      <c r="AN29" s="73"/>
      <c r="AO29" s="73"/>
      <c r="AQ29" s="72" t="str">
        <f>Tabela!G29</f>
        <v>Gana</v>
      </c>
      <c r="AR29" s="72"/>
      <c r="AS29" s="72"/>
      <c r="AT29" s="72"/>
      <c r="AU29" s="2">
        <f>Tabela!H29</f>
        <v>0</v>
      </c>
      <c r="AV29" s="2" t="s">
        <v>70</v>
      </c>
      <c r="AW29" s="2">
        <f>Tabela!J29</f>
        <v>0</v>
      </c>
      <c r="AX29" s="73" t="str">
        <f>Tabela!K29</f>
        <v>Uruguai</v>
      </c>
      <c r="AY29" s="73"/>
      <c r="AZ29" s="73"/>
      <c r="BA29" s="73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76"/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  <c r="CE29" s="76"/>
      <c r="CF29" s="77"/>
      <c r="CG29" s="84"/>
      <c r="CH29" s="85"/>
      <c r="CI29" s="85"/>
      <c r="CJ29" s="85"/>
      <c r="CK29" s="85"/>
      <c r="CL29" s="85"/>
      <c r="CM29" s="85"/>
      <c r="CN29" s="86"/>
      <c r="CO29" s="87"/>
      <c r="CP29" s="88"/>
      <c r="CQ29" s="88"/>
      <c r="CR29" s="88"/>
      <c r="CS29" s="88"/>
      <c r="CT29" s="89"/>
      <c r="CU29" s="84"/>
      <c r="CV29" s="85"/>
      <c r="CW29" s="85"/>
      <c r="CX29" s="85"/>
      <c r="CY29" s="85"/>
      <c r="CZ29" s="85"/>
      <c r="DA29" s="85"/>
      <c r="DB29" s="86"/>
      <c r="DC29" s="90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91"/>
      <c r="DQ29" s="91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73"/>
      <c r="AM33" s="73"/>
      <c r="AN33" s="73"/>
      <c r="AO33" s="7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73"/>
      <c r="AM34" s="73"/>
      <c r="AN34" s="73"/>
      <c r="AO34" s="7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73"/>
      <c r="AM35" s="73"/>
      <c r="AN35" s="73"/>
      <c r="AO35" s="7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73"/>
      <c r="AM36" s="73"/>
      <c r="AN36" s="73"/>
      <c r="AO36" s="7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68" t="s">
        <v>189</v>
      </c>
      <c r="C1" s="68"/>
      <c r="D1" s="68"/>
      <c r="E1" s="6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26"/>
  <sheetViews>
    <sheetView showGridLines="0" tabSelected="1" zoomScale="85" zoomScaleNormal="85" workbookViewId="0">
      <selection activeCell="W5" sqref="W5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00" t="s">
        <v>292</v>
      </c>
      <c r="C1" s="101"/>
      <c r="D1" s="101"/>
      <c r="E1" s="101"/>
      <c r="F1" s="101"/>
      <c r="G1" s="101"/>
      <c r="H1" s="101"/>
      <c r="I1" s="102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158" t="s">
        <v>297</v>
      </c>
      <c r="C3" s="159" t="str">
        <f t="shared" ref="C3:C25" si="0">K3</f>
        <v>Bruno Flores</v>
      </c>
      <c r="D3" s="159">
        <f>VLOOKUP(C3,O$3:U$25,2,0)</f>
        <v>135</v>
      </c>
      <c r="E3" s="159">
        <f>VLOOKUP(C3,O$3:U$25,3,0)</f>
        <v>3</v>
      </c>
      <c r="F3" s="159">
        <f>VLOOKUP(C3,O$3:U$25,4,0)</f>
        <v>1</v>
      </c>
      <c r="G3" s="159">
        <f>VLOOKUP(C3,O$3:U$25,5,0)</f>
        <v>3</v>
      </c>
      <c r="H3" s="159">
        <f>VLOOKUP(C3,O$3:U$25,6,0)</f>
        <v>3</v>
      </c>
      <c r="I3" s="160">
        <f>VLOOKUP(C3,O$3:U$25,7,0)</f>
        <v>3</v>
      </c>
      <c r="K3" s="59" t="s">
        <v>294</v>
      </c>
      <c r="L3" s="59">
        <f>'Bruno Flores'!Q$11</f>
        <v>135</v>
      </c>
      <c r="M3" s="59"/>
      <c r="N3" s="59"/>
      <c r="O3" s="60" t="s">
        <v>271</v>
      </c>
      <c r="P3" s="56">
        <f>Macélio!Q$11</f>
        <v>120</v>
      </c>
      <c r="Q3" s="45">
        <v>1</v>
      </c>
      <c r="R3" s="45">
        <v>4</v>
      </c>
      <c r="S3" s="45">
        <v>3</v>
      </c>
      <c r="T3" s="45">
        <v>1</v>
      </c>
      <c r="U3" s="45">
        <v>4</v>
      </c>
      <c r="V3" s="61"/>
    </row>
    <row r="4" spans="2:22" x14ac:dyDescent="0.25">
      <c r="B4" s="161" t="s">
        <v>298</v>
      </c>
      <c r="C4" s="162" t="str">
        <f t="shared" si="0"/>
        <v>Alex</v>
      </c>
      <c r="D4" s="162">
        <f t="shared" ref="D4:D25" si="1">VLOOKUP(C4,O$3:U$25,2,0)</f>
        <v>130</v>
      </c>
      <c r="E4" s="162">
        <f t="shared" ref="E4:E25" si="2">VLOOKUP(C4,O$3:U$25,3,0)</f>
        <v>2</v>
      </c>
      <c r="F4" s="162">
        <f t="shared" ref="F4:F25" si="3">VLOOKUP(C4,O$3:U$25,4,0)</f>
        <v>4</v>
      </c>
      <c r="G4" s="162">
        <f t="shared" ref="G4:G25" si="4">VLOOKUP(C4,O$3:U$25,5,0)</f>
        <v>1</v>
      </c>
      <c r="H4" s="162">
        <f t="shared" ref="H4:H25" si="5">VLOOKUP(C4,O$3:U$25,6,0)</f>
        <v>2</v>
      </c>
      <c r="I4" s="163">
        <f t="shared" ref="I4:I25" si="6">VLOOKUP(C4,O$3:U$25,7,0)</f>
        <v>4</v>
      </c>
      <c r="K4" s="59" t="s">
        <v>279</v>
      </c>
      <c r="L4" s="59">
        <f>Alex!Q$11</f>
        <v>130</v>
      </c>
      <c r="M4" s="59"/>
      <c r="N4" s="59"/>
      <c r="O4" s="60" t="s">
        <v>293</v>
      </c>
      <c r="P4" s="56">
        <f>'Ivan Alex_1'!Q$11</f>
        <v>110</v>
      </c>
      <c r="Q4" s="157"/>
      <c r="R4" s="157">
        <v>3</v>
      </c>
      <c r="S4" s="157">
        <v>6</v>
      </c>
      <c r="T4" s="157">
        <v>1</v>
      </c>
      <c r="U4" s="157">
        <v>3</v>
      </c>
      <c r="V4" s="61"/>
    </row>
    <row r="5" spans="2:22" x14ac:dyDescent="0.25">
      <c r="B5" s="164" t="s">
        <v>299</v>
      </c>
      <c r="C5" s="165" t="str">
        <f t="shared" si="0"/>
        <v>Joseir_2</v>
      </c>
      <c r="D5" s="165">
        <f t="shared" si="1"/>
        <v>130</v>
      </c>
      <c r="E5" s="165">
        <f t="shared" si="2"/>
        <v>2</v>
      </c>
      <c r="F5" s="165">
        <f t="shared" si="3"/>
        <v>2</v>
      </c>
      <c r="G5" s="165">
        <f t="shared" si="4"/>
        <v>2</v>
      </c>
      <c r="H5" s="165">
        <f t="shared" si="5"/>
        <v>6</v>
      </c>
      <c r="I5" s="166">
        <f t="shared" si="6"/>
        <v>0</v>
      </c>
      <c r="K5" s="59" t="s">
        <v>285</v>
      </c>
      <c r="L5" s="59">
        <f>Joseir_2!Q$11</f>
        <v>130</v>
      </c>
      <c r="M5" s="59"/>
      <c r="N5" s="59"/>
      <c r="O5" s="60" t="s">
        <v>294</v>
      </c>
      <c r="P5" s="56">
        <f>'Bruno Flores'!Q$11</f>
        <v>135</v>
      </c>
      <c r="Q5" s="45">
        <v>3</v>
      </c>
      <c r="R5" s="45">
        <v>1</v>
      </c>
      <c r="S5" s="45">
        <v>3</v>
      </c>
      <c r="T5" s="45">
        <v>3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120</v>
      </c>
      <c r="E6" s="50">
        <f t="shared" si="2"/>
        <v>1</v>
      </c>
      <c r="F6" s="50">
        <f t="shared" si="3"/>
        <v>4</v>
      </c>
      <c r="G6" s="50">
        <f t="shared" si="4"/>
        <v>3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120</v>
      </c>
      <c r="M6" s="59"/>
      <c r="N6" s="59"/>
      <c r="O6" s="60" t="s">
        <v>270</v>
      </c>
      <c r="P6" s="56">
        <f>'Ivan Alex_2'!Q$11</f>
        <v>105</v>
      </c>
      <c r="Q6" s="45"/>
      <c r="R6" s="45">
        <v>3</v>
      </c>
      <c r="S6" s="45">
        <v>5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115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3</v>
      </c>
      <c r="I7" s="51">
        <f t="shared" si="6"/>
        <v>4</v>
      </c>
      <c r="K7" s="59" t="s">
        <v>275</v>
      </c>
      <c r="L7" s="59">
        <f>Juninho_1!Q$11</f>
        <v>115</v>
      </c>
      <c r="M7" s="59"/>
      <c r="N7" s="59"/>
      <c r="O7" s="60" t="s">
        <v>273</v>
      </c>
      <c r="P7" s="56">
        <f>Gabriel!Q$11</f>
        <v>100</v>
      </c>
      <c r="Q7" s="45">
        <v>1</v>
      </c>
      <c r="R7" s="45">
        <v>2</v>
      </c>
      <c r="S7" s="45">
        <v>3</v>
      </c>
      <c r="T7" s="45">
        <v>3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115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1</v>
      </c>
      <c r="I8" s="51">
        <f t="shared" si="6"/>
        <v>5</v>
      </c>
      <c r="K8" s="59" t="s">
        <v>286</v>
      </c>
      <c r="L8" s="59">
        <f>Ivani!Q$11</f>
        <v>115</v>
      </c>
      <c r="M8" s="59"/>
      <c r="N8" s="59"/>
      <c r="O8" s="60" t="s">
        <v>272</v>
      </c>
      <c r="P8" s="56">
        <f>Luis!Q$11</f>
        <v>85</v>
      </c>
      <c r="Q8" s="45">
        <v>1</v>
      </c>
      <c r="R8" s="45">
        <v>2</v>
      </c>
      <c r="S8" s="45">
        <v>3</v>
      </c>
      <c r="T8" s="45"/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Alex_1</v>
      </c>
      <c r="D9" s="50">
        <f t="shared" si="1"/>
        <v>110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1</v>
      </c>
      <c r="I9" s="51">
        <f t="shared" si="6"/>
        <v>3</v>
      </c>
      <c r="K9" s="59" t="s">
        <v>293</v>
      </c>
      <c r="L9" s="59">
        <f>'Ivan Alex_1'!Q$11</f>
        <v>110</v>
      </c>
      <c r="M9" s="59"/>
      <c r="N9" s="59"/>
      <c r="O9" s="60" t="s">
        <v>275</v>
      </c>
      <c r="P9" s="56">
        <f>Juninho_1!Q$11</f>
        <v>115</v>
      </c>
      <c r="Q9" s="45">
        <v>2</v>
      </c>
      <c r="R9" s="45">
        <v>2</v>
      </c>
      <c r="S9" s="45">
        <v>2</v>
      </c>
      <c r="T9" s="45">
        <v>3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110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2</v>
      </c>
      <c r="J10" s="59"/>
      <c r="K10" s="59" t="s">
        <v>281</v>
      </c>
      <c r="L10" s="59">
        <f>Robert!Q$11</f>
        <v>110</v>
      </c>
      <c r="M10" s="59"/>
      <c r="N10" s="59"/>
      <c r="O10" s="60" t="s">
        <v>276</v>
      </c>
      <c r="P10" s="56">
        <f>Juninho_2!Q$11</f>
        <v>100</v>
      </c>
      <c r="Q10" s="45">
        <v>1</v>
      </c>
      <c r="R10" s="45">
        <v>3</v>
      </c>
      <c r="S10" s="45">
        <v>2</v>
      </c>
      <c r="T10" s="45">
        <v>2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Jean</v>
      </c>
      <c r="D11" s="50">
        <f t="shared" si="1"/>
        <v>110</v>
      </c>
      <c r="E11" s="50">
        <f t="shared" si="2"/>
        <v>1</v>
      </c>
      <c r="F11" s="50">
        <f t="shared" si="3"/>
        <v>3</v>
      </c>
      <c r="G11" s="50">
        <f t="shared" si="4"/>
        <v>3</v>
      </c>
      <c r="H11" s="50">
        <f t="shared" si="5"/>
        <v>2</v>
      </c>
      <c r="I11" s="51">
        <f t="shared" si="6"/>
        <v>3</v>
      </c>
      <c r="K11" s="59" t="s">
        <v>280</v>
      </c>
      <c r="L11" s="59">
        <f>Jean!Q$11</f>
        <v>110</v>
      </c>
      <c r="M11" s="59"/>
      <c r="N11" s="59"/>
      <c r="O11" s="60" t="s">
        <v>277</v>
      </c>
      <c r="P11" s="56">
        <f>Luana!Q$11</f>
        <v>95</v>
      </c>
      <c r="Q11" s="45">
        <v>1</v>
      </c>
      <c r="R11" s="45">
        <v>1</v>
      </c>
      <c r="S11" s="45">
        <v>2</v>
      </c>
      <c r="T11" s="45">
        <v>7</v>
      </c>
      <c r="U11" s="45">
        <v>2</v>
      </c>
      <c r="V11" s="61"/>
    </row>
    <row r="12" spans="2:22" x14ac:dyDescent="0.25">
      <c r="B12" s="58" t="s">
        <v>306</v>
      </c>
      <c r="C12" s="50" t="str">
        <f t="shared" si="0"/>
        <v>Mácio</v>
      </c>
      <c r="D12" s="50">
        <f t="shared" si="1"/>
        <v>105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1</v>
      </c>
      <c r="I12" s="51">
        <f t="shared" si="6"/>
        <v>5</v>
      </c>
      <c r="K12" s="59" t="s">
        <v>278</v>
      </c>
      <c r="L12" s="59">
        <f>Mácio!Q$11</f>
        <v>105</v>
      </c>
      <c r="M12" s="59"/>
      <c r="N12" s="59"/>
      <c r="O12" s="60" t="s">
        <v>278</v>
      </c>
      <c r="P12" s="56">
        <f>Mácio!Q$11</f>
        <v>105</v>
      </c>
      <c r="Q12" s="45">
        <v>1</v>
      </c>
      <c r="R12" s="45">
        <v>3</v>
      </c>
      <c r="S12" s="45">
        <v>3</v>
      </c>
      <c r="T12" s="45">
        <v>1</v>
      </c>
      <c r="U12" s="45">
        <v>5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105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3</v>
      </c>
      <c r="I13" s="51">
        <f t="shared" si="6"/>
        <v>3</v>
      </c>
      <c r="K13" s="59" t="s">
        <v>290</v>
      </c>
      <c r="L13" s="59">
        <f>Anderson!Q$11</f>
        <v>105</v>
      </c>
      <c r="M13" s="59"/>
      <c r="N13" s="59"/>
      <c r="O13" s="60" t="s">
        <v>279</v>
      </c>
      <c r="P13" s="56">
        <f>Alex!Q$11</f>
        <v>130</v>
      </c>
      <c r="Q13" s="45">
        <v>2</v>
      </c>
      <c r="R13" s="45">
        <v>4</v>
      </c>
      <c r="S13" s="45">
        <v>1</v>
      </c>
      <c r="T13" s="45">
        <v>2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Ivan Alex_2</v>
      </c>
      <c r="D14" s="50">
        <f t="shared" si="1"/>
        <v>105</v>
      </c>
      <c r="E14" s="50">
        <f t="shared" si="2"/>
        <v>0</v>
      </c>
      <c r="F14" s="50">
        <f t="shared" si="3"/>
        <v>3</v>
      </c>
      <c r="G14" s="50">
        <f t="shared" si="4"/>
        <v>5</v>
      </c>
      <c r="H14" s="50">
        <f t="shared" si="5"/>
        <v>2</v>
      </c>
      <c r="I14" s="51">
        <f t="shared" si="6"/>
        <v>3</v>
      </c>
      <c r="K14" s="59" t="s">
        <v>270</v>
      </c>
      <c r="L14" s="59">
        <f>'Ivan Alex_2'!Q$11</f>
        <v>105</v>
      </c>
      <c r="M14" s="59"/>
      <c r="N14" s="59"/>
      <c r="O14" s="60" t="s">
        <v>280</v>
      </c>
      <c r="P14" s="56">
        <f>Jean!Q$11</f>
        <v>110</v>
      </c>
      <c r="Q14" s="45">
        <v>1</v>
      </c>
      <c r="R14" s="45">
        <v>3</v>
      </c>
      <c r="S14" s="45">
        <v>3</v>
      </c>
      <c r="T14" s="45">
        <v>2</v>
      </c>
      <c r="U14" s="45">
        <v>3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100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2</v>
      </c>
      <c r="I15" s="51">
        <f t="shared" si="6"/>
        <v>5</v>
      </c>
      <c r="K15" s="59" t="s">
        <v>276</v>
      </c>
      <c r="L15" s="59">
        <f>Juninho_2!Q$11</f>
        <v>100</v>
      </c>
      <c r="M15" s="59"/>
      <c r="N15" s="59"/>
      <c r="O15" s="60" t="s">
        <v>281</v>
      </c>
      <c r="P15" s="56">
        <f>Robert!Q$11</f>
        <v>110</v>
      </c>
      <c r="Q15" s="45"/>
      <c r="R15" s="45">
        <v>4</v>
      </c>
      <c r="S15" s="45">
        <v>4</v>
      </c>
      <c r="T15" s="45">
        <v>2</v>
      </c>
      <c r="U15" s="45">
        <v>2</v>
      </c>
      <c r="V15" s="61"/>
    </row>
    <row r="16" spans="2:22" x14ac:dyDescent="0.25">
      <c r="B16" s="58" t="s">
        <v>310</v>
      </c>
      <c r="C16" s="50" t="str">
        <f t="shared" si="0"/>
        <v>Gabriel</v>
      </c>
      <c r="D16" s="50">
        <f t="shared" si="1"/>
        <v>100</v>
      </c>
      <c r="E16" s="50">
        <f t="shared" si="2"/>
        <v>1</v>
      </c>
      <c r="F16" s="50">
        <f t="shared" si="3"/>
        <v>2</v>
      </c>
      <c r="G16" s="50">
        <f t="shared" si="4"/>
        <v>3</v>
      </c>
      <c r="H16" s="50">
        <f t="shared" si="5"/>
        <v>3</v>
      </c>
      <c r="I16" s="51">
        <f t="shared" si="6"/>
        <v>3</v>
      </c>
      <c r="K16" s="59" t="s">
        <v>273</v>
      </c>
      <c r="L16" s="59">
        <f>Gabriel!Q$11</f>
        <v>100</v>
      </c>
      <c r="M16" s="59"/>
      <c r="N16" s="59"/>
      <c r="O16" s="60" t="s">
        <v>282</v>
      </c>
      <c r="P16" s="56">
        <f>Roberto!Q$11</f>
        <v>80</v>
      </c>
      <c r="Q16" s="45"/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Julio</v>
      </c>
      <c r="D17" s="50">
        <f t="shared" si="1"/>
        <v>100</v>
      </c>
      <c r="E17" s="50">
        <f t="shared" si="2"/>
        <v>1</v>
      </c>
      <c r="F17" s="50">
        <f t="shared" si="3"/>
        <v>1</v>
      </c>
      <c r="G17" s="50">
        <f t="shared" si="4"/>
        <v>6</v>
      </c>
      <c r="H17" s="50">
        <f t="shared" si="5"/>
        <v>0</v>
      </c>
      <c r="I17" s="51">
        <f t="shared" si="6"/>
        <v>4</v>
      </c>
      <c r="K17" s="59" t="s">
        <v>288</v>
      </c>
      <c r="L17" s="59">
        <f>Julio!Q$11</f>
        <v>100</v>
      </c>
      <c r="M17" s="59"/>
      <c r="N17" s="59"/>
      <c r="O17" s="60" t="s">
        <v>283</v>
      </c>
      <c r="P17" s="56">
        <f>Andréia!Q$11</f>
        <v>60</v>
      </c>
      <c r="Q17" s="45"/>
      <c r="R17" s="45">
        <v>1</v>
      </c>
      <c r="S17" s="45">
        <v>3</v>
      </c>
      <c r="T17" s="45">
        <v>3</v>
      </c>
      <c r="U17" s="45">
        <v>5</v>
      </c>
      <c r="V17" s="61"/>
    </row>
    <row r="18" spans="2:22" x14ac:dyDescent="0.25">
      <c r="B18" s="58" t="s">
        <v>312</v>
      </c>
      <c r="C18" s="50" t="str">
        <f t="shared" si="0"/>
        <v>Luana</v>
      </c>
      <c r="D18" s="50">
        <f t="shared" si="1"/>
        <v>95</v>
      </c>
      <c r="E18" s="50">
        <f t="shared" si="2"/>
        <v>1</v>
      </c>
      <c r="F18" s="50">
        <f t="shared" si="3"/>
        <v>1</v>
      </c>
      <c r="G18" s="50">
        <f t="shared" si="4"/>
        <v>2</v>
      </c>
      <c r="H18" s="50">
        <f t="shared" si="5"/>
        <v>7</v>
      </c>
      <c r="I18" s="51">
        <f t="shared" si="6"/>
        <v>2</v>
      </c>
      <c r="K18" s="59" t="s">
        <v>277</v>
      </c>
      <c r="L18" s="59">
        <f>Luana!Q$11</f>
        <v>95</v>
      </c>
      <c r="M18" s="59"/>
      <c r="N18" s="59"/>
      <c r="O18" s="60" t="s">
        <v>284</v>
      </c>
      <c r="P18" s="56">
        <f>Joseir_1!Q$11</f>
        <v>60</v>
      </c>
      <c r="Q18" s="45"/>
      <c r="R18" s="45">
        <v>1</v>
      </c>
      <c r="S18" s="45">
        <v>2</v>
      </c>
      <c r="T18" s="45">
        <v>5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95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3</v>
      </c>
      <c r="K19" s="59" t="s">
        <v>291</v>
      </c>
      <c r="L19" s="59">
        <f>Cléofaz!Q$11</f>
        <v>95</v>
      </c>
      <c r="M19" s="59"/>
      <c r="N19" s="59"/>
      <c r="O19" s="60" t="s">
        <v>285</v>
      </c>
      <c r="P19" s="56">
        <f>Joseir_2!Q$11</f>
        <v>130</v>
      </c>
      <c r="Q19" s="45">
        <v>2</v>
      </c>
      <c r="R19" s="45">
        <v>2</v>
      </c>
      <c r="S19" s="45">
        <v>2</v>
      </c>
      <c r="T19" s="45">
        <v>6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Luis</v>
      </c>
      <c r="D20" s="50">
        <f t="shared" si="1"/>
        <v>85</v>
      </c>
      <c r="E20" s="50">
        <f t="shared" si="2"/>
        <v>1</v>
      </c>
      <c r="F20" s="50">
        <f t="shared" si="3"/>
        <v>2</v>
      </c>
      <c r="G20" s="50">
        <f t="shared" si="4"/>
        <v>3</v>
      </c>
      <c r="H20" s="50">
        <f t="shared" si="5"/>
        <v>0</v>
      </c>
      <c r="I20" s="51">
        <f t="shared" si="6"/>
        <v>6</v>
      </c>
      <c r="K20" s="59" t="s">
        <v>272</v>
      </c>
      <c r="L20" s="59">
        <f>Luis!Q$11</f>
        <v>85</v>
      </c>
      <c r="M20" s="59"/>
      <c r="N20" s="59"/>
      <c r="O20" s="60" t="s">
        <v>286</v>
      </c>
      <c r="P20" s="56">
        <f>Ivani!Q$11</f>
        <v>115</v>
      </c>
      <c r="Q20" s="45">
        <v>2</v>
      </c>
      <c r="R20" s="45">
        <v>2</v>
      </c>
      <c r="S20" s="45">
        <v>3</v>
      </c>
      <c r="T20" s="45">
        <v>1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85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4</v>
      </c>
      <c r="I21" s="51">
        <f t="shared" si="6"/>
        <v>3</v>
      </c>
      <c r="K21" s="59" t="s">
        <v>289</v>
      </c>
      <c r="L21" s="59">
        <f>Talita!Q$11</f>
        <v>85</v>
      </c>
      <c r="M21" s="59"/>
      <c r="N21" s="59"/>
      <c r="O21" s="60" t="s">
        <v>287</v>
      </c>
      <c r="P21" s="56">
        <f>Josimar!Q$11</f>
        <v>55</v>
      </c>
      <c r="Q21" s="45"/>
      <c r="R21" s="45">
        <v>1</v>
      </c>
      <c r="S21" s="45">
        <v>1</v>
      </c>
      <c r="T21" s="45">
        <v>6</v>
      </c>
      <c r="U21" s="45">
        <v>4</v>
      </c>
      <c r="V21" s="61"/>
    </row>
    <row r="22" spans="2:22" x14ac:dyDescent="0.25">
      <c r="B22" s="58" t="s">
        <v>316</v>
      </c>
      <c r="C22" s="50" t="str">
        <f t="shared" si="0"/>
        <v>Roberto</v>
      </c>
      <c r="D22" s="50">
        <f t="shared" si="1"/>
        <v>80</v>
      </c>
      <c r="E22" s="50">
        <f t="shared" si="2"/>
        <v>0</v>
      </c>
      <c r="F22" s="50">
        <f t="shared" si="3"/>
        <v>4</v>
      </c>
      <c r="G22" s="50">
        <f t="shared" si="4"/>
        <v>1</v>
      </c>
      <c r="H22" s="50">
        <f t="shared" si="5"/>
        <v>2</v>
      </c>
      <c r="I22" s="51">
        <f t="shared" si="6"/>
        <v>5</v>
      </c>
      <c r="K22" s="59" t="s">
        <v>282</v>
      </c>
      <c r="L22" s="59">
        <f>Roberto!Q$11</f>
        <v>80</v>
      </c>
      <c r="M22" s="59"/>
      <c r="N22" s="59"/>
      <c r="O22" s="60" t="s">
        <v>288</v>
      </c>
      <c r="P22" s="56">
        <f>Julio!Q$11</f>
        <v>100</v>
      </c>
      <c r="Q22" s="45">
        <v>1</v>
      </c>
      <c r="R22" s="45">
        <v>1</v>
      </c>
      <c r="S22" s="45">
        <v>6</v>
      </c>
      <c r="T22" s="45"/>
      <c r="U22" s="45">
        <v>4</v>
      </c>
      <c r="V22" s="61"/>
    </row>
    <row r="23" spans="2:22" x14ac:dyDescent="0.25">
      <c r="B23" s="58" t="s">
        <v>317</v>
      </c>
      <c r="C23" s="50" t="str">
        <f t="shared" si="0"/>
        <v>Andréia</v>
      </c>
      <c r="D23" s="50">
        <f t="shared" si="1"/>
        <v>60</v>
      </c>
      <c r="E23" s="50">
        <f t="shared" si="2"/>
        <v>0</v>
      </c>
      <c r="F23" s="50">
        <f t="shared" si="3"/>
        <v>1</v>
      </c>
      <c r="G23" s="50">
        <f t="shared" si="4"/>
        <v>3</v>
      </c>
      <c r="H23" s="50">
        <f t="shared" si="5"/>
        <v>3</v>
      </c>
      <c r="I23" s="51">
        <f t="shared" si="6"/>
        <v>5</v>
      </c>
      <c r="K23" s="59" t="s">
        <v>283</v>
      </c>
      <c r="L23" s="59">
        <f>Andréia!Q$11</f>
        <v>60</v>
      </c>
      <c r="M23" s="59"/>
      <c r="N23" s="59"/>
      <c r="O23" s="60" t="s">
        <v>289</v>
      </c>
      <c r="P23" s="56">
        <f>Talita!Q$11</f>
        <v>85</v>
      </c>
      <c r="Q23" s="45">
        <v>1</v>
      </c>
      <c r="R23" s="45"/>
      <c r="S23" s="45">
        <v>4</v>
      </c>
      <c r="T23" s="45">
        <v>4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Joseir_1</v>
      </c>
      <c r="D24" s="50">
        <f t="shared" si="1"/>
        <v>60</v>
      </c>
      <c r="E24" s="50">
        <f t="shared" si="2"/>
        <v>0</v>
      </c>
      <c r="F24" s="50">
        <f t="shared" si="3"/>
        <v>1</v>
      </c>
      <c r="G24" s="50">
        <f t="shared" si="4"/>
        <v>2</v>
      </c>
      <c r="H24" s="50">
        <f t="shared" si="5"/>
        <v>5</v>
      </c>
      <c r="I24" s="51">
        <f t="shared" si="6"/>
        <v>4</v>
      </c>
      <c r="K24" s="59" t="s">
        <v>284</v>
      </c>
      <c r="L24" s="59">
        <f>Joseir_1!Q$11</f>
        <v>60</v>
      </c>
      <c r="M24" s="59"/>
      <c r="N24" s="59"/>
      <c r="O24" s="60" t="s">
        <v>290</v>
      </c>
      <c r="P24" s="56">
        <f>Anderson!Q$11</f>
        <v>105</v>
      </c>
      <c r="Q24" s="45">
        <v>1</v>
      </c>
      <c r="R24" s="45">
        <v>3</v>
      </c>
      <c r="S24" s="45">
        <v>2</v>
      </c>
      <c r="T24" s="45">
        <v>3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55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4</v>
      </c>
      <c r="K25" s="59" t="s">
        <v>287</v>
      </c>
      <c r="L25" s="59">
        <f>Josimar!Q$11</f>
        <v>55</v>
      </c>
      <c r="M25" s="59"/>
      <c r="N25" s="59"/>
      <c r="O25" s="60" t="s">
        <v>291</v>
      </c>
      <c r="P25" s="56">
        <f>Cléofaz!Q$11</f>
        <v>95</v>
      </c>
      <c r="Q25" s="45">
        <v>1</v>
      </c>
      <c r="R25" s="45">
        <v>1</v>
      </c>
      <c r="S25" s="45">
        <v>5</v>
      </c>
      <c r="T25" s="45">
        <v>1</v>
      </c>
      <c r="U25" s="45">
        <v>3</v>
      </c>
      <c r="V25" s="61"/>
    </row>
    <row r="26" spans="2:22" ht="15.75" thickTop="1" x14ac:dyDescent="0.25">
      <c r="N26" s="59"/>
      <c r="P26" s="57"/>
    </row>
  </sheetData>
  <sortState xmlns:xlrd2="http://schemas.microsoft.com/office/spreadsheetml/2017/richdata2" ref="K3:L25">
    <sortCondition descending="1" ref="L3:L25"/>
  </sortState>
  <mergeCells count="1"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topLeftCell="A4" zoomScale="90" zoomScaleNormal="90" workbookViewId="0">
      <selection activeCell="H19" sqref="H19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05" t="s">
        <v>77</v>
      </c>
      <c r="B1" s="106"/>
      <c r="C1" s="106"/>
      <c r="D1" s="106"/>
      <c r="E1" s="106"/>
      <c r="F1" s="106"/>
      <c r="G1" s="106"/>
      <c r="H1" s="106"/>
      <c r="I1" s="106"/>
      <c r="J1" s="106"/>
      <c r="K1" s="107"/>
    </row>
    <row r="2" spans="1:24" ht="16.5" thickTop="1" x14ac:dyDescent="0.25">
      <c r="A2" s="110" t="s">
        <v>1</v>
      </c>
      <c r="B2" s="103"/>
      <c r="C2" s="103"/>
      <c r="D2" s="103"/>
      <c r="E2" s="103"/>
      <c r="F2" s="47"/>
      <c r="G2" s="103" t="s">
        <v>73</v>
      </c>
      <c r="H2" s="103"/>
      <c r="I2" s="103"/>
      <c r="J2" s="103"/>
      <c r="K2" s="104"/>
      <c r="O2" s="108" t="s">
        <v>72</v>
      </c>
      <c r="P2" s="109"/>
      <c r="R2" s="126" t="s">
        <v>208</v>
      </c>
      <c r="S2" s="127"/>
      <c r="T2" s="128"/>
      <c r="V2" s="123" t="s">
        <v>209</v>
      </c>
      <c r="W2" s="124"/>
      <c r="X2" s="125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11">
        <v>50</v>
      </c>
      <c r="S3" s="112"/>
      <c r="T3" s="113"/>
      <c r="V3" s="129">
        <v>23</v>
      </c>
      <c r="W3" s="130"/>
      <c r="X3" s="131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11"/>
      <c r="S4" s="112"/>
      <c r="T4" s="113"/>
      <c r="V4" s="129"/>
      <c r="W4" s="130"/>
      <c r="X4" s="131"/>
    </row>
    <row r="5" spans="1:24" ht="18" customHeight="1" x14ac:dyDescent="0.25">
      <c r="A5" s="5" t="s">
        <v>46</v>
      </c>
      <c r="B5" s="7"/>
      <c r="C5" s="7" t="s">
        <v>70</v>
      </c>
      <c r="D5" s="7"/>
      <c r="E5" s="14" t="s">
        <v>65</v>
      </c>
      <c r="F5" s="48" t="s">
        <v>269</v>
      </c>
      <c r="G5" s="6" t="s">
        <v>59</v>
      </c>
      <c r="H5" s="7"/>
      <c r="I5" s="7" t="s">
        <v>70</v>
      </c>
      <c r="J5" s="7"/>
      <c r="K5" s="11" t="s">
        <v>233</v>
      </c>
      <c r="L5" s="46" t="s">
        <v>269</v>
      </c>
      <c r="O5" s="5" t="s">
        <v>40</v>
      </c>
      <c r="P5" s="11" t="s">
        <v>56</v>
      </c>
      <c r="R5" s="114"/>
      <c r="S5" s="115"/>
      <c r="T5" s="116"/>
      <c r="V5" s="132"/>
      <c r="W5" s="133"/>
      <c r="X5" s="134"/>
    </row>
    <row r="6" spans="1:24" x14ac:dyDescent="0.25">
      <c r="A6" s="5" t="s">
        <v>56</v>
      </c>
      <c r="B6" s="7"/>
      <c r="C6" s="7" t="s">
        <v>70</v>
      </c>
      <c r="D6" s="7"/>
      <c r="E6" s="14" t="s">
        <v>51</v>
      </c>
      <c r="F6" s="48" t="s">
        <v>269</v>
      </c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47" t="s">
        <v>212</v>
      </c>
      <c r="S7" s="148"/>
      <c r="T7" s="149"/>
      <c r="V7" s="123" t="s">
        <v>210</v>
      </c>
      <c r="W7" s="124"/>
      <c r="X7" s="125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11">
        <f>V16*0.5</f>
        <v>90</v>
      </c>
      <c r="S8" s="112"/>
      <c r="T8" s="113"/>
      <c r="V8" s="135">
        <v>10</v>
      </c>
      <c r="W8" s="136"/>
      <c r="X8" s="137"/>
    </row>
    <row r="9" spans="1:24" x14ac:dyDescent="0.25">
      <c r="A9" s="110" t="s">
        <v>5</v>
      </c>
      <c r="B9" s="103"/>
      <c r="C9" s="103"/>
      <c r="D9" s="103"/>
      <c r="E9" s="103"/>
      <c r="F9" s="48"/>
      <c r="G9" s="103" t="s">
        <v>74</v>
      </c>
      <c r="H9" s="103"/>
      <c r="I9" s="103"/>
      <c r="J9" s="103"/>
      <c r="K9" s="104"/>
      <c r="O9" s="5" t="s">
        <v>44</v>
      </c>
      <c r="P9" s="11" t="s">
        <v>60</v>
      </c>
      <c r="R9" s="114"/>
      <c r="S9" s="115"/>
      <c r="T9" s="116"/>
      <c r="V9" s="138"/>
      <c r="W9" s="139"/>
      <c r="X9" s="140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44" t="s">
        <v>213</v>
      </c>
      <c r="S11" s="145"/>
      <c r="T11" s="146"/>
      <c r="V11" s="123" t="s">
        <v>211</v>
      </c>
      <c r="W11" s="124"/>
      <c r="X11" s="125"/>
    </row>
    <row r="12" spans="1:24" ht="15.75" customHeight="1" x14ac:dyDescent="0.25">
      <c r="A12" s="5" t="s">
        <v>71</v>
      </c>
      <c r="B12" s="7"/>
      <c r="C12" s="7" t="s">
        <v>70</v>
      </c>
      <c r="D12" s="7"/>
      <c r="E12" s="14" t="s">
        <v>58</v>
      </c>
      <c r="F12" s="48" t="s">
        <v>269</v>
      </c>
      <c r="G12" s="6" t="s">
        <v>42</v>
      </c>
      <c r="H12" s="7"/>
      <c r="I12" s="7" t="s">
        <v>70</v>
      </c>
      <c r="J12" s="7"/>
      <c r="K12" s="11" t="s">
        <v>60</v>
      </c>
      <c r="L12" s="46" t="s">
        <v>269</v>
      </c>
      <c r="O12" s="5" t="s">
        <v>246</v>
      </c>
      <c r="P12" s="11" t="s">
        <v>63</v>
      </c>
      <c r="R12" s="111">
        <f>V16*0.3</f>
        <v>54</v>
      </c>
      <c r="S12" s="112"/>
      <c r="T12" s="113"/>
      <c r="V12" s="117">
        <f>V3*V8</f>
        <v>230</v>
      </c>
      <c r="W12" s="118"/>
      <c r="X12" s="119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4" t="s">
        <v>53</v>
      </c>
      <c r="F13" s="48" t="s">
        <v>269</v>
      </c>
      <c r="G13" s="6" t="s">
        <v>49</v>
      </c>
      <c r="H13" s="7"/>
      <c r="I13" s="7" t="s">
        <v>70</v>
      </c>
      <c r="J13" s="7"/>
      <c r="K13" s="11" t="s">
        <v>45</v>
      </c>
      <c r="L13" s="46" t="s">
        <v>269</v>
      </c>
      <c r="O13" s="5" t="s">
        <v>233</v>
      </c>
      <c r="P13" s="11" t="s">
        <v>64</v>
      </c>
      <c r="R13" s="114"/>
      <c r="S13" s="115"/>
      <c r="T13" s="116"/>
      <c r="V13" s="120"/>
      <c r="W13" s="121"/>
      <c r="X13" s="122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41" t="s">
        <v>214</v>
      </c>
      <c r="S15" s="142"/>
      <c r="T15" s="143"/>
      <c r="V15" s="123" t="s">
        <v>215</v>
      </c>
      <c r="W15" s="124"/>
      <c r="X15" s="125"/>
    </row>
    <row r="16" spans="1:24" ht="21" customHeight="1" x14ac:dyDescent="0.25">
      <c r="A16" s="110" t="s">
        <v>9</v>
      </c>
      <c r="B16" s="103"/>
      <c r="C16" s="103"/>
      <c r="D16" s="103"/>
      <c r="E16" s="103"/>
      <c r="F16" s="48"/>
      <c r="G16" s="103" t="s">
        <v>75</v>
      </c>
      <c r="H16" s="103"/>
      <c r="I16" s="103"/>
      <c r="J16" s="103"/>
      <c r="K16" s="104"/>
      <c r="O16" s="5" t="s">
        <v>51</v>
      </c>
      <c r="P16" s="11" t="s">
        <v>67</v>
      </c>
      <c r="R16" s="111">
        <f>V16*0.2</f>
        <v>36</v>
      </c>
      <c r="S16" s="112"/>
      <c r="T16" s="113"/>
      <c r="V16" s="117">
        <f>V12-R3</f>
        <v>180</v>
      </c>
      <c r="W16" s="118"/>
      <c r="X16" s="119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14"/>
      <c r="S17" s="115"/>
      <c r="T17" s="116"/>
      <c r="V17" s="120"/>
      <c r="W17" s="121"/>
      <c r="X17" s="122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/>
      <c r="I18" s="7" t="s">
        <v>70</v>
      </c>
      <c r="J18" s="7"/>
      <c r="K18" s="11" t="s">
        <v>66</v>
      </c>
      <c r="L18" s="46" t="s">
        <v>269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4" t="s">
        <v>232</v>
      </c>
      <c r="F19" s="48" t="s">
        <v>269</v>
      </c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/>
      <c r="C20" s="7" t="s">
        <v>70</v>
      </c>
      <c r="D20" s="7"/>
      <c r="E20" s="14" t="s">
        <v>61</v>
      </c>
      <c r="F20" s="48" t="s">
        <v>269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10" t="s">
        <v>13</v>
      </c>
      <c r="B23" s="103"/>
      <c r="C23" s="103"/>
      <c r="D23" s="103"/>
      <c r="E23" s="103"/>
      <c r="F23" s="48"/>
      <c r="G23" s="103" t="s">
        <v>76</v>
      </c>
      <c r="H23" s="103"/>
      <c r="I23" s="103"/>
      <c r="J23" s="103"/>
      <c r="K23" s="104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/>
      <c r="I24" s="7" t="s">
        <v>70</v>
      </c>
      <c r="J24" s="7"/>
      <c r="K24" s="11" t="s">
        <v>246</v>
      </c>
      <c r="L24" s="46" t="s">
        <v>269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/>
      <c r="I25" s="7" t="s">
        <v>70</v>
      </c>
      <c r="J25" s="7"/>
      <c r="K25" s="11" t="s">
        <v>55</v>
      </c>
      <c r="L25" s="46" t="s">
        <v>269</v>
      </c>
    </row>
    <row r="26" spans="1:24" x14ac:dyDescent="0.25">
      <c r="A26" s="5" t="s">
        <v>68</v>
      </c>
      <c r="B26" s="7"/>
      <c r="C26" s="7" t="s">
        <v>70</v>
      </c>
      <c r="D26" s="7"/>
      <c r="E26" s="14" t="s">
        <v>41</v>
      </c>
      <c r="F26" s="48" t="s">
        <v>269</v>
      </c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/>
      <c r="C27" s="7" t="s">
        <v>70</v>
      </c>
      <c r="D27" s="7"/>
      <c r="E27" s="14" t="s">
        <v>50</v>
      </c>
      <c r="F27" s="48" t="s">
        <v>269</v>
      </c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83" width="4.7109375" style="36" customWidth="1"/>
    <col min="84" max="16384" width="9.140625" style="36"/>
  </cols>
  <sheetData>
    <row r="1" spans="1:55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55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293</v>
      </c>
      <c r="X2" s="152"/>
      <c r="Y2" s="152"/>
      <c r="Z2" s="152"/>
      <c r="AA2" s="152"/>
      <c r="AB2" s="152"/>
      <c r="AC2" s="152"/>
      <c r="AD2" s="152"/>
    </row>
    <row r="3" spans="1:55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55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55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55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55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5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55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55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55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110</v>
      </c>
      <c r="R11" s="153"/>
      <c r="S11" s="153"/>
      <c r="T11" s="153"/>
      <c r="U11" s="153"/>
    </row>
    <row r="12" spans="1:55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55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55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  <c r="BC14" s="36">
        <v>5</v>
      </c>
    </row>
    <row r="15" spans="1:55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55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5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5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5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5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5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5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5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5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5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157"/>
      <c r="T25" s="157">
        <v>3</v>
      </c>
      <c r="U25" s="157">
        <v>6</v>
      </c>
      <c r="V25" s="157">
        <v>1</v>
      </c>
      <c r="W25" s="157">
        <v>3</v>
      </c>
    </row>
    <row r="26" spans="1:25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5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45"/>
      <c r="X27" s="45"/>
      <c r="Y27" s="45"/>
    </row>
    <row r="28" spans="1:25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5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5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5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5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19"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A1:E1"/>
    <mergeCell ref="K1:O1"/>
    <mergeCell ref="A8:E8"/>
    <mergeCell ref="A15:E15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5" width="5.7109375" style="36" customWidth="1"/>
    <col min="56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270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105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3</v>
      </c>
      <c r="U25" s="45">
        <v>5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19">
    <mergeCell ref="W2:AD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A50:E50"/>
    <mergeCell ref="K36:O36"/>
    <mergeCell ref="K43:O43"/>
    <mergeCell ref="K50:O50"/>
    <mergeCell ref="K29:O29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53" width="5.7109375" style="36" customWidth="1"/>
    <col min="54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294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5" t="s">
        <v>243</v>
      </c>
      <c r="B8" s="155"/>
      <c r="C8" s="155"/>
      <c r="D8" s="155"/>
      <c r="E8" s="155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135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5" t="s">
        <v>242</v>
      </c>
      <c r="B15" s="155"/>
      <c r="C15" s="155"/>
      <c r="D15" s="155"/>
      <c r="E15" s="155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5" t="s">
        <v>241</v>
      </c>
      <c r="B22" s="155"/>
      <c r="C22" s="155"/>
      <c r="D22" s="155"/>
      <c r="E22" s="155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3</v>
      </c>
      <c r="T25" s="45">
        <v>1</v>
      </c>
      <c r="U25" s="45">
        <v>3</v>
      </c>
      <c r="V25" s="45">
        <v>3</v>
      </c>
      <c r="W25" s="45">
        <v>3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5" t="s">
        <v>240</v>
      </c>
      <c r="B29" s="155"/>
      <c r="C29" s="155"/>
      <c r="D29" s="155"/>
      <c r="E29" s="155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5" t="s">
        <v>239</v>
      </c>
      <c r="B36" s="155"/>
      <c r="C36" s="155"/>
      <c r="D36" s="155"/>
      <c r="E36" s="155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5" t="s">
        <v>238</v>
      </c>
      <c r="B43" s="155"/>
      <c r="C43" s="155"/>
      <c r="D43" s="155"/>
      <c r="E43" s="155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5" t="s">
        <v>237</v>
      </c>
      <c r="B50" s="155"/>
      <c r="C50" s="155"/>
      <c r="D50" s="155"/>
      <c r="E50" s="155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19">
    <mergeCell ref="W2:AD6"/>
    <mergeCell ref="A36:E36"/>
    <mergeCell ref="A43:E43"/>
    <mergeCell ref="A50:E50"/>
    <mergeCell ref="K15:O15"/>
    <mergeCell ref="K22:O22"/>
    <mergeCell ref="K29:O29"/>
    <mergeCell ref="K36:O36"/>
    <mergeCell ref="K43:O43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272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5" t="s">
        <v>243</v>
      </c>
      <c r="B8" s="155"/>
      <c r="C8" s="155"/>
      <c r="D8" s="155"/>
      <c r="E8" s="155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85</v>
      </c>
      <c r="R11" s="153"/>
      <c r="S11" s="153"/>
      <c r="T11" s="153"/>
      <c r="U11" s="153"/>
    </row>
    <row r="12" spans="1:30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5" t="s">
        <v>242</v>
      </c>
      <c r="B15" s="155"/>
      <c r="C15" s="155"/>
      <c r="D15" s="155"/>
      <c r="E15" s="155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5" t="s">
        <v>241</v>
      </c>
      <c r="B22" s="155"/>
      <c r="C22" s="155"/>
      <c r="D22" s="155"/>
      <c r="E22" s="155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3</v>
      </c>
      <c r="V25" s="45"/>
      <c r="W25" s="45">
        <v>6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5" t="s">
        <v>240</v>
      </c>
      <c r="B29" s="155"/>
      <c r="C29" s="155"/>
      <c r="D29" s="155"/>
      <c r="E29" s="155"/>
      <c r="K29" s="151" t="s">
        <v>240</v>
      </c>
      <c r="L29" s="151"/>
      <c r="M29" s="151"/>
      <c r="N29" s="151"/>
      <c r="O29" s="151"/>
    </row>
    <row r="30" spans="1:23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5" t="s">
        <v>239</v>
      </c>
      <c r="B36" s="155"/>
      <c r="C36" s="155"/>
      <c r="D36" s="155"/>
      <c r="E36" s="155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5" t="s">
        <v>238</v>
      </c>
      <c r="B43" s="155"/>
      <c r="C43" s="155"/>
      <c r="D43" s="155"/>
      <c r="E43" s="155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5" t="s">
        <v>237</v>
      </c>
      <c r="B50" s="155"/>
      <c r="C50" s="155"/>
      <c r="D50" s="155"/>
      <c r="E50" s="155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20">
    <mergeCell ref="W2:AD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273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5" t="s">
        <v>243</v>
      </c>
      <c r="B8" s="155"/>
      <c r="C8" s="155"/>
      <c r="D8" s="155"/>
      <c r="E8" s="155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100</v>
      </c>
      <c r="R11" s="153"/>
      <c r="S11" s="153"/>
      <c r="T11" s="153"/>
      <c r="U11" s="153"/>
    </row>
    <row r="12" spans="1:30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5" t="s">
        <v>242</v>
      </c>
      <c r="B15" s="155"/>
      <c r="C15" s="155"/>
      <c r="D15" s="155"/>
      <c r="E15" s="155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5" t="s">
        <v>241</v>
      </c>
      <c r="B22" s="155"/>
      <c r="C22" s="155"/>
      <c r="D22" s="155"/>
      <c r="E22" s="155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2</v>
      </c>
      <c r="U25" s="45">
        <v>3</v>
      </c>
      <c r="V25" s="45">
        <v>3</v>
      </c>
      <c r="W25" s="45">
        <v>3</v>
      </c>
    </row>
    <row r="26" spans="1:23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5" t="s">
        <v>240</v>
      </c>
      <c r="B29" s="155"/>
      <c r="C29" s="155"/>
      <c r="D29" s="155"/>
      <c r="E29" s="155"/>
      <c r="K29" s="151" t="s">
        <v>240</v>
      </c>
      <c r="L29" s="151"/>
      <c r="M29" s="151"/>
      <c r="N29" s="151"/>
      <c r="O29" s="151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5" t="s">
        <v>239</v>
      </c>
      <c r="B36" s="155"/>
      <c r="C36" s="155"/>
      <c r="D36" s="155"/>
      <c r="E36" s="155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5" t="s">
        <v>238</v>
      </c>
      <c r="B43" s="155"/>
      <c r="C43" s="155"/>
      <c r="D43" s="155"/>
      <c r="E43" s="155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5" t="s">
        <v>237</v>
      </c>
      <c r="B50" s="155"/>
      <c r="C50" s="155"/>
      <c r="D50" s="155"/>
      <c r="E50" s="155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20">
    <mergeCell ref="W2:AD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275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115</v>
      </c>
      <c r="R11" s="153"/>
      <c r="S11" s="153"/>
      <c r="T11" s="153"/>
      <c r="U11" s="15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2</v>
      </c>
      <c r="V25" s="45">
        <v>3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19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60" width="5.7109375" style="36" customWidth="1"/>
    <col min="61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276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100</v>
      </c>
      <c r="R11" s="153"/>
      <c r="S11" s="153"/>
      <c r="T11" s="153"/>
      <c r="U11" s="153"/>
    </row>
    <row r="12" spans="1:30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2</v>
      </c>
      <c r="V25" s="45">
        <v>2</v>
      </c>
      <c r="W25" s="45">
        <v>5</v>
      </c>
    </row>
    <row r="26" spans="1:23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19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50" t="s">
        <v>236</v>
      </c>
      <c r="B1" s="150"/>
      <c r="C1" s="150"/>
      <c r="D1" s="150"/>
      <c r="E1" s="150"/>
      <c r="H1" s="35" t="s">
        <v>235</v>
      </c>
      <c r="K1" s="151" t="s">
        <v>236</v>
      </c>
      <c r="L1" s="151"/>
      <c r="M1" s="151"/>
      <c r="N1" s="151"/>
      <c r="O1" s="151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55</v>
      </c>
      <c r="R11" s="153"/>
      <c r="S11" s="153"/>
      <c r="T11" s="153"/>
      <c r="U11" s="153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21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0" width="5.7109375" style="36" customWidth="1"/>
    <col min="31" max="16384" width="9.140625" style="40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277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95</v>
      </c>
      <c r="R11" s="153"/>
      <c r="S11" s="153"/>
      <c r="T11" s="153"/>
      <c r="U11" s="153"/>
    </row>
    <row r="12" spans="1:30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2</v>
      </c>
      <c r="V25" s="45">
        <v>7</v>
      </c>
      <c r="W25" s="45">
        <v>2</v>
      </c>
    </row>
    <row r="26" spans="1:23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9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68" t="s">
        <v>141</v>
      </c>
      <c r="C1" s="68"/>
      <c r="D1" s="68"/>
      <c r="E1" s="69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D65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41" width="5.140625" style="36" customWidth="1"/>
    <col min="42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271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120</v>
      </c>
      <c r="R11" s="153"/>
      <c r="S11" s="153"/>
      <c r="T11" s="153"/>
      <c r="U11" s="153"/>
    </row>
    <row r="12" spans="1:30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ht="15" customHeight="1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4</v>
      </c>
      <c r="U25" s="45">
        <v>3</v>
      </c>
      <c r="V25" s="45">
        <v>1</v>
      </c>
      <c r="W25" s="45">
        <v>4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19"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D6"/>
    <mergeCell ref="A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286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115</v>
      </c>
      <c r="R11" s="153"/>
      <c r="S11" s="153"/>
      <c r="T11" s="153"/>
      <c r="U11" s="153"/>
    </row>
    <row r="12" spans="1:30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ht="15" customHeight="1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3</v>
      </c>
      <c r="V25" s="45">
        <v>1</v>
      </c>
      <c r="W25" s="45">
        <v>5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19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6" width="5.7109375" style="36" customWidth="1"/>
    <col min="37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278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105</v>
      </c>
      <c r="R11" s="153"/>
      <c r="S11" s="153"/>
      <c r="T11" s="153"/>
      <c r="U11" s="153"/>
    </row>
    <row r="12" spans="1:30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1</v>
      </c>
      <c r="W25" s="45">
        <v>5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19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296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130</v>
      </c>
      <c r="R11" s="153"/>
      <c r="S11" s="153"/>
      <c r="T11" s="153"/>
      <c r="U11" s="153"/>
    </row>
    <row r="12" spans="1:30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4</v>
      </c>
      <c r="U25" s="45">
        <v>1</v>
      </c>
      <c r="V25" s="45">
        <v>2</v>
      </c>
      <c r="W25" s="45">
        <v>4</v>
      </c>
    </row>
    <row r="26" spans="1:23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19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280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110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3</v>
      </c>
      <c r="V25" s="45">
        <v>2</v>
      </c>
      <c r="W25" s="45">
        <v>3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281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110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4</v>
      </c>
      <c r="U25" s="45">
        <v>4</v>
      </c>
      <c r="V25" s="45">
        <v>2</v>
      </c>
      <c r="W25" s="45">
        <v>2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3" width="5.7109375" style="36" customWidth="1"/>
    <col min="34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282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80</v>
      </c>
      <c r="R11" s="153"/>
      <c r="S11" s="153"/>
      <c r="T11" s="153"/>
      <c r="U11" s="153"/>
    </row>
    <row r="12" spans="1:30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4</v>
      </c>
      <c r="U25" s="45">
        <v>1</v>
      </c>
      <c r="V25" s="45">
        <v>2</v>
      </c>
      <c r="W25" s="45">
        <v>5</v>
      </c>
    </row>
    <row r="26" spans="1:23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2" width="5.7109375" style="36" customWidth="1"/>
    <col min="33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283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60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3</v>
      </c>
      <c r="V25" s="45">
        <v>3</v>
      </c>
      <c r="W25" s="45">
        <v>5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D64"/>
  <sheetViews>
    <sheetView topLeftCell="A19"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0" width="5.7109375" style="36" customWidth="1"/>
    <col min="41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284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60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/>
      <c r="T25" s="45">
        <v>1</v>
      </c>
      <c r="U25" s="45">
        <v>2</v>
      </c>
      <c r="V25" s="45">
        <v>5</v>
      </c>
      <c r="W25" s="45">
        <v>4</v>
      </c>
    </row>
    <row r="26" spans="1:23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4" width="5.7109375" style="36" customWidth="1"/>
    <col min="35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285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130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2</v>
      </c>
      <c r="T25" s="45">
        <v>2</v>
      </c>
      <c r="U25" s="45">
        <v>2</v>
      </c>
      <c r="V25" s="45">
        <v>6</v>
      </c>
      <c r="W25" s="45">
        <v>0</v>
      </c>
    </row>
    <row r="26" spans="1:23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20">
    <mergeCell ref="W2:AD6"/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8" width="5.7109375" style="36" customWidth="1"/>
    <col min="39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295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55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7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7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7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7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7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7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7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7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/>
      <c r="R24" s="41"/>
      <c r="S24" s="41">
        <v>25</v>
      </c>
      <c r="T24" s="41">
        <v>15</v>
      </c>
      <c r="U24" s="41">
        <v>10</v>
      </c>
      <c r="V24" s="41">
        <v>5</v>
      </c>
      <c r="W24" s="41">
        <v>0</v>
      </c>
      <c r="X24" s="41"/>
      <c r="Y24" s="41"/>
      <c r="Z24" s="41"/>
      <c r="AA24" s="41"/>
    </row>
    <row r="25" spans="1:27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Q25" s="41"/>
      <c r="R25" s="41"/>
      <c r="S25" s="45"/>
      <c r="T25" s="45">
        <v>1</v>
      </c>
      <c r="U25" s="45">
        <v>1</v>
      </c>
      <c r="V25" s="45">
        <v>6</v>
      </c>
      <c r="W25" s="45">
        <v>4</v>
      </c>
      <c r="X25" s="41"/>
      <c r="Y25" s="41"/>
      <c r="Z25" s="41"/>
      <c r="AA25" s="41"/>
    </row>
    <row r="26" spans="1:27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</row>
    <row r="31" spans="1:27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7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288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100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6</v>
      </c>
      <c r="V25" s="45"/>
      <c r="W25" s="45">
        <v>4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35" width="5.7109375" style="36" customWidth="1"/>
    <col min="36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289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85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/>
      <c r="U25" s="45">
        <v>4</v>
      </c>
      <c r="V25" s="45">
        <v>4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5" width="5.7109375" style="36" customWidth="1"/>
    <col min="46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290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105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3</v>
      </c>
      <c r="U25" s="45">
        <v>2</v>
      </c>
      <c r="V25" s="45">
        <v>3</v>
      </c>
      <c r="W25" s="45">
        <v>3</v>
      </c>
    </row>
    <row r="26" spans="1:23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20">
    <mergeCell ref="W2:AD6"/>
    <mergeCell ref="Q9:U10"/>
    <mergeCell ref="Q11:U15"/>
    <mergeCell ref="K15:O15"/>
    <mergeCell ref="K22:O22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D64"/>
  <sheetViews>
    <sheetView zoomScale="85" zoomScaleNormal="85" workbookViewId="0">
      <selection activeCell="S25" sqref="S25:W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42" width="5.7109375" style="36" customWidth="1"/>
    <col min="43" max="16384" width="9.140625" style="36"/>
  </cols>
  <sheetData>
    <row r="1" spans="1:30" x14ac:dyDescent="0.25">
      <c r="A1" s="150" t="s">
        <v>236</v>
      </c>
      <c r="B1" s="150"/>
      <c r="C1" s="150"/>
      <c r="D1" s="150"/>
      <c r="E1" s="150"/>
      <c r="K1" s="151" t="s">
        <v>236</v>
      </c>
      <c r="L1" s="151"/>
      <c r="M1" s="151"/>
      <c r="N1" s="151"/>
      <c r="O1" s="151"/>
    </row>
    <row r="2" spans="1:30" x14ac:dyDescent="0.25">
      <c r="A2" s="156" t="s">
        <v>192</v>
      </c>
      <c r="B2" s="156"/>
      <c r="C2" s="156"/>
      <c r="D2" s="156"/>
      <c r="E2" s="156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52" t="s">
        <v>291</v>
      </c>
      <c r="X2" s="152"/>
      <c r="Y2" s="152"/>
      <c r="Z2" s="152"/>
      <c r="AA2" s="152"/>
      <c r="AB2" s="152"/>
      <c r="AC2" s="152"/>
      <c r="AD2" s="152"/>
    </row>
    <row r="3" spans="1:30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52"/>
      <c r="X3" s="152"/>
      <c r="Y3" s="152"/>
      <c r="Z3" s="152"/>
      <c r="AA3" s="152"/>
      <c r="AB3" s="152"/>
      <c r="AC3" s="152"/>
      <c r="AD3" s="152"/>
    </row>
    <row r="4" spans="1:30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J4" s="36" t="str">
        <f>IF(Tabela!F5="","",Tabela!F5)</f>
        <v>N</v>
      </c>
      <c r="K4" s="37" t="str">
        <f>Tabela!A5</f>
        <v>Catar</v>
      </c>
      <c r="L4" s="35">
        <f>Tabela!B5</f>
        <v>0</v>
      </c>
      <c r="M4" s="35" t="str">
        <f>Tabela!C5</f>
        <v>x</v>
      </c>
      <c r="N4" s="35">
        <f>Tabela!D5</f>
        <v>0</v>
      </c>
      <c r="O4" s="39" t="str">
        <f>Tabela!E5</f>
        <v>Senegal</v>
      </c>
      <c r="W4" s="152"/>
      <c r="X4" s="152"/>
      <c r="Y4" s="152"/>
      <c r="Z4" s="152"/>
      <c r="AA4" s="152"/>
      <c r="AB4" s="152"/>
      <c r="AC4" s="152"/>
      <c r="AD4" s="152"/>
    </row>
    <row r="5" spans="1:30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J5" s="36" t="str">
        <f>IF(Tabela!F6="","",Tabela!F6)</f>
        <v>N</v>
      </c>
      <c r="K5" s="37" t="str">
        <f>Tabela!A6</f>
        <v>Holanda</v>
      </c>
      <c r="L5" s="35">
        <f>Tabela!B6</f>
        <v>0</v>
      </c>
      <c r="M5" s="35" t="str">
        <f>Tabela!C6</f>
        <v>x</v>
      </c>
      <c r="N5" s="35">
        <f>Tabela!D6</f>
        <v>0</v>
      </c>
      <c r="O5" s="39" t="str">
        <f>Tabela!E6</f>
        <v>Equador</v>
      </c>
      <c r="W5" s="152"/>
      <c r="X5" s="152"/>
      <c r="Y5" s="152"/>
      <c r="Z5" s="152"/>
      <c r="AA5" s="152"/>
      <c r="AB5" s="152"/>
      <c r="AC5" s="152"/>
      <c r="AD5" s="152"/>
    </row>
    <row r="6" spans="1:30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52"/>
      <c r="X6" s="152"/>
      <c r="Y6" s="152"/>
      <c r="Z6" s="152"/>
      <c r="AA6" s="152"/>
      <c r="AB6" s="152"/>
      <c r="AC6" s="152"/>
      <c r="AD6" s="152"/>
    </row>
    <row r="7" spans="1:30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0" x14ac:dyDescent="0.25">
      <c r="A8" s="150" t="s">
        <v>243</v>
      </c>
      <c r="B8" s="150"/>
      <c r="C8" s="150"/>
      <c r="D8" s="150"/>
      <c r="E8" s="150"/>
      <c r="J8" s="36" t="str">
        <f>IF(Tabela!F9="","",Tabela!F9)</f>
        <v/>
      </c>
      <c r="K8" s="151" t="s">
        <v>243</v>
      </c>
      <c r="L8" s="151"/>
      <c r="M8" s="151"/>
      <c r="N8" s="151"/>
      <c r="O8" s="151"/>
    </row>
    <row r="9" spans="1:30" x14ac:dyDescent="0.25">
      <c r="A9" s="156" t="s">
        <v>192</v>
      </c>
      <c r="B9" s="156"/>
      <c r="C9" s="156"/>
      <c r="D9" s="156"/>
      <c r="E9" s="156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54" t="s">
        <v>244</v>
      </c>
      <c r="R9" s="154"/>
      <c r="S9" s="154"/>
      <c r="T9" s="154"/>
      <c r="U9" s="154"/>
    </row>
    <row r="10" spans="1:30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54"/>
      <c r="R10" s="154"/>
      <c r="S10" s="154"/>
      <c r="T10" s="154"/>
      <c r="U10" s="154"/>
    </row>
    <row r="11" spans="1:30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J11" s="36" t="str">
        <f>IF(Tabela!F12="","",Tabela!F12)</f>
        <v>N</v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0</v>
      </c>
      <c r="O11" s="39" t="str">
        <f>Tabela!E12</f>
        <v>Irã</v>
      </c>
      <c r="Q11" s="153">
        <f>SUM(H2:H56)</f>
        <v>95</v>
      </c>
      <c r="R11" s="153"/>
      <c r="S11" s="153"/>
      <c r="T11" s="153"/>
      <c r="U11" s="153"/>
    </row>
    <row r="12" spans="1:30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J12" s="36" t="str">
        <f>IF(Tabela!F13="","",Tabela!F13)</f>
        <v>N</v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53"/>
      <c r="R12" s="153"/>
      <c r="S12" s="153"/>
      <c r="T12" s="153"/>
      <c r="U12" s="153"/>
    </row>
    <row r="13" spans="1:30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53"/>
      <c r="R13" s="153"/>
      <c r="S13" s="153"/>
      <c r="T13" s="153"/>
      <c r="U13" s="153"/>
    </row>
    <row r="14" spans="1:30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53"/>
      <c r="R14" s="153"/>
      <c r="S14" s="153"/>
      <c r="T14" s="153"/>
      <c r="U14" s="153"/>
    </row>
    <row r="15" spans="1:30" x14ac:dyDescent="0.25">
      <c r="A15" s="150" t="s">
        <v>242</v>
      </c>
      <c r="B15" s="150"/>
      <c r="C15" s="150"/>
      <c r="D15" s="150"/>
      <c r="E15" s="150"/>
      <c r="J15" s="36" t="str">
        <f>IF(Tabela!F16="","",Tabela!F16)</f>
        <v/>
      </c>
      <c r="K15" s="151" t="s">
        <v>242</v>
      </c>
      <c r="L15" s="151"/>
      <c r="M15" s="151"/>
      <c r="N15" s="151"/>
      <c r="O15" s="151"/>
      <c r="Q15" s="153"/>
      <c r="R15" s="153"/>
      <c r="S15" s="153"/>
      <c r="T15" s="153"/>
      <c r="U15" s="153"/>
    </row>
    <row r="16" spans="1:30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23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23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J18" s="36" t="str">
        <f>IF(Tabela!F19="","",Tabela!F19)</f>
        <v>N</v>
      </c>
      <c r="K18" s="37" t="str">
        <f>Tabela!A19</f>
        <v>Polônia</v>
      </c>
      <c r="L18" s="37">
        <f>Tabela!B19</f>
        <v>0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23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J19" s="36" t="str">
        <f>IF(Tabela!F20="","",Tabela!F20)</f>
        <v>N</v>
      </c>
      <c r="K19" s="37" t="str">
        <f>Tabela!A20</f>
        <v>Argentina</v>
      </c>
      <c r="L19" s="37">
        <f>Tabela!B20</f>
        <v>0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23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23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23" x14ac:dyDescent="0.25">
      <c r="A22" s="150" t="s">
        <v>241</v>
      </c>
      <c r="B22" s="150"/>
      <c r="C22" s="150"/>
      <c r="D22" s="150"/>
      <c r="E22" s="150"/>
      <c r="J22" s="36" t="str">
        <f>IF(Tabela!F23="","",Tabela!F23)</f>
        <v/>
      </c>
      <c r="K22" s="151" t="s">
        <v>241</v>
      </c>
      <c r="L22" s="151"/>
      <c r="M22" s="151"/>
      <c r="N22" s="151"/>
      <c r="O22" s="151"/>
    </row>
    <row r="23" spans="1:23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23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S24" s="36">
        <v>25</v>
      </c>
      <c r="T24" s="36">
        <v>15</v>
      </c>
      <c r="U24" s="36">
        <v>10</v>
      </c>
      <c r="V24" s="36">
        <v>5</v>
      </c>
      <c r="W24" s="36">
        <v>0</v>
      </c>
    </row>
    <row r="25" spans="1:23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J25" s="36" t="str">
        <f>IF(Tabela!F26="","",Tabela!F26)</f>
        <v>N</v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0</v>
      </c>
      <c r="O25" s="39" t="str">
        <f>Tabela!E26</f>
        <v>Austrália</v>
      </c>
      <c r="S25" s="45">
        <v>1</v>
      </c>
      <c r="T25" s="45">
        <v>1</v>
      </c>
      <c r="U25" s="45">
        <v>5</v>
      </c>
      <c r="V25" s="45">
        <v>1</v>
      </c>
      <c r="W25" s="45">
        <v>3</v>
      </c>
    </row>
    <row r="26" spans="1:23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J26" s="36" t="str">
        <f>IF(Tabela!F27="","",Tabela!F27)</f>
        <v>N</v>
      </c>
      <c r="K26" s="37" t="str">
        <f>Tabela!A27</f>
        <v>França</v>
      </c>
      <c r="L26" s="35">
        <f>Tabela!B27</f>
        <v>0</v>
      </c>
      <c r="M26" s="35" t="str">
        <f>Tabela!C27</f>
        <v>x</v>
      </c>
      <c r="N26" s="35">
        <f>Tabela!D27</f>
        <v>0</v>
      </c>
      <c r="O26" s="39" t="str">
        <f>Tabela!E27</f>
        <v>Dinamarca</v>
      </c>
    </row>
    <row r="27" spans="1:23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23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23" x14ac:dyDescent="0.25">
      <c r="A29" s="150" t="s">
        <v>240</v>
      </c>
      <c r="B29" s="150"/>
      <c r="C29" s="150"/>
      <c r="D29" s="150"/>
      <c r="E29" s="150"/>
      <c r="K29" s="151" t="s">
        <v>240</v>
      </c>
      <c r="L29" s="151"/>
      <c r="M29" s="151"/>
      <c r="N29" s="151"/>
      <c r="O29" s="151"/>
    </row>
    <row r="30" spans="1:23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23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23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J32" s="36" t="str">
        <f>IF(Tabela!L5="","",Tabela!L5)</f>
        <v>N</v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0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50" t="s">
        <v>239</v>
      </c>
      <c r="B36" s="150"/>
      <c r="C36" s="150"/>
      <c r="D36" s="150"/>
      <c r="E36" s="150"/>
      <c r="J36" s="36" t="str">
        <f>IF(Tabela!L9="","",Tabela!L9)</f>
        <v/>
      </c>
      <c r="K36" s="151" t="s">
        <v>239</v>
      </c>
      <c r="L36" s="151"/>
      <c r="M36" s="151"/>
      <c r="N36" s="151"/>
      <c r="O36" s="151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J39" s="36" t="str">
        <f>IF(Tabela!L12="","",Tabela!L12)</f>
        <v>N</v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0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50" t="s">
        <v>238</v>
      </c>
      <c r="B43" s="150"/>
      <c r="C43" s="150"/>
      <c r="D43" s="150"/>
      <c r="E43" s="150"/>
      <c r="J43" s="36" t="str">
        <f>IF(Tabela!L16="","",Tabela!L16)</f>
        <v/>
      </c>
      <c r="K43" s="151" t="s">
        <v>238</v>
      </c>
      <c r="L43" s="151"/>
      <c r="M43" s="151"/>
      <c r="N43" s="151"/>
      <c r="O43" s="151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J45" s="36" t="str">
        <f>IF(Tabela!L18="","",Tabela!L18)</f>
        <v>N</v>
      </c>
      <c r="K45" s="37" t="str">
        <f>Tabela!G18</f>
        <v>Brasil</v>
      </c>
      <c r="L45" s="35">
        <f>Tabela!H18</f>
        <v>0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50" t="s">
        <v>237</v>
      </c>
      <c r="B50" s="150"/>
      <c r="C50" s="150"/>
      <c r="D50" s="150"/>
      <c r="E50" s="150"/>
      <c r="J50" s="36" t="str">
        <f>IF(Tabela!L23="","",Tabela!L23)</f>
        <v/>
      </c>
      <c r="K50" s="151" t="s">
        <v>237</v>
      </c>
      <c r="L50" s="151"/>
      <c r="M50" s="151"/>
      <c r="N50" s="151"/>
      <c r="O50" s="151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J51" s="36" t="str">
        <f>IF(Tabela!L24="","",Tabela!L24)</f>
        <v>N</v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J52" s="36" t="str">
        <f>IF(Tabela!L25="","",Tabela!L25)</f>
        <v>N</v>
      </c>
      <c r="K52" s="37" t="str">
        <f>Tabela!G25</f>
        <v>Portugal</v>
      </c>
      <c r="L52" s="35">
        <f>Tabela!H25</f>
        <v>0</v>
      </c>
      <c r="M52" s="35" t="str">
        <f>Tabela!I25</f>
        <v>x</v>
      </c>
      <c r="N52" s="35">
        <f>Tabela!J25</f>
        <v>0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21">
    <mergeCell ref="A29:E29"/>
    <mergeCell ref="A36:E36"/>
    <mergeCell ref="W2:AD6"/>
    <mergeCell ref="Q11:U15"/>
    <mergeCell ref="Q9:U10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68" t="s">
        <v>104</v>
      </c>
      <c r="C1" s="68"/>
      <c r="D1" s="68"/>
      <c r="E1" s="69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67" t="str">
        <f>Tabela!A3</f>
        <v>Catar</v>
      </c>
      <c r="I2" s="67"/>
      <c r="J2" s="67"/>
      <c r="K2" s="67"/>
      <c r="L2" s="2">
        <f>Tabela!B3</f>
        <v>0</v>
      </c>
      <c r="M2" s="2" t="s">
        <v>70</v>
      </c>
      <c r="N2" s="2">
        <f>Tabela!D3</f>
        <v>2</v>
      </c>
      <c r="O2" s="67" t="str">
        <f>Tabela!E3</f>
        <v>Equador</v>
      </c>
      <c r="P2" s="67"/>
      <c r="Q2" s="67"/>
      <c r="R2" s="67"/>
      <c r="T2" s="67" t="str">
        <f>Tabela!G3</f>
        <v>Alemanha</v>
      </c>
      <c r="U2" s="67"/>
      <c r="V2" s="67"/>
      <c r="W2" s="67"/>
      <c r="X2">
        <f>Tabela!H3</f>
        <v>1</v>
      </c>
      <c r="Y2" s="2" t="s">
        <v>70</v>
      </c>
      <c r="Z2">
        <f>Tabela!J3</f>
        <v>2</v>
      </c>
      <c r="AA2" s="67" t="str">
        <f>Tabela!K3</f>
        <v>Japão</v>
      </c>
      <c r="AB2" s="67"/>
      <c r="AC2" s="67"/>
      <c r="AD2" s="67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67" t="str">
        <f>Tabela!A4</f>
        <v>Senegal</v>
      </c>
      <c r="I3" s="67"/>
      <c r="J3" s="67"/>
      <c r="K3" s="67"/>
      <c r="L3" s="2">
        <f>Tabela!B4</f>
        <v>0</v>
      </c>
      <c r="M3" s="2" t="s">
        <v>70</v>
      </c>
      <c r="N3" s="2">
        <f>Tabela!D4</f>
        <v>2</v>
      </c>
      <c r="O3" s="67" t="str">
        <f>Tabela!E4</f>
        <v>Holanda</v>
      </c>
      <c r="P3" s="67"/>
      <c r="Q3" s="67"/>
      <c r="R3" s="67"/>
      <c r="T3" s="67" t="str">
        <f>Tabela!G4</f>
        <v>Espanha</v>
      </c>
      <c r="U3" s="67"/>
      <c r="V3" s="67"/>
      <c r="W3" s="67"/>
      <c r="X3">
        <f>Tabela!H4</f>
        <v>7</v>
      </c>
      <c r="Y3" s="2" t="s">
        <v>70</v>
      </c>
      <c r="Z3">
        <f>Tabela!J4</f>
        <v>0</v>
      </c>
      <c r="AA3" s="67" t="str">
        <f>Tabela!K4</f>
        <v>CostaRica</v>
      </c>
      <c r="AB3" s="67"/>
      <c r="AC3" s="67"/>
      <c r="AD3" s="67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67" t="str">
        <f>Tabela!A5</f>
        <v>Catar</v>
      </c>
      <c r="I4" s="67"/>
      <c r="J4" s="67"/>
      <c r="K4" s="67"/>
      <c r="L4" s="2">
        <f>Tabela!B5</f>
        <v>0</v>
      </c>
      <c r="M4" s="2" t="s">
        <v>70</v>
      </c>
      <c r="N4" s="2">
        <f>Tabela!D5</f>
        <v>0</v>
      </c>
      <c r="O4" s="67" t="str">
        <f>Tabela!E5</f>
        <v>Senegal</v>
      </c>
      <c r="P4" s="67"/>
      <c r="Q4" s="67"/>
      <c r="R4" s="67"/>
      <c r="T4" s="67" t="str">
        <f>Tabela!G5</f>
        <v>Japão</v>
      </c>
      <c r="U4" s="67"/>
      <c r="V4" s="67"/>
      <c r="W4" s="67"/>
      <c r="X4">
        <f>Tabela!H5</f>
        <v>0</v>
      </c>
      <c r="Y4" s="2" t="s">
        <v>70</v>
      </c>
      <c r="Z4">
        <f>Tabela!J5</f>
        <v>0</v>
      </c>
      <c r="AA4" s="67" t="str">
        <f>Tabela!K5</f>
        <v>CostaRica</v>
      </c>
      <c r="AB4" s="67"/>
      <c r="AC4" s="67"/>
      <c r="AD4" s="67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67" t="str">
        <f>Tabela!A6</f>
        <v>Holanda</v>
      </c>
      <c r="I5" s="67"/>
      <c r="J5" s="67"/>
      <c r="K5" s="67"/>
      <c r="L5" s="2">
        <f>Tabela!B6</f>
        <v>0</v>
      </c>
      <c r="M5" s="2" t="s">
        <v>70</v>
      </c>
      <c r="N5" s="2">
        <f>Tabela!D6</f>
        <v>0</v>
      </c>
      <c r="O5" s="67" t="str">
        <f>Tabela!E6</f>
        <v>Equador</v>
      </c>
      <c r="P5" s="67"/>
      <c r="Q5" s="67"/>
      <c r="R5" s="67"/>
      <c r="T5" s="67" t="str">
        <f>Tabela!G6</f>
        <v>Espanha</v>
      </c>
      <c r="U5" s="67"/>
      <c r="V5" s="67"/>
      <c r="W5" s="67"/>
      <c r="X5">
        <f>Tabela!H6</f>
        <v>0</v>
      </c>
      <c r="Y5" s="2" t="s">
        <v>70</v>
      </c>
      <c r="Z5">
        <f>Tabela!J6</f>
        <v>0</v>
      </c>
      <c r="AA5" s="67" t="str">
        <f>Tabela!K6</f>
        <v>Alemanha</v>
      </c>
      <c r="AB5" s="67"/>
      <c r="AC5" s="67"/>
      <c r="AD5" s="67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67" t="str">
        <f>Tabela!A7</f>
        <v>Holanda</v>
      </c>
      <c r="I6" s="67"/>
      <c r="J6" s="67"/>
      <c r="K6" s="67"/>
      <c r="L6" s="2">
        <f>Tabela!B7</f>
        <v>0</v>
      </c>
      <c r="M6" s="2" t="s">
        <v>70</v>
      </c>
      <c r="N6" s="2">
        <f>Tabela!D7</f>
        <v>0</v>
      </c>
      <c r="O6" s="67" t="str">
        <f>Tabela!E7</f>
        <v>Catar</v>
      </c>
      <c r="P6" s="67"/>
      <c r="Q6" s="67"/>
      <c r="R6" s="67"/>
      <c r="T6" s="67" t="str">
        <f>Tabela!G7</f>
        <v>Japão</v>
      </c>
      <c r="U6" s="67"/>
      <c r="V6" s="67"/>
      <c r="W6" s="67"/>
      <c r="X6">
        <f>Tabela!H7</f>
        <v>0</v>
      </c>
      <c r="Y6" s="2" t="s">
        <v>70</v>
      </c>
      <c r="Z6">
        <f>Tabela!J7</f>
        <v>0</v>
      </c>
      <c r="AA6" s="67" t="str">
        <f>Tabela!K7</f>
        <v>Espanha</v>
      </c>
      <c r="AB6" s="67"/>
      <c r="AC6" s="67"/>
      <c r="AD6" s="67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67" t="str">
        <f>Tabela!A8</f>
        <v>Equador</v>
      </c>
      <c r="I7" s="67"/>
      <c r="J7" s="67"/>
      <c r="K7" s="67"/>
      <c r="L7" s="2">
        <f>Tabela!B8</f>
        <v>0</v>
      </c>
      <c r="M7" s="2" t="s">
        <v>70</v>
      </c>
      <c r="N7" s="2">
        <f>Tabela!D8</f>
        <v>0</v>
      </c>
      <c r="O7" s="67" t="str">
        <f>Tabela!E8</f>
        <v>Senegal</v>
      </c>
      <c r="P7" s="67"/>
      <c r="Q7" s="67"/>
      <c r="R7" s="67"/>
      <c r="T7" s="67" t="str">
        <f>Tabela!G8</f>
        <v>CostaRica</v>
      </c>
      <c r="U7" s="67"/>
      <c r="V7" s="67"/>
      <c r="W7" s="67"/>
      <c r="X7">
        <f>Tabela!H8</f>
        <v>0</v>
      </c>
      <c r="Y7" s="2" t="s">
        <v>70</v>
      </c>
      <c r="Z7">
        <f>Tabela!J8</f>
        <v>0</v>
      </c>
      <c r="AA7" s="67" t="str">
        <f>Tabela!K8</f>
        <v>Alemanha</v>
      </c>
      <c r="AB7" s="67"/>
      <c r="AC7" s="67"/>
      <c r="AD7" s="67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67" t="str">
        <f>Tabela!A9</f>
        <v>Grupo B</v>
      </c>
      <c r="I8" s="67"/>
      <c r="J8" s="67"/>
      <c r="K8" s="67"/>
      <c r="L8" s="2">
        <f>Tabela!B9</f>
        <v>0</v>
      </c>
      <c r="M8" s="2" t="s">
        <v>70</v>
      </c>
      <c r="N8" s="2">
        <f>Tabela!D9</f>
        <v>0</v>
      </c>
      <c r="O8" s="67">
        <f>Tabela!E9</f>
        <v>0</v>
      </c>
      <c r="P8" s="67"/>
      <c r="Q8" s="67"/>
      <c r="R8" s="67"/>
      <c r="T8" s="67" t="str">
        <f>Tabela!G9</f>
        <v>Grupo F</v>
      </c>
      <c r="U8" s="67"/>
      <c r="V8" s="67"/>
      <c r="W8" s="67"/>
      <c r="X8">
        <f>Tabela!H9</f>
        <v>0</v>
      </c>
      <c r="Y8" s="2" t="s">
        <v>70</v>
      </c>
      <c r="Z8">
        <f>Tabela!J9</f>
        <v>0</v>
      </c>
      <c r="AA8" s="67">
        <f>Tabela!K9</f>
        <v>0</v>
      </c>
      <c r="AB8" s="67"/>
      <c r="AC8" s="67"/>
      <c r="AD8" s="67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67" t="str">
        <f>Tabela!A10</f>
        <v>Inglaterra</v>
      </c>
      <c r="I9" s="67"/>
      <c r="J9" s="67"/>
      <c r="K9" s="67"/>
      <c r="L9" s="2">
        <f>Tabela!B10</f>
        <v>6</v>
      </c>
      <c r="M9" s="2" t="s">
        <v>70</v>
      </c>
      <c r="N9" s="2">
        <f>Tabela!D10</f>
        <v>2</v>
      </c>
      <c r="O9" s="67" t="str">
        <f>Tabela!E10</f>
        <v>Irã</v>
      </c>
      <c r="P9" s="67"/>
      <c r="Q9" s="67"/>
      <c r="R9" s="67"/>
      <c r="T9" s="67" t="str">
        <f>Tabela!G10</f>
        <v>Marrocos</v>
      </c>
      <c r="U9" s="67"/>
      <c r="V9" s="67"/>
      <c r="W9" s="67"/>
      <c r="X9">
        <f>Tabela!H10</f>
        <v>0</v>
      </c>
      <c r="Y9" s="2" t="s">
        <v>70</v>
      </c>
      <c r="Z9">
        <f>Tabela!J10</f>
        <v>0</v>
      </c>
      <c r="AA9" s="67" t="str">
        <f>Tabela!K10</f>
        <v>Croácia</v>
      </c>
      <c r="AB9" s="67"/>
      <c r="AC9" s="67"/>
      <c r="AD9" s="67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67" t="str">
        <f>Tabela!A11</f>
        <v>Estados Unidos</v>
      </c>
      <c r="I10" s="67"/>
      <c r="J10" s="67"/>
      <c r="K10" s="67"/>
      <c r="L10" s="2">
        <f>Tabela!B11</f>
        <v>1</v>
      </c>
      <c r="M10" s="2" t="s">
        <v>70</v>
      </c>
      <c r="N10" s="2">
        <f>Tabela!D11</f>
        <v>1</v>
      </c>
      <c r="O10" s="67" t="str">
        <f>Tabela!E11</f>
        <v>Gales</v>
      </c>
      <c r="P10" s="67"/>
      <c r="Q10" s="67"/>
      <c r="R10" s="67"/>
      <c r="T10" s="67" t="str">
        <f>Tabela!G11</f>
        <v>Bélgica</v>
      </c>
      <c r="U10" s="67"/>
      <c r="V10" s="67"/>
      <c r="W10" s="67"/>
      <c r="X10">
        <f>Tabela!H11</f>
        <v>1</v>
      </c>
      <c r="Y10" s="2" t="s">
        <v>70</v>
      </c>
      <c r="Z10">
        <f>Tabela!J11</f>
        <v>0</v>
      </c>
      <c r="AA10" s="67" t="str">
        <f>Tabela!K11</f>
        <v>Canadá</v>
      </c>
      <c r="AB10" s="67"/>
      <c r="AC10" s="67"/>
      <c r="AD10" s="67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67" t="str">
        <f>Tabela!A12</f>
        <v>Gales</v>
      </c>
      <c r="I11" s="67"/>
      <c r="J11" s="67"/>
      <c r="K11" s="67"/>
      <c r="L11" s="2">
        <f>Tabela!B12</f>
        <v>0</v>
      </c>
      <c r="M11" s="2" t="s">
        <v>70</v>
      </c>
      <c r="N11" s="2">
        <f>Tabela!D12</f>
        <v>0</v>
      </c>
      <c r="O11" s="67" t="str">
        <f>Tabela!E12</f>
        <v>Irã</v>
      </c>
      <c r="P11" s="67"/>
      <c r="Q11" s="67"/>
      <c r="R11" s="67"/>
      <c r="T11" s="67" t="str">
        <f>Tabela!G12</f>
        <v>Bélgica</v>
      </c>
      <c r="U11" s="67"/>
      <c r="V11" s="67"/>
      <c r="W11" s="67"/>
      <c r="X11">
        <f>Tabela!H12</f>
        <v>0</v>
      </c>
      <c r="Y11" s="2" t="s">
        <v>70</v>
      </c>
      <c r="Z11">
        <f>Tabela!J12</f>
        <v>0</v>
      </c>
      <c r="AA11" s="67" t="str">
        <f>Tabela!K12</f>
        <v>Marrocos</v>
      </c>
      <c r="AB11" s="67"/>
      <c r="AC11" s="67"/>
      <c r="AD11" s="67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67" t="str">
        <f>Tabela!A13</f>
        <v>Inglaterra</v>
      </c>
      <c r="I12" s="67"/>
      <c r="J12" s="67"/>
      <c r="K12" s="67"/>
      <c r="L12" s="2">
        <f>Tabela!B13</f>
        <v>0</v>
      </c>
      <c r="M12" s="2" t="s">
        <v>70</v>
      </c>
      <c r="N12" s="2">
        <f>Tabela!D13</f>
        <v>0</v>
      </c>
      <c r="O12" s="67" t="str">
        <f>Tabela!E13</f>
        <v>Estados Unidos</v>
      </c>
      <c r="P12" s="67"/>
      <c r="Q12" s="67"/>
      <c r="R12" s="67"/>
      <c r="T12" s="67" t="str">
        <f>Tabela!G13</f>
        <v>Croácia</v>
      </c>
      <c r="U12" s="67"/>
      <c r="V12" s="67"/>
      <c r="W12" s="67"/>
      <c r="X12">
        <f>Tabela!H13</f>
        <v>0</v>
      </c>
      <c r="Y12" s="2" t="s">
        <v>70</v>
      </c>
      <c r="Z12">
        <f>Tabela!J13</f>
        <v>0</v>
      </c>
      <c r="AA12" s="67" t="str">
        <f>Tabela!K13</f>
        <v>Canadá</v>
      </c>
      <c r="AB12" s="67"/>
      <c r="AC12" s="67"/>
      <c r="AD12" s="67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67" t="str">
        <f>Tabela!A14</f>
        <v>Irã</v>
      </c>
      <c r="I13" s="67"/>
      <c r="J13" s="67"/>
      <c r="K13" s="67"/>
      <c r="L13" s="2">
        <f>Tabela!B14</f>
        <v>0</v>
      </c>
      <c r="M13" s="2" t="s">
        <v>70</v>
      </c>
      <c r="N13" s="2">
        <f>Tabela!D14</f>
        <v>0</v>
      </c>
      <c r="O13" s="67" t="str">
        <f>Tabela!E14</f>
        <v>Estados Unidos</v>
      </c>
      <c r="P13" s="67"/>
      <c r="Q13" s="67"/>
      <c r="R13" s="67"/>
      <c r="T13" s="67" t="str">
        <f>Tabela!G14</f>
        <v>Croácia</v>
      </c>
      <c r="U13" s="67"/>
      <c r="V13" s="67"/>
      <c r="W13" s="67"/>
      <c r="X13">
        <f>Tabela!H14</f>
        <v>0</v>
      </c>
      <c r="Y13" s="2" t="s">
        <v>70</v>
      </c>
      <c r="Z13">
        <f>Tabela!J14</f>
        <v>0</v>
      </c>
      <c r="AA13" s="67" t="str">
        <f>Tabela!K14</f>
        <v>Bélgica</v>
      </c>
      <c r="AB13" s="67"/>
      <c r="AC13" s="67"/>
      <c r="AD13" s="67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67" t="str">
        <f>Tabela!A15</f>
        <v>Gales</v>
      </c>
      <c r="I14" s="67"/>
      <c r="J14" s="67"/>
      <c r="K14" s="67"/>
      <c r="L14" s="2">
        <f>Tabela!B15</f>
        <v>0</v>
      </c>
      <c r="M14" s="2" t="s">
        <v>70</v>
      </c>
      <c r="N14" s="2">
        <f>Tabela!D15</f>
        <v>0</v>
      </c>
      <c r="O14" s="67" t="str">
        <f>Tabela!E15</f>
        <v>Inglaterra</v>
      </c>
      <c r="P14" s="67"/>
      <c r="Q14" s="67"/>
      <c r="R14" s="67"/>
      <c r="T14" s="67" t="str">
        <f>Tabela!G15</f>
        <v>Canadá</v>
      </c>
      <c r="U14" s="67"/>
      <c r="V14" s="67"/>
      <c r="W14" s="67"/>
      <c r="X14">
        <f>Tabela!H15</f>
        <v>0</v>
      </c>
      <c r="Y14" s="2" t="s">
        <v>70</v>
      </c>
      <c r="Z14">
        <f>Tabela!J15</f>
        <v>0</v>
      </c>
      <c r="AA14" s="67" t="str">
        <f>Tabela!K15</f>
        <v>Marrocos</v>
      </c>
      <c r="AB14" s="67"/>
      <c r="AC14" s="67"/>
      <c r="AD14" s="67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67" t="str">
        <f>Tabela!A16</f>
        <v>Grupo C</v>
      </c>
      <c r="I15" s="67"/>
      <c r="J15" s="67"/>
      <c r="K15" s="67"/>
      <c r="L15" s="2">
        <f>Tabela!B16</f>
        <v>0</v>
      </c>
      <c r="M15" s="2" t="s">
        <v>70</v>
      </c>
      <c r="N15" s="2">
        <f>Tabela!D16</f>
        <v>0</v>
      </c>
      <c r="O15" s="67">
        <f>Tabela!E16</f>
        <v>0</v>
      </c>
      <c r="P15" s="67"/>
      <c r="Q15" s="67"/>
      <c r="R15" s="67"/>
      <c r="T15" s="67" t="str">
        <f>Tabela!G16</f>
        <v>Grupo G</v>
      </c>
      <c r="U15" s="67"/>
      <c r="V15" s="67"/>
      <c r="W15" s="67"/>
      <c r="X15">
        <f>Tabela!H16</f>
        <v>0</v>
      </c>
      <c r="Y15" s="2" t="s">
        <v>70</v>
      </c>
      <c r="Z15">
        <f>Tabela!J16</f>
        <v>0</v>
      </c>
      <c r="AA15" s="67">
        <f>Tabela!K16</f>
        <v>0</v>
      </c>
      <c r="AB15" s="67"/>
      <c r="AC15" s="67"/>
      <c r="AD15" s="67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67" t="str">
        <f>Tabela!A17</f>
        <v>Argentina</v>
      </c>
      <c r="I16" s="67"/>
      <c r="J16" s="67"/>
      <c r="K16" s="67"/>
      <c r="L16" s="2">
        <f>Tabela!B17</f>
        <v>1</v>
      </c>
      <c r="M16" s="2" t="s">
        <v>70</v>
      </c>
      <c r="N16" s="2">
        <f>Tabela!D17</f>
        <v>2</v>
      </c>
      <c r="O16" s="67" t="str">
        <f>Tabela!E17</f>
        <v>ArábiaSaudita</v>
      </c>
      <c r="P16" s="67"/>
      <c r="Q16" s="67"/>
      <c r="R16" s="67"/>
      <c r="T16" s="67" t="str">
        <f>Tabela!G17</f>
        <v>Suíça</v>
      </c>
      <c r="U16" s="67"/>
      <c r="V16" s="67"/>
      <c r="W16" s="67"/>
      <c r="X16">
        <f>Tabela!H17</f>
        <v>1</v>
      </c>
      <c r="Y16" s="2" t="s">
        <v>70</v>
      </c>
      <c r="Z16">
        <f>Tabela!J17</f>
        <v>0</v>
      </c>
      <c r="AA16" s="67" t="str">
        <f>Tabela!K17</f>
        <v>Camarões</v>
      </c>
      <c r="AB16" s="67"/>
      <c r="AC16" s="67"/>
      <c r="AD16" s="67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67" t="str">
        <f>Tabela!A18</f>
        <v>México</v>
      </c>
      <c r="I17" s="67"/>
      <c r="J17" s="67"/>
      <c r="K17" s="67"/>
      <c r="L17" s="2">
        <f>Tabela!B18</f>
        <v>0</v>
      </c>
      <c r="M17" s="2" t="s">
        <v>70</v>
      </c>
      <c r="N17" s="2">
        <f>Tabela!D18</f>
        <v>0</v>
      </c>
      <c r="O17" s="67" t="str">
        <f>Tabela!E18</f>
        <v>Polônia</v>
      </c>
      <c r="P17" s="67"/>
      <c r="Q17" s="67"/>
      <c r="R17" s="67"/>
      <c r="T17" s="67" t="str">
        <f>Tabela!G18</f>
        <v>Brasil</v>
      </c>
      <c r="U17" s="67"/>
      <c r="V17" s="67"/>
      <c r="W17" s="67"/>
      <c r="X17">
        <f>Tabela!H18</f>
        <v>0</v>
      </c>
      <c r="Y17" s="2" t="s">
        <v>70</v>
      </c>
      <c r="Z17">
        <f>Tabela!J18</f>
        <v>0</v>
      </c>
      <c r="AA17" s="67" t="str">
        <f>Tabela!K18</f>
        <v>Sérvia</v>
      </c>
      <c r="AB17" s="67"/>
      <c r="AC17" s="67"/>
      <c r="AD17" s="67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67" t="str">
        <f>Tabela!A19</f>
        <v>Polônia</v>
      </c>
      <c r="I18" s="67"/>
      <c r="J18" s="67"/>
      <c r="K18" s="67"/>
      <c r="L18" s="2">
        <f>Tabela!B19</f>
        <v>0</v>
      </c>
      <c r="M18" s="2" t="s">
        <v>70</v>
      </c>
      <c r="N18" s="2">
        <f>Tabela!D19</f>
        <v>0</v>
      </c>
      <c r="O18" s="67" t="str">
        <f>Tabela!E19</f>
        <v>ArábiaSaudita</v>
      </c>
      <c r="P18" s="67"/>
      <c r="Q18" s="67"/>
      <c r="R18" s="67"/>
      <c r="T18" s="67" t="str">
        <f>Tabela!G19</f>
        <v>Camarões</v>
      </c>
      <c r="U18" s="67"/>
      <c r="V18" s="67"/>
      <c r="W18" s="67"/>
      <c r="X18">
        <f>Tabela!H19</f>
        <v>0</v>
      </c>
      <c r="Y18" s="2" t="s">
        <v>70</v>
      </c>
      <c r="Z18">
        <f>Tabela!J19</f>
        <v>0</v>
      </c>
      <c r="AA18" s="67" t="str">
        <f>Tabela!K19</f>
        <v>Sérvia</v>
      </c>
      <c r="AB18" s="67"/>
      <c r="AC18" s="67"/>
      <c r="AD18" s="67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67" t="str">
        <f>Tabela!A20</f>
        <v>Argentina</v>
      </c>
      <c r="I19" s="67"/>
      <c r="J19" s="67"/>
      <c r="K19" s="67"/>
      <c r="L19" s="2">
        <f>Tabela!B20</f>
        <v>0</v>
      </c>
      <c r="M19" s="2" t="s">
        <v>70</v>
      </c>
      <c r="N19" s="2">
        <f>Tabela!D20</f>
        <v>0</v>
      </c>
      <c r="O19" s="67" t="str">
        <f>Tabela!E20</f>
        <v>México</v>
      </c>
      <c r="P19" s="67"/>
      <c r="Q19" s="67"/>
      <c r="R19" s="67"/>
      <c r="T19" s="67" t="str">
        <f>Tabela!G20</f>
        <v>Brasil</v>
      </c>
      <c r="U19" s="67"/>
      <c r="V19" s="67"/>
      <c r="W19" s="67"/>
      <c r="X19">
        <f>Tabela!H20</f>
        <v>0</v>
      </c>
      <c r="Y19" s="2" t="s">
        <v>70</v>
      </c>
      <c r="Z19">
        <f>Tabela!J20</f>
        <v>0</v>
      </c>
      <c r="AA19" s="67" t="str">
        <f>Tabela!K20</f>
        <v>Suíça</v>
      </c>
      <c r="AB19" s="67"/>
      <c r="AC19" s="67"/>
      <c r="AD19" s="67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67" t="str">
        <f>Tabela!A21</f>
        <v>Polônia</v>
      </c>
      <c r="I20" s="67"/>
      <c r="J20" s="67"/>
      <c r="K20" s="67"/>
      <c r="L20" s="2">
        <f>Tabela!B21</f>
        <v>0</v>
      </c>
      <c r="M20" s="2" t="s">
        <v>70</v>
      </c>
      <c r="N20" s="2">
        <f>Tabela!D21</f>
        <v>0</v>
      </c>
      <c r="O20" s="67" t="str">
        <f>Tabela!E21</f>
        <v>Argentina</v>
      </c>
      <c r="P20" s="67"/>
      <c r="Q20" s="67"/>
      <c r="R20" s="67"/>
      <c r="T20" s="67" t="str">
        <f>Tabela!G21</f>
        <v>Camarões</v>
      </c>
      <c r="U20" s="67"/>
      <c r="V20" s="67"/>
      <c r="W20" s="67"/>
      <c r="X20">
        <f>Tabela!H21</f>
        <v>0</v>
      </c>
      <c r="Y20" s="2" t="s">
        <v>70</v>
      </c>
      <c r="Z20">
        <f>Tabela!J21</f>
        <v>0</v>
      </c>
      <c r="AA20" s="67" t="str">
        <f>Tabela!K21</f>
        <v>Brasil</v>
      </c>
      <c r="AB20" s="67"/>
      <c r="AC20" s="67"/>
      <c r="AD20" s="67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67" t="str">
        <f>Tabela!A22</f>
        <v>ArábiaSaudita</v>
      </c>
      <c r="I21" s="67"/>
      <c r="J21" s="67"/>
      <c r="K21" s="67"/>
      <c r="L21" s="2">
        <f>Tabela!B22</f>
        <v>0</v>
      </c>
      <c r="M21" s="2" t="s">
        <v>70</v>
      </c>
      <c r="N21" s="2">
        <f>Tabela!D22</f>
        <v>0</v>
      </c>
      <c r="O21" s="67" t="str">
        <f>Tabela!E22</f>
        <v>México</v>
      </c>
      <c r="P21" s="67"/>
      <c r="Q21" s="67"/>
      <c r="R21" s="67"/>
      <c r="T21" s="67" t="str">
        <f>Tabela!G22</f>
        <v>Sérvia</v>
      </c>
      <c r="U21" s="67"/>
      <c r="V21" s="67"/>
      <c r="W21" s="67"/>
      <c r="X21">
        <f>Tabela!H22</f>
        <v>0</v>
      </c>
      <c r="Y21" s="2" t="s">
        <v>70</v>
      </c>
      <c r="Z21">
        <f>Tabela!J22</f>
        <v>0</v>
      </c>
      <c r="AA21" s="67" t="str">
        <f>Tabela!K22</f>
        <v>Suíça</v>
      </c>
      <c r="AB21" s="67"/>
      <c r="AC21" s="67"/>
      <c r="AD21" s="67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67" t="str">
        <f>Tabela!A23</f>
        <v>Grupo D</v>
      </c>
      <c r="I22" s="67"/>
      <c r="J22" s="67"/>
      <c r="K22" s="67"/>
      <c r="L22" s="2">
        <f>Tabela!B23</f>
        <v>0</v>
      </c>
      <c r="M22" s="2" t="s">
        <v>70</v>
      </c>
      <c r="N22" s="2">
        <f>Tabela!D23</f>
        <v>0</v>
      </c>
      <c r="O22" s="67">
        <f>Tabela!E23</f>
        <v>0</v>
      </c>
      <c r="P22" s="67"/>
      <c r="Q22" s="67"/>
      <c r="R22" s="67"/>
      <c r="T22" s="67" t="str">
        <f>Tabela!G23</f>
        <v>Grupo H</v>
      </c>
      <c r="U22" s="67"/>
      <c r="V22" s="67"/>
      <c r="W22" s="67"/>
      <c r="X22">
        <f>Tabela!H23</f>
        <v>0</v>
      </c>
      <c r="Y22" s="2" t="s">
        <v>70</v>
      </c>
      <c r="Z22">
        <f>Tabela!J23</f>
        <v>0</v>
      </c>
      <c r="AA22" s="67">
        <f>Tabela!K23</f>
        <v>0</v>
      </c>
      <c r="AB22" s="67"/>
      <c r="AC22" s="67"/>
      <c r="AD22" s="67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67" t="str">
        <f>Tabela!A24</f>
        <v>Dinamarca</v>
      </c>
      <c r="I23" s="67"/>
      <c r="J23" s="67"/>
      <c r="K23" s="67"/>
      <c r="L23" s="2">
        <f>Tabela!B24</f>
        <v>0</v>
      </c>
      <c r="M23" s="2" t="s">
        <v>70</v>
      </c>
      <c r="N23" s="2">
        <f>Tabela!D24</f>
        <v>0</v>
      </c>
      <c r="O23" s="67" t="str">
        <f>Tabela!E24</f>
        <v>Tunísia</v>
      </c>
      <c r="P23" s="67"/>
      <c r="Q23" s="67"/>
      <c r="R23" s="67"/>
      <c r="T23" s="67" t="str">
        <f>Tabela!G24</f>
        <v>Uruguai</v>
      </c>
      <c r="U23" s="67"/>
      <c r="V23" s="67"/>
      <c r="W23" s="67"/>
      <c r="X23">
        <f>Tabela!H24</f>
        <v>0</v>
      </c>
      <c r="Y23" s="2" t="s">
        <v>70</v>
      </c>
      <c r="Z23">
        <f>Tabela!J24</f>
        <v>0</v>
      </c>
      <c r="AA23" s="67" t="str">
        <f>Tabela!K24</f>
        <v>CoreiaDoSul</v>
      </c>
      <c r="AB23" s="67"/>
      <c r="AC23" s="67"/>
      <c r="AD23" s="67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67" t="str">
        <f>Tabela!A25</f>
        <v>França</v>
      </c>
      <c r="I24" s="67"/>
      <c r="J24" s="67"/>
      <c r="K24" s="67"/>
      <c r="L24" s="2">
        <f>Tabela!B25</f>
        <v>4</v>
      </c>
      <c r="M24" s="2" t="s">
        <v>70</v>
      </c>
      <c r="N24" s="2">
        <f>Tabela!D25</f>
        <v>1</v>
      </c>
      <c r="O24" s="67" t="str">
        <f>Tabela!E25</f>
        <v>Austrália</v>
      </c>
      <c r="P24" s="67"/>
      <c r="Q24" s="67"/>
      <c r="R24" s="67"/>
      <c r="T24" s="67" t="str">
        <f>Tabela!G25</f>
        <v>Portugal</v>
      </c>
      <c r="U24" s="67"/>
      <c r="V24" s="67"/>
      <c r="W24" s="67"/>
      <c r="X24">
        <f>Tabela!H25</f>
        <v>0</v>
      </c>
      <c r="Y24" s="2" t="s">
        <v>70</v>
      </c>
      <c r="Z24">
        <f>Tabela!J25</f>
        <v>0</v>
      </c>
      <c r="AA24" s="67" t="str">
        <f>Tabela!K25</f>
        <v>Gana</v>
      </c>
      <c r="AB24" s="67"/>
      <c r="AC24" s="67"/>
      <c r="AD24" s="67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67" t="str">
        <f>Tabela!A26</f>
        <v>Tunísia</v>
      </c>
      <c r="I25" s="67"/>
      <c r="J25" s="67"/>
      <c r="K25" s="67"/>
      <c r="L25" s="2">
        <f>Tabela!B26</f>
        <v>0</v>
      </c>
      <c r="M25" s="2" t="s">
        <v>70</v>
      </c>
      <c r="N25" s="2">
        <f>Tabela!D26</f>
        <v>0</v>
      </c>
      <c r="O25" s="67" t="str">
        <f>Tabela!E26</f>
        <v>Austrália</v>
      </c>
      <c r="P25" s="67"/>
      <c r="Q25" s="67"/>
      <c r="R25" s="67"/>
      <c r="T25" s="67" t="str">
        <f>Tabela!G26</f>
        <v>CoreiaDoSul</v>
      </c>
      <c r="U25" s="67"/>
      <c r="V25" s="67"/>
      <c r="W25" s="67"/>
      <c r="X25">
        <f>Tabela!H26</f>
        <v>0</v>
      </c>
      <c r="Y25" s="2" t="s">
        <v>70</v>
      </c>
      <c r="Z25">
        <f>Tabela!J26</f>
        <v>0</v>
      </c>
      <c r="AA25" s="67" t="str">
        <f>Tabela!K26</f>
        <v>Gana</v>
      </c>
      <c r="AB25" s="67"/>
      <c r="AC25" s="67"/>
      <c r="AD25" s="67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67" t="str">
        <f>Tabela!A27</f>
        <v>França</v>
      </c>
      <c r="I26" s="67"/>
      <c r="J26" s="67"/>
      <c r="K26" s="67"/>
      <c r="L26" s="2">
        <f>Tabela!B27</f>
        <v>0</v>
      </c>
      <c r="M26" s="2" t="s">
        <v>70</v>
      </c>
      <c r="N26" s="2">
        <f>Tabela!D27</f>
        <v>0</v>
      </c>
      <c r="O26" s="67" t="str">
        <f>Tabela!E27</f>
        <v>Dinamarca</v>
      </c>
      <c r="P26" s="67"/>
      <c r="Q26" s="67"/>
      <c r="R26" s="67"/>
      <c r="T26" s="67" t="str">
        <f>Tabela!G27</f>
        <v>Portugal</v>
      </c>
      <c r="U26" s="67"/>
      <c r="V26" s="67"/>
      <c r="W26" s="67"/>
      <c r="X26">
        <f>Tabela!H27</f>
        <v>0</v>
      </c>
      <c r="Y26" s="2" t="s">
        <v>70</v>
      </c>
      <c r="Z26">
        <f>Tabela!J27</f>
        <v>0</v>
      </c>
      <c r="AA26" s="67" t="str">
        <f>Tabela!K27</f>
        <v>Uruguai</v>
      </c>
      <c r="AB26" s="67"/>
      <c r="AC26" s="67"/>
      <c r="AD26" s="67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67" t="str">
        <f>Tabela!A28</f>
        <v>Tunísia</v>
      </c>
      <c r="I27" s="67"/>
      <c r="J27" s="67"/>
      <c r="K27" s="67"/>
      <c r="L27" s="2">
        <f>Tabela!B28</f>
        <v>0</v>
      </c>
      <c r="M27" s="2" t="s">
        <v>70</v>
      </c>
      <c r="N27" s="2">
        <f>Tabela!D28</f>
        <v>0</v>
      </c>
      <c r="O27" s="67" t="str">
        <f>Tabela!E28</f>
        <v>França</v>
      </c>
      <c r="P27" s="67"/>
      <c r="Q27" s="67"/>
      <c r="R27" s="67"/>
      <c r="T27" s="67" t="str">
        <f>Tabela!G28</f>
        <v>CoreiaDoSul</v>
      </c>
      <c r="U27" s="67"/>
      <c r="V27" s="67"/>
      <c r="W27" s="67"/>
      <c r="X27">
        <f>Tabela!H28</f>
        <v>0</v>
      </c>
      <c r="Y27" s="2" t="s">
        <v>70</v>
      </c>
      <c r="Z27">
        <f>Tabela!J28</f>
        <v>0</v>
      </c>
      <c r="AA27" s="67" t="str">
        <f>Tabela!K28</f>
        <v>Portugal</v>
      </c>
      <c r="AB27" s="67"/>
      <c r="AC27" s="67"/>
      <c r="AD27" s="67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67" t="str">
        <f>Tabela!A29</f>
        <v>Austrália</v>
      </c>
      <c r="I28" s="67"/>
      <c r="J28" s="67"/>
      <c r="K28" s="67"/>
      <c r="L28" s="2">
        <f>Tabela!B29</f>
        <v>0</v>
      </c>
      <c r="M28" s="2" t="s">
        <v>70</v>
      </c>
      <c r="N28" s="2">
        <f>Tabela!D29</f>
        <v>0</v>
      </c>
      <c r="O28" s="67" t="str">
        <f>Tabela!E29</f>
        <v>Dinamarca</v>
      </c>
      <c r="P28" s="67"/>
      <c r="Q28" s="67"/>
      <c r="R28" s="67"/>
      <c r="T28" s="67" t="str">
        <f>Tabela!G29</f>
        <v>Gana</v>
      </c>
      <c r="U28" s="67"/>
      <c r="V28" s="67"/>
      <c r="W28" s="67"/>
      <c r="X28">
        <f>Tabela!H29</f>
        <v>0</v>
      </c>
      <c r="Y28" s="2" t="s">
        <v>70</v>
      </c>
      <c r="Z28">
        <f>Tabela!J29</f>
        <v>0</v>
      </c>
      <c r="AA28" s="67" t="str">
        <f>Tabela!K29</f>
        <v>Uruguai</v>
      </c>
      <c r="AB28" s="67"/>
      <c r="AC28" s="67"/>
      <c r="AD28" s="67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67"/>
      <c r="P32" s="67"/>
      <c r="Q32" s="67"/>
      <c r="R32" s="67"/>
    </row>
    <row r="33" spans="15:18" x14ac:dyDescent="0.25">
      <c r="O33" s="67"/>
      <c r="P33" s="67"/>
      <c r="Q33" s="67"/>
      <c r="R33" s="67"/>
    </row>
    <row r="34" spans="15:18" x14ac:dyDescent="0.25">
      <c r="O34" s="67"/>
      <c r="P34" s="67"/>
      <c r="Q34" s="67"/>
      <c r="R34" s="67"/>
    </row>
    <row r="35" spans="15:18" x14ac:dyDescent="0.25">
      <c r="O35" s="67"/>
      <c r="P35" s="67"/>
      <c r="Q35" s="67"/>
      <c r="R35" s="67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31</vt:i4>
      </vt:variant>
    </vt:vector>
  </HeadingPairs>
  <TitlesOfParts>
    <vt:vector size="31" baseType="lpstr">
      <vt:lpstr>Ivan (2)</vt:lpstr>
      <vt:lpstr>Seleções</vt:lpstr>
      <vt:lpstr>Jean (2)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2022-11-24T14:11:17Z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2022-11-24T14:11:16Z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77ff2bc6-de8f-44dd-a20c-8aeda57da44f</vt:lpwstr>
  </property>
  <property fmtid="{D5CDD505-2E9C-101B-9397-08002B2CF9AE}" pid="8" name="MSIP_Label_c06de4a7-0f08-40d9-aeea-6b6c28cbe58e_ContentBits">
    <vt:lpwstr>2</vt:lpwstr>
  </property>
</Properties>
</file>