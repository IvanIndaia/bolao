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AF577F7C-D562-42CE-8E82-A2591E570E7D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6" i="10" l="1"/>
  <c r="A76" i="10"/>
  <c r="E75" i="10"/>
  <c r="A75" i="10"/>
  <c r="A58" i="3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4" i="31" s="1"/>
  <c r="Q11" i="34"/>
  <c r="L12" i="31" s="1"/>
  <c r="Q11" i="32"/>
  <c r="P24" i="31" s="1"/>
  <c r="Q11" i="30"/>
  <c r="L19" i="31" s="1"/>
  <c r="Q11" i="27"/>
  <c r="P22" i="31" s="1"/>
  <c r="Q11" i="26"/>
  <c r="L24" i="31" s="1"/>
  <c r="Q11" i="25"/>
  <c r="L22" i="31" s="1"/>
  <c r="Q11" i="24"/>
  <c r="P19" i="31" s="1"/>
  <c r="Q11" i="23"/>
  <c r="L23" i="31" s="1"/>
  <c r="Q11" i="22"/>
  <c r="P17" i="31" s="1"/>
  <c r="Q11" i="21"/>
  <c r="L18" i="31" s="1"/>
  <c r="Q11" i="20"/>
  <c r="P15" i="31" s="1"/>
  <c r="Q11" i="19"/>
  <c r="L7" i="31" s="1"/>
  <c r="Q11" i="13"/>
  <c r="L17" i="31" s="1"/>
  <c r="Q11" i="16"/>
  <c r="L8" i="31" s="1"/>
  <c r="Q11" i="12"/>
  <c r="L6" i="31" s="1"/>
  <c r="Q11" i="18"/>
  <c r="L10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4" i="31"/>
  <c r="P23" i="31"/>
  <c r="L16" i="31"/>
  <c r="P20" i="31"/>
  <c r="L11" i="31"/>
  <c r="P18" i="31"/>
  <c r="L25" i="31"/>
  <c r="P16" i="31"/>
  <c r="L15" i="31"/>
  <c r="P14" i="31"/>
  <c r="P13" i="31"/>
  <c r="P12" i="31"/>
  <c r="P11" i="31"/>
  <c r="P10" i="31"/>
  <c r="L13" i="31"/>
  <c r="L21" i="31"/>
  <c r="L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<sst xmlns="http://schemas.openxmlformats.org/spreadsheetml/2006/main" count="6715" uniqueCount="208">
  <si>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</si>
  <si>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</si>
  <si>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</si>
  <si>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</si>
  <si>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</si>
  <si>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</si>
  <si>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</si>
  <si>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</si>
  <si>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</si>
  <si>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</si>
  <si>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</si>
  <si>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</si>
  <si>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</si>
  <si>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</si>
  <si>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</si>
  <si>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</si>
  <si>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</si>
  <si>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</si>
  <si>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</si>
  <si>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</si>
  <si>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</si>
  <si>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</si>
  <si>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</si>
  <si>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</si>
  <si>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</si>
  <si>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</si>
  <si>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</si>
  <si>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</si>
  <si>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</si>
  <si>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</si>
  <si>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</si>
  <si>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</si>
  <si>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</si>
  <si>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</si>
  <si>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</si>
  <si>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</si>
  <si>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</si>
  <si>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</si>
  <si>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</si>
  <si>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</si>
  <si>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</si>
  <si>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</si>
  <si>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</si>
  <si>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</si>
  <si>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</si>
  <si>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</si>
  <si>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</si>
  <si>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</si>
  <si>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</si>
  <si>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</si>
  <si>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</si>
  <si>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</si>
  <si>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</si>
  <si>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</si>
  <si>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</si>
  <si>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</si>
  <si>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</si>
  <si>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</si>
  <si>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</si>
  <si>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</si>
  <si>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</si>
  <si>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</si>
  <si>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</si>
  <si>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</si>
  <si>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</si>
  <si>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</si>
  <si>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</si>
  <si>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</si>
  <si>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</si>
  <si>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</si>
  <si>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</si>
  <si>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</si>
  <si>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</si>
  <si>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</si>
  <si>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</si>
  <si>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</si>
  <si>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</si>
  <si>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</si>
  <si>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</si>
  <si>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</si>
  <si>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</si>
  <si>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</si>
  <si>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</si>
  <si>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</si>
  <si>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</si>
  <si>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</si>
  <si>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</si>
  <si>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</si>
  <si>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</si>
  <si>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</si>
  <si>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</si>
  <si>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</si>
  <si>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</si>
  <si>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</si>
  <si>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</si>
  <si>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</si>
  <si>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</si>
  <si>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</si>
  <si>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</si>
  <si>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</si>
  <si>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</si>
  <si>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</si>
  <si>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</si>
  <si>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</si>
  <si>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</si>
  <si>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</si>
  <si>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</si>
  <si>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</si>
  <si>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</si>
  <si>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</si>
  <si>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</si>
  <si>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</si>
  <si>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</si>
  <si>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</si>
  <si>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</si>
  <si>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</si>
  <si>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</si>
  <si>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</si>
  <si>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</si>
  <si>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</si>
  <si>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</si>
  <si>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</si>
  <si>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</si>
  <si>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</si>
  <si>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</si>
  <si>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</si>
  <si>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</si>
  <si>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</si>
  <si>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</si>
  <si>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</si>
  <si>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</si>
  <si>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</si>
  <si>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</si>
  <si>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</si>
  <si>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</si>
  <si>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</si>
  <si>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</si>
  <si>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</si>
  <si>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</si>
  <si>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</si>
  <si>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</si>
  <si>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</si>
  <si>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</si>
  <si>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</si>
  <si>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</si>
  <si>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</si>
  <si>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</si>
  <si>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</si>
  <si>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</si>
  <si>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</si>
  <si>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</si>
  <si>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</si>
  <si>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</si>
  <si>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</si>
  <si>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</si>
  <si>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</si>
  <si>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</si>
  <si>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</si>
  <si>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</si>
  <si>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</si>
  <si>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</si>
  <si>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</si>
  <si>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</si>
  <si>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</si>
  <si>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</si>
  <si>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</si>
  <si>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</si>
  <si>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</si>
  <si>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</si>
  <si>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</si>
  <si>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</si>
  <si>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</si>
  <si>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</si>
  <si>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</si>
  <si>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</si>
  <si>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</si>
  <si>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</si>
  <si>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</si>
  <si>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</si>
  <si>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</si>
  <si>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</si>
  <si>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</si>
  <si>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</si>
  <si>
    <t>Nome</t>
  </si>
  <si>
    <t>1º Campeão</t>
  </si>
  <si>
    <t>Macélio - Semi Final</t>
  </si>
  <si>
    <t>Ivan Alex_1 - Semi Final</t>
  </si>
  <si>
    <t>Bruno Flores - Semi Final</t>
  </si>
  <si>
    <t>Ivan Alex_2 - Semi Final</t>
  </si>
  <si>
    <t>Gabriel - Semi Final</t>
  </si>
  <si>
    <t>Luis - Semi Final</t>
  </si>
  <si>
    <t>Juninho_1 - Semi Final</t>
  </si>
  <si>
    <t>Juninho_2 - Semi Final</t>
  </si>
  <si>
    <t>Luana - Semi Final</t>
  </si>
  <si>
    <t>Mácio - Semi Final</t>
  </si>
  <si>
    <t>Alex - Semi Final</t>
  </si>
  <si>
    <t>Jean - Semi Final</t>
  </si>
  <si>
    <t>Robert - Semi Final</t>
  </si>
  <si>
    <t>Roberto - Semi Final</t>
  </si>
  <si>
    <t>Andréia - Semi Final</t>
  </si>
  <si>
    <t>Joseir_1 - Semi Final</t>
  </si>
  <si>
    <t>Joseir_2 - Semi Final</t>
  </si>
  <si>
    <t>Ivani - Semi Final</t>
  </si>
  <si>
    <t>Josimar  - Semi Final</t>
  </si>
  <si>
    <t>Julio - Semi Final</t>
  </si>
  <si>
    <t>Talita - Semi Final</t>
  </si>
  <si>
    <t>Anderson - Semi Final</t>
  </si>
  <si>
    <t>Cléofaz - Semi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</si>
</sst>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right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lef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  <xf numFmtId="0" fontId="0" fillId="23" borderId="0" xfId="0" applyFill="1" applyBorder="1" applyAlignment="1">
      <alignment horizontal="left" vertical="center"/>
    </xf>
    <xf numFmtId="0" fontId="3" fillId="19" borderId="0" xfId="0" applyFont="1" applyFill="1" applyBorder="1" applyAlignment="1">
      <alignment horizontal="right" vertical="center"/>
    </xf>
    <xf numFmtId="0" fontId="3" fillId="19" borderId="0" xfId="0" applyFont="1" applyFill="1" applyBorder="1" applyAlignment="1">
      <alignment horizontal="center" vertical="center"/>
    </xf>
    <xf numFmtId="0" fontId="8" fillId="22" borderId="0" xfId="0" applyFont="1" applyFill="1" applyBorder="1" applyAlignment="1">
      <alignment vertical="center"/>
    </xf>
    <xf numFmtId="0" fontId="0" fillId="22" borderId="0" xfId="0" applyFill="1" applyBorder="1" applyAlignment="1">
      <alignment vertical="center"/>
    </xf>
    <xf numFmtId="0" fontId="8" fillId="22" borderId="0" xfId="0" applyFont="1" applyFill="1" applyBorder="1"/>
    <xf numFmtId="0" fontId="0" fillId="22" borderId="0" xfId="0" applyFill="1" applyBorder="1"/>
    <xf numFmtId="0" fontId="8" fillId="22" borderId="0" xfId="0" applyFont="1" applyFill="1" applyBorder="1" applyAlignment="1">
      <alignment horizontal="center" vertical="center"/>
    </xf>
    <xf numFmtId="0" fontId="14" fillId="18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25" fillId="2" borderId="13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5" fillId="2" borderId="14" xfId="0" applyFont="1" applyFill="1" applyBorder="1" applyAlignment="1">
      <alignment horizontal="center" vertical="center" wrapText="1"/>
    </xf>
    <xf numFmtId="0" fontId="25" fillId="2" borderId="15" xfId="0" applyFont="1" applyFill="1" applyBorder="1" applyAlignment="1">
      <alignment horizontal="center" vertical="center" wrapText="1"/>
    </xf>
    <xf numFmtId="0" fontId="0" fillId="0" borderId="16" xfId="0" applyBorder="1" applyAlignment="1">
      <alignment vertical="center"/>
    </xf>
    <xf numFmtId="0" fontId="0" fillId="23" borderId="17" xfId="0" applyFill="1" applyBorder="1" applyAlignment="1">
      <alignment horizontal="left" vertical="center"/>
    </xf>
    <xf numFmtId="0" fontId="0" fillId="17" borderId="16" xfId="0" applyFill="1" applyBorder="1" applyAlignment="1">
      <alignment vertical="center"/>
    </xf>
    <xf numFmtId="0" fontId="0" fillId="17" borderId="0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7" borderId="16" xfId="0" applyFill="1" applyBorder="1" applyAlignment="1">
      <alignment vertical="center"/>
    </xf>
    <xf numFmtId="0" fontId="14" fillId="18" borderId="17" xfId="0" applyFont="1" applyFill="1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14" fillId="18" borderId="19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14" fillId="18" borderId="2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22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3" fillId="20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21" borderId="0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54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26" t="s">
        <v>16</v>
      </c>
      <c r="C2" s="126"/>
      <c r="D2" s="126"/>
      <c r="E2" s="125">
        <v>1</v>
      </c>
      <c r="F2" s="125"/>
      <c r="G2" s="125">
        <v>1</v>
      </c>
      <c r="H2" s="126" t="s">
        <v>34</v>
      </c>
      <c r="I2" s="126"/>
      <c r="J2" s="126"/>
      <c r="L2" t="s">
        <v>89</v>
      </c>
    </row>
    <row r="3" spans="2:12" x14ac:dyDescent="0.25">
      <c r="B3" s="126" t="s">
        <v>55</v>
      </c>
      <c r="C3" s="126"/>
      <c r="D3" s="126"/>
      <c r="E3" s="125">
        <v>1</v>
      </c>
      <c r="F3" s="125"/>
      <c r="G3" s="125">
        <v>2</v>
      </c>
      <c r="H3" s="126" t="s">
        <v>24</v>
      </c>
      <c r="I3" s="126"/>
      <c r="J3" s="126"/>
    </row>
    <row r="4" spans="2:12" x14ac:dyDescent="0.25">
      <c r="B4" s="126" t="s">
        <v>10</v>
      </c>
      <c r="C4" s="126"/>
      <c r="D4" s="126"/>
      <c r="E4" s="125">
        <v>1</v>
      </c>
      <c r="F4" s="125"/>
      <c r="G4" s="125">
        <v>2</v>
      </c>
      <c r="H4" s="126" t="s">
        <v>23</v>
      </c>
      <c r="I4" s="126"/>
      <c r="J4" s="126"/>
    </row>
    <row r="5" spans="2:12" x14ac:dyDescent="0.25">
      <c r="B5" s="126" t="s">
        <v>5</v>
      </c>
      <c r="C5" s="126"/>
      <c r="D5" s="126"/>
      <c r="E5" s="125">
        <v>2</v>
      </c>
      <c r="F5" s="125"/>
      <c r="G5" s="125">
        <v>1</v>
      </c>
      <c r="H5" s="126" t="s">
        <v>6</v>
      </c>
      <c r="I5" s="126"/>
      <c r="J5" s="126"/>
    </row>
    <row r="6" spans="2:12" x14ac:dyDescent="0.25">
      <c r="B6" s="126" t="s">
        <v>20</v>
      </c>
      <c r="C6" s="126"/>
      <c r="D6" s="126"/>
      <c r="E6" s="125">
        <v>1</v>
      </c>
      <c r="F6" s="125"/>
      <c r="G6" s="125">
        <v>2</v>
      </c>
      <c r="H6" s="126" t="s">
        <v>17</v>
      </c>
      <c r="I6" s="126"/>
      <c r="J6" s="126"/>
    </row>
    <row r="7" spans="2:12" x14ac:dyDescent="0.25">
      <c r="B7" s="126" t="s">
        <v>17</v>
      </c>
      <c r="C7" s="126"/>
      <c r="D7" s="126"/>
      <c r="E7" s="125">
        <v>2</v>
      </c>
      <c r="F7" s="125"/>
      <c r="G7" s="125">
        <v>0</v>
      </c>
      <c r="H7" s="126" t="s">
        <v>23</v>
      </c>
      <c r="I7" s="126"/>
      <c r="J7" s="126"/>
    </row>
    <row r="9" spans="2:12" x14ac:dyDescent="0.25">
      <c r="B9" s="126" t="s">
        <v>28</v>
      </c>
      <c r="C9" s="126"/>
      <c r="D9" s="126"/>
      <c r="E9" s="125">
        <v>0</v>
      </c>
      <c r="F9" s="125"/>
      <c r="G9" s="125">
        <v>2</v>
      </c>
      <c r="H9" s="126" t="s">
        <v>19</v>
      </c>
      <c r="I9" s="126"/>
      <c r="J9" s="126"/>
      <c r="L9" t="s">
        <v>88</v>
      </c>
    </row>
    <row r="10" spans="2:12" x14ac:dyDescent="0.25">
      <c r="B10" s="126" t="s">
        <v>26</v>
      </c>
      <c r="C10" s="126"/>
      <c r="D10" s="126"/>
      <c r="E10" s="125">
        <v>2</v>
      </c>
      <c r="F10" s="125"/>
      <c r="G10" s="125">
        <v>0</v>
      </c>
      <c r="H10" s="126" t="s">
        <v>55</v>
      </c>
      <c r="I10" s="126"/>
      <c r="J10" s="126"/>
    </row>
    <row r="11" spans="2:12" x14ac:dyDescent="0.25">
      <c r="B11" s="126" t="s">
        <v>18</v>
      </c>
      <c r="C11" s="126"/>
      <c r="D11" s="126"/>
      <c r="E11" s="125">
        <v>0</v>
      </c>
      <c r="F11" s="125"/>
      <c r="G11" s="125">
        <v>2</v>
      </c>
      <c r="H11" s="126" t="s">
        <v>32</v>
      </c>
      <c r="I11" s="126"/>
      <c r="J11" s="126"/>
    </row>
    <row r="12" spans="2:12" x14ac:dyDescent="0.25">
      <c r="B12" s="126" t="s">
        <v>5</v>
      </c>
      <c r="C12" s="126"/>
      <c r="D12" s="126"/>
      <c r="E12" s="125">
        <v>2</v>
      </c>
      <c r="F12" s="125"/>
      <c r="G12" s="125">
        <v>1</v>
      </c>
      <c r="H12" s="126" t="s">
        <v>6</v>
      </c>
      <c r="I12" s="126"/>
      <c r="J12" s="126"/>
    </row>
    <row r="13" spans="2:12" x14ac:dyDescent="0.25">
      <c r="B13" s="126" t="s">
        <v>17</v>
      </c>
      <c r="C13" s="126"/>
      <c r="D13" s="126"/>
      <c r="E13" s="125">
        <v>2</v>
      </c>
      <c r="F13" s="125"/>
      <c r="G13" s="125">
        <v>0</v>
      </c>
      <c r="H13" s="126" t="s">
        <v>23</v>
      </c>
      <c r="I13" s="126"/>
      <c r="J13" s="126"/>
    </row>
    <row r="15" spans="2:12" x14ac:dyDescent="0.25">
      <c r="B15" s="126" t="s">
        <v>28</v>
      </c>
      <c r="C15" s="126"/>
      <c r="D15" s="126"/>
      <c r="E15" s="125">
        <v>0</v>
      </c>
      <c r="F15" s="125"/>
      <c r="G15" s="125">
        <v>2</v>
      </c>
      <c r="H15" s="126" t="s">
        <v>19</v>
      </c>
      <c r="I15" s="126"/>
      <c r="J15" s="126"/>
      <c r="L15" t="s">
        <v>87</v>
      </c>
    </row>
    <row r="16" spans="2:12" x14ac:dyDescent="0.25">
      <c r="B16" s="126" t="s">
        <v>19</v>
      </c>
      <c r="C16" s="126"/>
      <c r="D16" s="126"/>
      <c r="E16" s="125">
        <v>1</v>
      </c>
      <c r="F16" s="125"/>
      <c r="G16" s="125">
        <v>1</v>
      </c>
      <c r="H16" s="126" t="s">
        <v>14</v>
      </c>
      <c r="I16" s="126"/>
      <c r="J16" s="126"/>
    </row>
    <row r="17" spans="2:12" x14ac:dyDescent="0.25">
      <c r="B17" s="126" t="s">
        <v>26</v>
      </c>
      <c r="C17" s="126"/>
      <c r="D17" s="126"/>
      <c r="E17" s="125">
        <v>0</v>
      </c>
      <c r="F17" s="125"/>
      <c r="G17" s="125">
        <v>2</v>
      </c>
      <c r="H17" s="126" t="s">
        <v>5</v>
      </c>
      <c r="I17" s="126"/>
      <c r="J17" s="126"/>
    </row>
    <row r="18" spans="2:12" x14ac:dyDescent="0.25">
      <c r="B18" s="126" t="s">
        <v>15</v>
      </c>
      <c r="C18" s="126"/>
      <c r="D18" s="126"/>
      <c r="E18" s="125">
        <v>1</v>
      </c>
      <c r="F18" s="125"/>
      <c r="G18" s="125">
        <v>1</v>
      </c>
      <c r="H18" s="126" t="s">
        <v>4</v>
      </c>
      <c r="I18" s="126"/>
      <c r="J18" s="126"/>
    </row>
    <row r="19" spans="2:12" x14ac:dyDescent="0.25">
      <c r="B19" s="126" t="s">
        <v>18</v>
      </c>
      <c r="C19" s="126"/>
      <c r="D19" s="126"/>
      <c r="E19" s="125">
        <v>0</v>
      </c>
      <c r="F19" s="125"/>
      <c r="G19" s="125">
        <v>2</v>
      </c>
      <c r="H19" s="126" t="s">
        <v>32</v>
      </c>
      <c r="I19" s="126"/>
      <c r="J19" s="126"/>
    </row>
    <row r="20" spans="2:12" x14ac:dyDescent="0.25">
      <c r="B20" s="126" t="s">
        <v>5</v>
      </c>
      <c r="C20" s="126"/>
      <c r="D20" s="126"/>
      <c r="E20" s="125">
        <v>2</v>
      </c>
      <c r="F20" s="125"/>
      <c r="G20" s="125">
        <v>1</v>
      </c>
      <c r="H20" s="126" t="s">
        <v>6</v>
      </c>
      <c r="I20" s="126"/>
      <c r="J20" s="126"/>
    </row>
    <row r="22" spans="2:12" x14ac:dyDescent="0.25">
      <c r="B22" s="126" t="s">
        <v>16</v>
      </c>
      <c r="C22" s="126"/>
      <c r="D22" s="126"/>
      <c r="E22" s="125">
        <v>1</v>
      </c>
      <c r="F22" s="125"/>
      <c r="G22" s="125">
        <v>1</v>
      </c>
      <c r="H22" s="126" t="s">
        <v>34</v>
      </c>
      <c r="I22" s="126"/>
      <c r="J22" s="126"/>
      <c r="L22" t="s">
        <v>86</v>
      </c>
    </row>
    <row r="23" spans="2:12" x14ac:dyDescent="0.25">
      <c r="B23" s="126" t="s">
        <v>34</v>
      </c>
      <c r="C23" s="126"/>
      <c r="D23" s="126"/>
      <c r="E23" s="125">
        <v>0</v>
      </c>
      <c r="F23" s="125"/>
      <c r="G23" s="125">
        <v>3</v>
      </c>
      <c r="H23" s="126" t="s">
        <v>20</v>
      </c>
      <c r="I23" s="126"/>
      <c r="J23" s="126"/>
    </row>
    <row r="24" spans="2:12" x14ac:dyDescent="0.25">
      <c r="B24" s="126" t="s">
        <v>26</v>
      </c>
      <c r="C24" s="126"/>
      <c r="D24" s="126"/>
      <c r="E24" s="125">
        <v>2</v>
      </c>
      <c r="F24" s="125"/>
      <c r="G24" s="125">
        <v>0</v>
      </c>
      <c r="H24" s="126" t="s">
        <v>55</v>
      </c>
      <c r="I24" s="126"/>
      <c r="J24" s="126"/>
    </row>
    <row r="26" spans="2:12" x14ac:dyDescent="0.25">
      <c r="B26" s="126" t="s">
        <v>31</v>
      </c>
      <c r="C26" s="126"/>
      <c r="D26" s="126"/>
      <c r="E26" s="125">
        <v>0</v>
      </c>
      <c r="F26" s="125"/>
      <c r="G26" s="125">
        <v>1</v>
      </c>
      <c r="H26" s="126" t="s">
        <v>6</v>
      </c>
      <c r="I26" s="126"/>
      <c r="J26" s="126"/>
      <c r="L26" t="s">
        <v>85</v>
      </c>
    </row>
    <row r="27" spans="2:12" x14ac:dyDescent="0.25">
      <c r="B27" s="126" t="s">
        <v>15</v>
      </c>
      <c r="C27" s="126"/>
      <c r="D27" s="126"/>
      <c r="E27" s="125">
        <v>1</v>
      </c>
      <c r="F27" s="125"/>
      <c r="G27" s="125">
        <v>1</v>
      </c>
      <c r="H27" s="126" t="s">
        <v>4</v>
      </c>
      <c r="I27" s="126"/>
      <c r="J27" s="126"/>
    </row>
    <row r="28" spans="2:12" x14ac:dyDescent="0.25">
      <c r="B28" s="126" t="s">
        <v>5</v>
      </c>
      <c r="C28" s="126"/>
      <c r="D28" s="126"/>
      <c r="E28" s="125">
        <v>2</v>
      </c>
      <c r="F28" s="125"/>
      <c r="G28" s="125">
        <v>1</v>
      </c>
      <c r="H28" s="126" t="s">
        <v>6</v>
      </c>
      <c r="I28" s="126"/>
      <c r="J28" s="126"/>
    </row>
    <row r="30" spans="2:12" x14ac:dyDescent="0.25">
      <c r="B30" s="126" t="s">
        <v>4</v>
      </c>
      <c r="C30" s="126"/>
      <c r="D30" s="126"/>
      <c r="E30" s="125">
        <v>1</v>
      </c>
      <c r="F30" s="125"/>
      <c r="G30" s="125">
        <v>2</v>
      </c>
      <c r="H30" s="126" t="s">
        <v>22</v>
      </c>
      <c r="I30" s="126"/>
      <c r="J30" s="126"/>
      <c r="L30" t="s">
        <v>84</v>
      </c>
    </row>
    <row r="31" spans="2:12" x14ac:dyDescent="0.25">
      <c r="B31" s="126" t="s">
        <v>15</v>
      </c>
      <c r="C31" s="126"/>
      <c r="D31" s="126"/>
      <c r="E31" s="125">
        <v>1</v>
      </c>
      <c r="F31" s="125"/>
      <c r="G31" s="125">
        <v>1</v>
      </c>
      <c r="H31" s="126" t="s">
        <v>4</v>
      </c>
      <c r="I31" s="126"/>
      <c r="J31" s="126"/>
    </row>
    <row r="32" spans="2:12" x14ac:dyDescent="0.25">
      <c r="B32" s="126" t="s">
        <v>22</v>
      </c>
      <c r="C32" s="126"/>
      <c r="D32" s="126"/>
      <c r="E32" s="125">
        <v>2</v>
      </c>
      <c r="F32" s="125"/>
      <c r="G32" s="125">
        <v>1</v>
      </c>
      <c r="H32" s="126" t="s">
        <v>15</v>
      </c>
      <c r="I32" s="126"/>
      <c r="J32" s="126"/>
    </row>
    <row r="33" spans="2:12" x14ac:dyDescent="0.25">
      <c r="B33" s="126" t="s">
        <v>7</v>
      </c>
      <c r="C33" s="126"/>
      <c r="D33" s="126"/>
      <c r="E33" s="125">
        <v>1</v>
      </c>
      <c r="F33" s="125"/>
      <c r="G33" s="125">
        <v>0</v>
      </c>
      <c r="H33" s="126" t="s">
        <v>10</v>
      </c>
      <c r="I33" s="126"/>
      <c r="J33" s="126"/>
    </row>
    <row r="34" spans="2:12" x14ac:dyDescent="0.25">
      <c r="B34" s="126" t="s">
        <v>17</v>
      </c>
      <c r="C34" s="126"/>
      <c r="D34" s="126"/>
      <c r="E34" s="125">
        <v>3</v>
      </c>
      <c r="F34" s="125"/>
      <c r="G34" s="125">
        <v>1</v>
      </c>
      <c r="H34" s="126" t="s">
        <v>26</v>
      </c>
      <c r="I34" s="126"/>
      <c r="J34" s="126"/>
    </row>
    <row r="36" spans="2:12" x14ac:dyDescent="0.25">
      <c r="B36" s="126" t="s">
        <v>31</v>
      </c>
      <c r="C36" s="126"/>
      <c r="D36" s="126"/>
      <c r="E36" s="125">
        <v>1</v>
      </c>
      <c r="F36" s="125"/>
      <c r="G36" s="125">
        <v>0</v>
      </c>
      <c r="H36" s="126" t="s">
        <v>17</v>
      </c>
      <c r="I36" s="126"/>
      <c r="J36" s="126"/>
      <c r="L36" t="s">
        <v>83</v>
      </c>
    </row>
    <row r="37" spans="2:12" x14ac:dyDescent="0.25">
      <c r="B37" s="126" t="s">
        <v>6</v>
      </c>
      <c r="C37" s="126"/>
      <c r="D37" s="126"/>
      <c r="E37" s="125">
        <v>1</v>
      </c>
      <c r="F37" s="125"/>
      <c r="G37" s="125">
        <v>0</v>
      </c>
      <c r="H37" s="126" t="s">
        <v>13</v>
      </c>
      <c r="I37" s="126"/>
      <c r="J37" s="126"/>
    </row>
    <row r="38" spans="2:12" x14ac:dyDescent="0.25">
      <c r="B38" s="126" t="s">
        <v>7</v>
      </c>
      <c r="C38" s="126"/>
      <c r="D38" s="126"/>
      <c r="E38" s="125">
        <v>1</v>
      </c>
      <c r="F38" s="125"/>
      <c r="G38" s="125">
        <v>0</v>
      </c>
      <c r="H38" s="126" t="s">
        <v>10</v>
      </c>
      <c r="I38" s="126"/>
      <c r="J38" s="126"/>
    </row>
    <row r="39" spans="2:12" x14ac:dyDescent="0.25">
      <c r="B39" s="126" t="s">
        <v>30</v>
      </c>
      <c r="C39" s="126"/>
      <c r="D39" s="126"/>
      <c r="E39" s="125">
        <v>1</v>
      </c>
      <c r="F39" s="125"/>
      <c r="G39" s="125">
        <v>0</v>
      </c>
      <c r="H39" s="126" t="s">
        <v>9</v>
      </c>
      <c r="I39" s="126"/>
      <c r="J39" s="126"/>
    </row>
    <row r="40" spans="2:12" x14ac:dyDescent="0.25">
      <c r="B40" s="126" t="s">
        <v>8</v>
      </c>
      <c r="C40" s="126"/>
      <c r="D40" s="126"/>
      <c r="E40" s="125">
        <v>1</v>
      </c>
      <c r="F40" s="125"/>
      <c r="G40" s="125">
        <v>0</v>
      </c>
      <c r="H40" s="126" t="s">
        <v>30</v>
      </c>
      <c r="I40" s="126"/>
      <c r="J40" s="126"/>
    </row>
    <row r="41" spans="2:12" x14ac:dyDescent="0.25">
      <c r="B41" s="126" t="s">
        <v>9</v>
      </c>
      <c r="C41" s="126"/>
      <c r="D41" s="126"/>
      <c r="E41" s="125">
        <v>1</v>
      </c>
      <c r="F41" s="125"/>
      <c r="G41" s="125">
        <v>0</v>
      </c>
      <c r="H41" s="126" t="s">
        <v>8</v>
      </c>
      <c r="I41" s="126"/>
      <c r="J41" s="126"/>
    </row>
    <row r="42" spans="2:12" x14ac:dyDescent="0.25">
      <c r="B42" s="126" t="s">
        <v>12</v>
      </c>
      <c r="C42" s="126"/>
      <c r="D42" s="126"/>
      <c r="E42" s="125">
        <v>1</v>
      </c>
      <c r="F42" s="125"/>
      <c r="G42" s="125">
        <v>1</v>
      </c>
      <c r="H42" s="126" t="s">
        <v>8</v>
      </c>
      <c r="I42" s="126"/>
      <c r="J42" s="126"/>
    </row>
    <row r="44" spans="2:12" x14ac:dyDescent="0.25">
      <c r="B44" s="126" t="s">
        <v>21</v>
      </c>
      <c r="C44" s="126"/>
      <c r="D44" s="126"/>
      <c r="E44" s="125">
        <v>0</v>
      </c>
      <c r="F44" s="125"/>
      <c r="G44" s="125">
        <v>1</v>
      </c>
      <c r="H44" s="126" t="s">
        <v>16</v>
      </c>
      <c r="I44" s="126"/>
      <c r="J44" s="126"/>
      <c r="L44" t="s">
        <v>82</v>
      </c>
    </row>
    <row r="45" spans="2:12" x14ac:dyDescent="0.25">
      <c r="B45" s="126" t="s">
        <v>31</v>
      </c>
      <c r="C45" s="126"/>
      <c r="D45" s="126"/>
      <c r="E45" s="125">
        <v>0</v>
      </c>
      <c r="F45" s="125"/>
      <c r="G45" s="125">
        <v>1</v>
      </c>
      <c r="H45" s="126" t="s">
        <v>6</v>
      </c>
      <c r="I45" s="126"/>
      <c r="J45" s="126"/>
    </row>
    <row r="46" spans="2:12" x14ac:dyDescent="0.25">
      <c r="B46" s="126" t="s">
        <v>22</v>
      </c>
      <c r="C46" s="126"/>
      <c r="D46" s="126"/>
      <c r="E46" s="125">
        <v>0</v>
      </c>
      <c r="F46" s="125"/>
      <c r="G46" s="125">
        <v>1</v>
      </c>
      <c r="H46" s="126" t="s">
        <v>56</v>
      </c>
      <c r="I46" s="126"/>
      <c r="J46" s="126"/>
    </row>
    <row r="48" spans="2:12" x14ac:dyDescent="0.25">
      <c r="B48" s="126" t="s">
        <v>5</v>
      </c>
      <c r="C48" s="126"/>
      <c r="D48" s="126"/>
      <c r="E48" s="125">
        <v>2</v>
      </c>
      <c r="F48" s="125"/>
      <c r="G48" s="125">
        <v>1</v>
      </c>
      <c r="H48" s="126" t="s">
        <v>6</v>
      </c>
      <c r="I48" s="126"/>
      <c r="J48" s="126"/>
      <c r="L48" t="s">
        <v>81</v>
      </c>
    </row>
    <row r="50" spans="2:12" x14ac:dyDescent="0.25">
      <c r="B50" s="126" t="s">
        <v>19</v>
      </c>
      <c r="C50" s="126"/>
      <c r="D50" s="126"/>
      <c r="E50" s="125">
        <v>2</v>
      </c>
      <c r="F50" s="125"/>
      <c r="G50" s="125">
        <v>0</v>
      </c>
      <c r="H50" s="126" t="s">
        <v>11</v>
      </c>
      <c r="I50" s="126"/>
      <c r="J50" s="126"/>
      <c r="L50" t="s">
        <v>80</v>
      </c>
    </row>
    <row r="51" spans="2:12" x14ac:dyDescent="0.25">
      <c r="B51" s="126" t="s">
        <v>56</v>
      </c>
      <c r="C51" s="126"/>
      <c r="D51" s="126"/>
      <c r="E51" s="125">
        <v>2</v>
      </c>
      <c r="F51" s="125"/>
      <c r="G51" s="125">
        <v>4</v>
      </c>
      <c r="H51" s="126" t="s">
        <v>4</v>
      </c>
      <c r="I51" s="126"/>
      <c r="J51" s="126"/>
    </row>
    <row r="52" spans="2:12" x14ac:dyDescent="0.25">
      <c r="B52" s="126" t="s">
        <v>32</v>
      </c>
      <c r="C52" s="126"/>
      <c r="D52" s="126"/>
      <c r="E52" s="125">
        <v>0</v>
      </c>
      <c r="F52" s="125"/>
      <c r="G52" s="125">
        <v>0</v>
      </c>
      <c r="H52" s="126" t="s">
        <v>67</v>
      </c>
      <c r="I52" s="126"/>
      <c r="J52" s="126"/>
    </row>
    <row r="53" spans="2:12" x14ac:dyDescent="0.25">
      <c r="B53" s="126" t="s">
        <v>20</v>
      </c>
      <c r="C53" s="126"/>
      <c r="D53" s="126"/>
      <c r="E53" s="125">
        <v>1</v>
      </c>
      <c r="F53" s="125"/>
      <c r="G53" s="125">
        <v>2</v>
      </c>
      <c r="H53" s="126" t="s">
        <v>17</v>
      </c>
      <c r="I53" s="126"/>
      <c r="J53" s="126"/>
    </row>
    <row r="55" spans="2:12" x14ac:dyDescent="0.25">
      <c r="B55" s="126" t="s">
        <v>21</v>
      </c>
      <c r="C55" s="126"/>
      <c r="D55" s="126"/>
      <c r="E55" s="125">
        <v>0</v>
      </c>
      <c r="F55" s="125"/>
      <c r="G55" s="125">
        <v>1</v>
      </c>
      <c r="H55" s="126" t="s">
        <v>16</v>
      </c>
      <c r="I55" s="126"/>
      <c r="J55" s="126"/>
      <c r="L55" t="s">
        <v>79</v>
      </c>
    </row>
    <row r="56" spans="2:12" x14ac:dyDescent="0.25">
      <c r="B56" s="126" t="s">
        <v>55</v>
      </c>
      <c r="C56" s="126"/>
      <c r="D56" s="126"/>
      <c r="E56" s="125">
        <v>1</v>
      </c>
      <c r="F56" s="125"/>
      <c r="G56" s="125">
        <v>2</v>
      </c>
      <c r="H56" s="126" t="s">
        <v>24</v>
      </c>
      <c r="I56" s="126"/>
      <c r="J56" s="126"/>
    </row>
    <row r="57" spans="2:12" x14ac:dyDescent="0.25">
      <c r="B57" s="126" t="s">
        <v>31</v>
      </c>
      <c r="C57" s="126"/>
      <c r="D57" s="126"/>
      <c r="E57" s="125">
        <v>0</v>
      </c>
      <c r="F57" s="125"/>
      <c r="G57" s="125">
        <v>1</v>
      </c>
      <c r="H57" s="126" t="s">
        <v>6</v>
      </c>
      <c r="I57" s="126"/>
      <c r="J57" s="126"/>
    </row>
    <row r="58" spans="2:12" x14ac:dyDescent="0.25">
      <c r="B58" s="126" t="s">
        <v>17</v>
      </c>
      <c r="C58" s="126"/>
      <c r="D58" s="126"/>
      <c r="E58" s="125">
        <v>2</v>
      </c>
      <c r="F58" s="125"/>
      <c r="G58" s="125">
        <v>1</v>
      </c>
      <c r="H58" s="126" t="s">
        <v>13</v>
      </c>
      <c r="I58" s="126"/>
      <c r="J58" s="126"/>
    </row>
    <row r="60" spans="2:12" x14ac:dyDescent="0.25">
      <c r="B60" s="126" t="s">
        <v>34</v>
      </c>
      <c r="C60" s="126"/>
      <c r="D60" s="126"/>
      <c r="E60" s="125">
        <v>0</v>
      </c>
      <c r="F60" s="125"/>
      <c r="G60" s="125">
        <v>3</v>
      </c>
      <c r="H60" s="126" t="s">
        <v>20</v>
      </c>
      <c r="I60" s="126"/>
      <c r="J60" s="126"/>
      <c r="L60" t="s">
        <v>78</v>
      </c>
    </row>
    <row r="61" spans="2:12" x14ac:dyDescent="0.25">
      <c r="B61" s="126" t="s">
        <v>55</v>
      </c>
      <c r="C61" s="126"/>
      <c r="D61" s="126"/>
      <c r="E61" s="125">
        <v>1</v>
      </c>
      <c r="F61" s="125"/>
      <c r="G61" s="125">
        <v>2</v>
      </c>
      <c r="H61" s="126" t="s">
        <v>24</v>
      </c>
      <c r="I61" s="126"/>
      <c r="J61" s="126"/>
    </row>
    <row r="62" spans="2:12" x14ac:dyDescent="0.25">
      <c r="B62" s="126" t="s">
        <v>56</v>
      </c>
      <c r="C62" s="126"/>
      <c r="D62" s="126"/>
      <c r="E62" s="125">
        <v>2</v>
      </c>
      <c r="F62" s="125"/>
      <c r="G62" s="125">
        <v>4</v>
      </c>
      <c r="H62" s="126" t="s">
        <v>4</v>
      </c>
      <c r="I62" s="126"/>
      <c r="J62" s="126"/>
    </row>
    <row r="63" spans="2:12" x14ac:dyDescent="0.25">
      <c r="B63" s="126" t="s">
        <v>30</v>
      </c>
      <c r="C63" s="126"/>
      <c r="D63" s="126"/>
      <c r="E63" s="125">
        <v>1</v>
      </c>
      <c r="F63" s="125"/>
      <c r="G63" s="125">
        <v>0</v>
      </c>
      <c r="H63" s="126" t="s">
        <v>9</v>
      </c>
      <c r="I63" s="126"/>
      <c r="J63" s="126"/>
    </row>
    <row r="64" spans="2:12" x14ac:dyDescent="0.25">
      <c r="B64" s="126" t="s">
        <v>5</v>
      </c>
      <c r="C64" s="126"/>
      <c r="D64" s="126"/>
      <c r="E64" s="125">
        <v>2</v>
      </c>
      <c r="F64" s="125"/>
      <c r="G64" s="125">
        <v>1</v>
      </c>
      <c r="H64" s="126" t="s">
        <v>6</v>
      </c>
      <c r="I64" s="126"/>
      <c r="J64" s="126"/>
    </row>
    <row r="65" spans="2:12" x14ac:dyDescent="0.25">
      <c r="B65" s="126" t="s">
        <v>20</v>
      </c>
      <c r="C65" s="126"/>
      <c r="D65" s="126"/>
      <c r="E65" s="125">
        <v>1</v>
      </c>
      <c r="F65" s="125"/>
      <c r="G65" s="125">
        <v>2</v>
      </c>
      <c r="H65" s="126" t="s">
        <v>17</v>
      </c>
      <c r="I65" s="126"/>
      <c r="J65" s="126"/>
    </row>
    <row r="67" spans="2:12" x14ac:dyDescent="0.25">
      <c r="B67" s="126" t="s">
        <v>11</v>
      </c>
      <c r="C67" s="126"/>
      <c r="D67" s="126"/>
      <c r="E67" s="125">
        <v>0</v>
      </c>
      <c r="F67" s="125"/>
      <c r="G67" s="125">
        <v>2</v>
      </c>
      <c r="H67" s="126" t="s">
        <v>14</v>
      </c>
      <c r="I67" s="126"/>
      <c r="J67" s="126"/>
      <c r="L67" t="s">
        <v>77</v>
      </c>
    </row>
    <row r="68" spans="2:12" x14ac:dyDescent="0.25">
      <c r="B68" s="126" t="s">
        <v>14</v>
      </c>
      <c r="C68" s="126"/>
      <c r="D68" s="126"/>
      <c r="E68" s="125">
        <v>1</v>
      </c>
      <c r="F68" s="125"/>
      <c r="G68" s="125">
        <v>2</v>
      </c>
      <c r="H68" s="126" t="s">
        <v>28</v>
      </c>
      <c r="I68" s="126"/>
      <c r="J68" s="126"/>
    </row>
    <row r="69" spans="2:12" x14ac:dyDescent="0.25">
      <c r="B69" s="126" t="s">
        <v>26</v>
      </c>
      <c r="C69" s="126"/>
      <c r="D69" s="126"/>
      <c r="E69" s="125">
        <v>2</v>
      </c>
      <c r="F69" s="125"/>
      <c r="G69" s="125">
        <v>0</v>
      </c>
      <c r="H69" s="126" t="s">
        <v>55</v>
      </c>
      <c r="I69" s="126"/>
      <c r="J69" s="126"/>
    </row>
    <row r="70" spans="2:12" x14ac:dyDescent="0.25">
      <c r="B70" s="126" t="s">
        <v>17</v>
      </c>
      <c r="C70" s="126"/>
      <c r="D70" s="126"/>
      <c r="E70" s="125">
        <v>2</v>
      </c>
      <c r="F70" s="125"/>
      <c r="G70" s="125">
        <v>1</v>
      </c>
      <c r="H70" s="126" t="s">
        <v>13</v>
      </c>
      <c r="I70" s="126"/>
      <c r="J70" s="126"/>
    </row>
    <row r="71" spans="2:12" x14ac:dyDescent="0.25">
      <c r="B71" s="126" t="s">
        <v>30</v>
      </c>
      <c r="C71" s="126"/>
      <c r="D71" s="126"/>
      <c r="E71" s="125">
        <v>1</v>
      </c>
      <c r="F71" s="125"/>
      <c r="G71" s="125">
        <v>0</v>
      </c>
      <c r="H71" s="126" t="s">
        <v>9</v>
      </c>
      <c r="I71" s="126"/>
      <c r="J71" s="126"/>
    </row>
    <row r="72" spans="2:12" x14ac:dyDescent="0.25">
      <c r="B72" s="126" t="s">
        <v>23</v>
      </c>
      <c r="C72" s="126"/>
      <c r="D72" s="126"/>
      <c r="E72" s="125">
        <v>1</v>
      </c>
      <c r="F72" s="125"/>
      <c r="G72" s="125">
        <v>0</v>
      </c>
      <c r="H72" s="126" t="s">
        <v>27</v>
      </c>
      <c r="I72" s="126"/>
      <c r="J72" s="126"/>
    </row>
    <row r="74" spans="2:12" x14ac:dyDescent="0.25">
      <c r="B74" s="126" t="s">
        <v>11</v>
      </c>
      <c r="C74" s="126"/>
      <c r="D74" s="126"/>
      <c r="E74" s="125">
        <v>1</v>
      </c>
      <c r="F74" s="125"/>
      <c r="G74" s="125">
        <v>3</v>
      </c>
      <c r="H74" s="126" t="s">
        <v>28</v>
      </c>
      <c r="I74" s="126"/>
      <c r="J74" s="126"/>
      <c r="L74" t="s">
        <v>76</v>
      </c>
    </row>
    <row r="75" spans="2:12" x14ac:dyDescent="0.25">
      <c r="B75" s="126" t="s">
        <v>19</v>
      </c>
      <c r="C75" s="126"/>
      <c r="D75" s="126"/>
      <c r="E75" s="125">
        <v>2</v>
      </c>
      <c r="F75" s="125"/>
      <c r="G75" s="125">
        <v>0</v>
      </c>
      <c r="H75" s="126" t="s">
        <v>11</v>
      </c>
      <c r="I75" s="126"/>
      <c r="J75" s="126"/>
    </row>
    <row r="76" spans="2:12" x14ac:dyDescent="0.25">
      <c r="B76" s="126" t="s">
        <v>14</v>
      </c>
      <c r="C76" s="126"/>
      <c r="D76" s="126"/>
      <c r="E76" s="125">
        <v>1</v>
      </c>
      <c r="F76" s="125"/>
      <c r="G76" s="125">
        <v>2</v>
      </c>
      <c r="H76" s="126" t="s">
        <v>28</v>
      </c>
      <c r="I76" s="126"/>
      <c r="J76" s="126"/>
    </row>
    <row r="77" spans="2:12" x14ac:dyDescent="0.25">
      <c r="B77" s="126" t="s">
        <v>26</v>
      </c>
      <c r="C77" s="126"/>
      <c r="D77" s="126"/>
      <c r="E77" s="125">
        <v>2</v>
      </c>
      <c r="F77" s="125"/>
      <c r="G77" s="125">
        <v>0</v>
      </c>
      <c r="H77" s="126" t="s">
        <v>55</v>
      </c>
      <c r="I77" s="126"/>
      <c r="J77" s="126"/>
    </row>
    <row r="78" spans="2:12" x14ac:dyDescent="0.25">
      <c r="B78" s="126" t="s">
        <v>30</v>
      </c>
      <c r="C78" s="126"/>
      <c r="D78" s="126"/>
      <c r="E78" s="125">
        <v>1</v>
      </c>
      <c r="F78" s="125"/>
      <c r="G78" s="125">
        <v>0</v>
      </c>
      <c r="H78" s="126" t="s">
        <v>9</v>
      </c>
      <c r="I78" s="126"/>
      <c r="J78" s="126"/>
    </row>
    <row r="79" spans="2:12" x14ac:dyDescent="0.25">
      <c r="B79" s="126" t="s">
        <v>8</v>
      </c>
      <c r="C79" s="126"/>
      <c r="D79" s="126"/>
      <c r="E79" s="125">
        <v>2</v>
      </c>
      <c r="F79" s="125"/>
      <c r="G79" s="125">
        <v>0</v>
      </c>
      <c r="H79" s="126" t="s">
        <v>29</v>
      </c>
      <c r="I79" s="126"/>
      <c r="J79" s="126"/>
    </row>
    <row r="80" spans="2:12" x14ac:dyDescent="0.25">
      <c r="B80" s="126" t="s">
        <v>20</v>
      </c>
      <c r="C80" s="126"/>
      <c r="D80" s="126"/>
      <c r="E80" s="125">
        <v>1</v>
      </c>
      <c r="F80" s="125"/>
      <c r="G80" s="125">
        <v>2</v>
      </c>
      <c r="H80" s="126" t="s">
        <v>17</v>
      </c>
      <c r="I80" s="126"/>
      <c r="J80" s="126"/>
    </row>
    <row r="82" spans="2:12" x14ac:dyDescent="0.25">
      <c r="B82" s="126" t="s">
        <v>26</v>
      </c>
      <c r="C82" s="126"/>
      <c r="D82" s="126"/>
      <c r="E82" s="125">
        <v>2</v>
      </c>
      <c r="F82" s="125"/>
      <c r="G82" s="125">
        <v>0</v>
      </c>
      <c r="H82" s="126" t="s">
        <v>55</v>
      </c>
      <c r="I82" s="126"/>
      <c r="J82" s="126"/>
      <c r="L82" t="s">
        <v>75</v>
      </c>
    </row>
    <row r="83" spans="2:12" x14ac:dyDescent="0.25">
      <c r="B83" s="126" t="s">
        <v>5</v>
      </c>
      <c r="C83" s="126"/>
      <c r="D83" s="126"/>
      <c r="E83" s="125">
        <v>2</v>
      </c>
      <c r="F83" s="125"/>
      <c r="G83" s="125">
        <v>0</v>
      </c>
      <c r="H83" s="126" t="s">
        <v>24</v>
      </c>
      <c r="I83" s="126"/>
      <c r="J83" s="126"/>
    </row>
    <row r="84" spans="2:12" x14ac:dyDescent="0.25">
      <c r="B84" s="126" t="s">
        <v>31</v>
      </c>
      <c r="C84" s="126"/>
      <c r="D84" s="126"/>
      <c r="E84" s="125">
        <v>0</v>
      </c>
      <c r="F84" s="125"/>
      <c r="G84" s="125">
        <v>1</v>
      </c>
      <c r="H84" s="126" t="s">
        <v>6</v>
      </c>
      <c r="I84" s="126"/>
      <c r="J84" s="126"/>
    </row>
    <row r="85" spans="2:12" x14ac:dyDescent="0.25">
      <c r="B85" s="126" t="s">
        <v>6</v>
      </c>
      <c r="C85" s="126"/>
      <c r="D85" s="126"/>
      <c r="E85" s="125">
        <v>1</v>
      </c>
      <c r="F85" s="125"/>
      <c r="G85" s="125">
        <v>0</v>
      </c>
      <c r="H85" s="126" t="s">
        <v>13</v>
      </c>
      <c r="I85" s="126"/>
      <c r="J85" s="126"/>
    </row>
    <row r="86" spans="2:12" x14ac:dyDescent="0.25">
      <c r="B86" s="126" t="s">
        <v>7</v>
      </c>
      <c r="C86" s="126"/>
      <c r="D86" s="126"/>
      <c r="E86" s="125">
        <v>1</v>
      </c>
      <c r="F86" s="125"/>
      <c r="G86" s="125">
        <v>0</v>
      </c>
      <c r="H86" s="126" t="s">
        <v>10</v>
      </c>
      <c r="I86" s="126"/>
      <c r="J86" s="126"/>
    </row>
    <row r="87" spans="2:12" x14ac:dyDescent="0.25">
      <c r="B87" s="126" t="s">
        <v>8</v>
      </c>
      <c r="C87" s="126"/>
      <c r="D87" s="126"/>
      <c r="E87" s="125">
        <v>2</v>
      </c>
      <c r="F87" s="125"/>
      <c r="G87" s="125">
        <v>0</v>
      </c>
      <c r="H87" s="126" t="s">
        <v>29</v>
      </c>
      <c r="I87" s="126"/>
      <c r="J87" s="126"/>
    </row>
    <row r="88" spans="2:12" x14ac:dyDescent="0.25">
      <c r="B88" s="126" t="s">
        <v>8</v>
      </c>
      <c r="C88" s="126"/>
      <c r="D88" s="126"/>
      <c r="E88" s="125">
        <v>1</v>
      </c>
      <c r="F88" s="125"/>
      <c r="G88" s="125">
        <v>0</v>
      </c>
      <c r="H88" s="126" t="s">
        <v>30</v>
      </c>
      <c r="I88" s="126"/>
      <c r="J88" s="126"/>
    </row>
    <row r="89" spans="2:12" x14ac:dyDescent="0.25">
      <c r="B89" s="126" t="s">
        <v>5</v>
      </c>
      <c r="C89" s="126"/>
      <c r="D89" s="126"/>
      <c r="E89" s="125">
        <v>2</v>
      </c>
      <c r="F89" s="125"/>
      <c r="G89" s="125">
        <v>1</v>
      </c>
      <c r="H89" s="126" t="s">
        <v>6</v>
      </c>
      <c r="I89" s="126"/>
      <c r="J89" s="126"/>
    </row>
    <row r="91" spans="2:12" x14ac:dyDescent="0.25">
      <c r="B91" s="126" t="s">
        <v>20</v>
      </c>
      <c r="C91" s="126"/>
      <c r="D91" s="126"/>
      <c r="E91" s="125">
        <v>0</v>
      </c>
      <c r="F91" s="125"/>
      <c r="G91" s="125">
        <v>0</v>
      </c>
      <c r="H91" s="126" t="s">
        <v>16</v>
      </c>
      <c r="I91" s="126"/>
      <c r="J91" s="126"/>
      <c r="L91" t="s">
        <v>74</v>
      </c>
    </row>
    <row r="92" spans="2:12" x14ac:dyDescent="0.25">
      <c r="B92" s="126" t="s">
        <v>21</v>
      </c>
      <c r="C92" s="126"/>
      <c r="D92" s="126"/>
      <c r="E92" s="125">
        <v>0</v>
      </c>
      <c r="F92" s="125"/>
      <c r="G92" s="125">
        <v>1</v>
      </c>
      <c r="H92" s="126" t="s">
        <v>16</v>
      </c>
      <c r="I92" s="126"/>
      <c r="J92" s="126"/>
    </row>
    <row r="93" spans="2:12" x14ac:dyDescent="0.25">
      <c r="B93" s="126" t="s">
        <v>34</v>
      </c>
      <c r="C93" s="126"/>
      <c r="D93" s="126"/>
      <c r="E93" s="125">
        <v>0</v>
      </c>
      <c r="F93" s="125"/>
      <c r="G93" s="125">
        <v>3</v>
      </c>
      <c r="H93" s="126" t="s">
        <v>20</v>
      </c>
      <c r="I93" s="126"/>
      <c r="J93" s="126"/>
    </row>
    <row r="94" spans="2:12" x14ac:dyDescent="0.25">
      <c r="B94" s="126" t="s">
        <v>13</v>
      </c>
      <c r="C94" s="126"/>
      <c r="D94" s="126"/>
      <c r="E94" s="125">
        <v>0</v>
      </c>
      <c r="F94" s="125"/>
      <c r="G94" s="125">
        <v>0</v>
      </c>
      <c r="H94" s="126" t="s">
        <v>31</v>
      </c>
      <c r="I94" s="126"/>
      <c r="J94" s="126"/>
    </row>
    <row r="95" spans="2:12" x14ac:dyDescent="0.25">
      <c r="B95" s="126" t="s">
        <v>20</v>
      </c>
      <c r="C95" s="126"/>
      <c r="D95" s="126"/>
      <c r="E95" s="125">
        <v>1</v>
      </c>
      <c r="F95" s="125"/>
      <c r="G95" s="125">
        <v>2</v>
      </c>
      <c r="H95" s="126" t="s">
        <v>17</v>
      </c>
      <c r="I95" s="126"/>
      <c r="J95" s="126"/>
    </row>
    <row r="96" spans="2:12" x14ac:dyDescent="0.25">
      <c r="B96" s="126" t="s">
        <v>17</v>
      </c>
      <c r="C96" s="126"/>
      <c r="D96" s="126"/>
      <c r="E96" s="125">
        <v>2</v>
      </c>
      <c r="F96" s="125"/>
      <c r="G96" s="125">
        <v>0</v>
      </c>
      <c r="H96" s="126" t="s">
        <v>23</v>
      </c>
      <c r="I96" s="126"/>
      <c r="J96" s="126"/>
    </row>
    <row r="98" spans="2:12" x14ac:dyDescent="0.25">
      <c r="B98" s="126" t="s">
        <v>28</v>
      </c>
      <c r="C98" s="126"/>
      <c r="D98" s="126"/>
      <c r="E98" s="125">
        <v>0</v>
      </c>
      <c r="F98" s="125"/>
      <c r="G98" s="125">
        <v>2</v>
      </c>
      <c r="H98" s="126" t="s">
        <v>19</v>
      </c>
      <c r="I98" s="126"/>
      <c r="J98" s="126"/>
      <c r="L98" t="s">
        <v>73</v>
      </c>
    </row>
    <row r="99" spans="2:12" x14ac:dyDescent="0.25">
      <c r="B99" s="126" t="s">
        <v>34</v>
      </c>
      <c r="C99" s="126"/>
      <c r="D99" s="126"/>
      <c r="E99" s="125">
        <v>0</v>
      </c>
      <c r="F99" s="125"/>
      <c r="G99" s="125">
        <v>3</v>
      </c>
      <c r="H99" s="126" t="s">
        <v>20</v>
      </c>
      <c r="I99" s="126"/>
      <c r="J99" s="126"/>
    </row>
    <row r="100" spans="2:12" x14ac:dyDescent="0.25">
      <c r="B100" s="126" t="s">
        <v>17</v>
      </c>
      <c r="C100" s="126"/>
      <c r="D100" s="126"/>
      <c r="E100" s="125">
        <v>2</v>
      </c>
      <c r="F100" s="125"/>
      <c r="G100" s="125">
        <v>1</v>
      </c>
      <c r="H100" s="126" t="s">
        <v>13</v>
      </c>
      <c r="I100" s="126"/>
      <c r="J100" s="126"/>
    </row>
    <row r="101" spans="2:12" x14ac:dyDescent="0.25">
      <c r="B101" s="126" t="s">
        <v>7</v>
      </c>
      <c r="C101" s="126"/>
      <c r="D101" s="126"/>
      <c r="E101" s="125">
        <v>1</v>
      </c>
      <c r="F101" s="125"/>
      <c r="G101" s="125">
        <v>0</v>
      </c>
      <c r="H101" s="126" t="s">
        <v>10</v>
      </c>
      <c r="I101" s="126"/>
      <c r="J101" s="126"/>
    </row>
    <row r="102" spans="2:12" x14ac:dyDescent="0.25">
      <c r="B102" s="126" t="s">
        <v>8</v>
      </c>
      <c r="C102" s="126"/>
      <c r="D102" s="126"/>
      <c r="E102" s="125">
        <v>2</v>
      </c>
      <c r="F102" s="125"/>
      <c r="G102" s="125">
        <v>0</v>
      </c>
      <c r="H102" s="126" t="s">
        <v>29</v>
      </c>
      <c r="I102" s="126"/>
      <c r="J102" s="126"/>
    </row>
    <row r="103" spans="2:12" x14ac:dyDescent="0.25">
      <c r="B103" s="126" t="s">
        <v>5</v>
      </c>
      <c r="C103" s="126"/>
      <c r="D103" s="126"/>
      <c r="E103" s="125">
        <v>2</v>
      </c>
      <c r="F103" s="125"/>
      <c r="G103" s="125">
        <v>1</v>
      </c>
      <c r="H103" s="126" t="s">
        <v>6</v>
      </c>
      <c r="I103" s="126"/>
      <c r="J103" s="126"/>
    </row>
    <row r="105" spans="2:12" x14ac:dyDescent="0.25">
      <c r="B105" s="126" t="s">
        <v>19</v>
      </c>
      <c r="C105" s="126"/>
      <c r="D105" s="126"/>
      <c r="E105" s="125">
        <v>2</v>
      </c>
      <c r="F105" s="125"/>
      <c r="G105" s="125">
        <v>0</v>
      </c>
      <c r="H105" s="126" t="s">
        <v>11</v>
      </c>
      <c r="I105" s="126"/>
      <c r="J105" s="126"/>
      <c r="L105" t="s">
        <v>71</v>
      </c>
    </row>
    <row r="106" spans="2:12" x14ac:dyDescent="0.25">
      <c r="B106" s="126" t="s">
        <v>16</v>
      </c>
      <c r="C106" s="126"/>
      <c r="D106" s="126"/>
      <c r="E106" s="125">
        <v>1</v>
      </c>
      <c r="F106" s="125"/>
      <c r="G106" s="125">
        <v>1</v>
      </c>
      <c r="H106" s="126" t="s">
        <v>34</v>
      </c>
      <c r="I106" s="126"/>
      <c r="J106" s="126"/>
    </row>
    <row r="107" spans="2:12" x14ac:dyDescent="0.25">
      <c r="B107" s="126" t="s">
        <v>26</v>
      </c>
      <c r="C107" s="126"/>
      <c r="D107" s="126"/>
      <c r="E107" s="125">
        <v>2</v>
      </c>
      <c r="F107" s="125"/>
      <c r="G107" s="125">
        <v>0</v>
      </c>
      <c r="H107" s="126" t="s">
        <v>55</v>
      </c>
      <c r="I107" s="126"/>
      <c r="J107" s="126"/>
    </row>
    <row r="108" spans="2:12" x14ac:dyDescent="0.25">
      <c r="B108" s="126" t="s">
        <v>55</v>
      </c>
      <c r="C108" s="126"/>
      <c r="D108" s="126"/>
      <c r="E108" s="125">
        <v>1</v>
      </c>
      <c r="F108" s="125"/>
      <c r="G108" s="125">
        <v>2</v>
      </c>
      <c r="H108" s="126" t="s">
        <v>24</v>
      </c>
      <c r="I108" s="126"/>
      <c r="J108" s="126"/>
    </row>
    <row r="109" spans="2:12" x14ac:dyDescent="0.25">
      <c r="B109" s="126" t="s">
        <v>6</v>
      </c>
      <c r="C109" s="126"/>
      <c r="D109" s="126"/>
      <c r="E109" s="125">
        <v>1</v>
      </c>
      <c r="F109" s="125"/>
      <c r="G109" s="125">
        <v>0</v>
      </c>
      <c r="H109" s="126" t="s">
        <v>13</v>
      </c>
      <c r="I109" s="126"/>
      <c r="J109" s="126"/>
    </row>
    <row r="110" spans="2:12" x14ac:dyDescent="0.25">
      <c r="B110" s="126" t="s">
        <v>8</v>
      </c>
      <c r="C110" s="126"/>
      <c r="D110" s="126"/>
      <c r="E110" s="125">
        <v>2</v>
      </c>
      <c r="F110" s="125"/>
      <c r="G110" s="125">
        <v>0</v>
      </c>
      <c r="H110" s="126" t="s">
        <v>29</v>
      </c>
      <c r="I110" s="126"/>
      <c r="J110" s="126"/>
    </row>
    <row r="112" spans="2:12" x14ac:dyDescent="0.25">
      <c r="B112" s="126" t="s">
        <v>16</v>
      </c>
      <c r="C112" s="126"/>
      <c r="D112" s="126"/>
      <c r="E112" s="125">
        <v>1</v>
      </c>
      <c r="F112" s="125"/>
      <c r="G112" s="125">
        <v>1</v>
      </c>
      <c r="H112" s="126" t="s">
        <v>34</v>
      </c>
      <c r="I112" s="126"/>
      <c r="J112" s="126"/>
      <c r="L112" t="s">
        <v>72</v>
      </c>
    </row>
    <row r="113" spans="2:12" x14ac:dyDescent="0.25">
      <c r="B113" s="126" t="s">
        <v>26</v>
      </c>
      <c r="C113" s="126"/>
      <c r="D113" s="126"/>
      <c r="E113" s="125">
        <v>2</v>
      </c>
      <c r="F113" s="125"/>
      <c r="G113" s="125">
        <v>0</v>
      </c>
      <c r="H113" s="126" t="s">
        <v>55</v>
      </c>
      <c r="I113" s="126"/>
      <c r="J113" s="126"/>
    </row>
    <row r="114" spans="2:12" x14ac:dyDescent="0.25">
      <c r="B114" s="126" t="s">
        <v>19</v>
      </c>
      <c r="C114" s="126"/>
      <c r="D114" s="126"/>
      <c r="E114" s="125">
        <v>2</v>
      </c>
      <c r="F114" s="125"/>
      <c r="G114" s="125">
        <v>2</v>
      </c>
      <c r="H114" s="126" t="s">
        <v>5</v>
      </c>
      <c r="I114" s="126"/>
      <c r="J114" s="126"/>
    </row>
    <row r="116" spans="2:12" x14ac:dyDescent="0.25">
      <c r="B116" s="126" t="s">
        <v>19</v>
      </c>
      <c r="C116" s="126"/>
      <c r="D116" s="126"/>
      <c r="E116" s="125">
        <v>1</v>
      </c>
      <c r="F116" s="125"/>
      <c r="G116" s="125">
        <v>1</v>
      </c>
      <c r="H116" s="126" t="s">
        <v>14</v>
      </c>
      <c r="I116" s="126"/>
      <c r="J116" s="126"/>
      <c r="L116" t="s">
        <v>69</v>
      </c>
    </row>
    <row r="117" spans="2:12" x14ac:dyDescent="0.25">
      <c r="B117" s="126" t="s">
        <v>19</v>
      </c>
      <c r="C117" s="126"/>
      <c r="D117" s="126"/>
      <c r="E117" s="125">
        <v>2</v>
      </c>
      <c r="F117" s="125"/>
      <c r="G117" s="125">
        <v>0</v>
      </c>
      <c r="H117" s="126" t="s">
        <v>11</v>
      </c>
      <c r="I117" s="126"/>
      <c r="J117" s="126"/>
    </row>
    <row r="118" spans="2:12" x14ac:dyDescent="0.25">
      <c r="B118" s="126" t="s">
        <v>22</v>
      </c>
      <c r="C118" s="126"/>
      <c r="D118" s="126"/>
      <c r="E118" s="125">
        <v>1</v>
      </c>
      <c r="F118" s="125"/>
      <c r="G118" s="125">
        <v>1</v>
      </c>
      <c r="H118" s="126" t="s">
        <v>12</v>
      </c>
      <c r="I118" s="126"/>
      <c r="J118" s="126"/>
    </row>
    <row r="119" spans="2:12" x14ac:dyDescent="0.25">
      <c r="B119" s="126" t="s">
        <v>19</v>
      </c>
      <c r="C119" s="126"/>
      <c r="D119" s="126"/>
      <c r="E119" s="125">
        <v>2</v>
      </c>
      <c r="F119" s="125"/>
      <c r="G119" s="125">
        <v>2</v>
      </c>
      <c r="H119" s="126" t="s">
        <v>5</v>
      </c>
      <c r="I119" s="126"/>
      <c r="J119" s="126"/>
    </row>
    <row r="120" spans="2:12" x14ac:dyDescent="0.25">
      <c r="B120" s="126" t="s">
        <v>20</v>
      </c>
      <c r="C120" s="126"/>
      <c r="D120" s="126"/>
      <c r="E120" s="125">
        <v>1</v>
      </c>
      <c r="F120" s="125"/>
      <c r="G120" s="125">
        <v>2</v>
      </c>
      <c r="H120" s="126" t="s">
        <v>17</v>
      </c>
      <c r="I120" s="126"/>
      <c r="J120" s="126"/>
    </row>
    <row r="121" spans="2:12" x14ac:dyDescent="0.25">
      <c r="B121" s="126" t="s">
        <v>5</v>
      </c>
      <c r="C121" s="126"/>
      <c r="D121" s="126"/>
      <c r="E121" s="125">
        <v>3</v>
      </c>
      <c r="F121" s="125"/>
      <c r="G121" s="125">
        <v>0</v>
      </c>
      <c r="H121" s="126" t="s">
        <v>12</v>
      </c>
      <c r="I121" s="126"/>
      <c r="J121" s="126"/>
    </row>
    <row r="123" spans="2:12" x14ac:dyDescent="0.25">
      <c r="B123" s="126" t="s">
        <v>11</v>
      </c>
      <c r="C123" s="126"/>
      <c r="D123" s="126"/>
      <c r="E123" s="125">
        <v>0</v>
      </c>
      <c r="F123" s="125"/>
      <c r="G123" s="125">
        <v>2</v>
      </c>
      <c r="H123" s="126" t="s">
        <v>14</v>
      </c>
      <c r="I123" s="126"/>
      <c r="J123" s="126"/>
      <c r="L123" t="s">
        <v>92</v>
      </c>
    </row>
    <row r="124" spans="2:12" x14ac:dyDescent="0.25">
      <c r="B124" s="126" t="s">
        <v>28</v>
      </c>
      <c r="C124" s="126"/>
      <c r="D124" s="126"/>
      <c r="E124" s="125">
        <v>0</v>
      </c>
      <c r="F124" s="125"/>
      <c r="G124" s="125">
        <v>2</v>
      </c>
      <c r="H124" s="126" t="s">
        <v>19</v>
      </c>
      <c r="I124" s="126"/>
      <c r="J124" s="126"/>
    </row>
    <row r="125" spans="2:12" x14ac:dyDescent="0.25">
      <c r="B125" s="126" t="s">
        <v>19</v>
      </c>
      <c r="C125" s="126"/>
      <c r="D125" s="126"/>
      <c r="E125" s="125">
        <v>1</v>
      </c>
      <c r="F125" s="125"/>
      <c r="G125" s="125">
        <v>1</v>
      </c>
      <c r="H125" s="126" t="s">
        <v>14</v>
      </c>
      <c r="I125" s="126"/>
      <c r="J125" s="126"/>
    </row>
    <row r="126" spans="2:12" x14ac:dyDescent="0.25">
      <c r="B126" s="126" t="s">
        <v>19</v>
      </c>
      <c r="C126" s="126"/>
      <c r="D126" s="126"/>
      <c r="E126" s="125">
        <v>2</v>
      </c>
      <c r="F126" s="125"/>
      <c r="G126" s="125">
        <v>0</v>
      </c>
      <c r="H126" s="126" t="s">
        <v>11</v>
      </c>
      <c r="I126" s="126"/>
      <c r="J126" s="126"/>
    </row>
    <row r="127" spans="2:12" x14ac:dyDescent="0.25">
      <c r="B127" s="126" t="s">
        <v>21</v>
      </c>
      <c r="C127" s="126"/>
      <c r="D127" s="126"/>
      <c r="E127" s="125">
        <v>0</v>
      </c>
      <c r="F127" s="125"/>
      <c r="G127" s="125">
        <v>1</v>
      </c>
      <c r="H127" s="126" t="s">
        <v>16</v>
      </c>
      <c r="I127" s="126"/>
      <c r="J127" s="126"/>
    </row>
    <row r="128" spans="2:12" x14ac:dyDescent="0.25">
      <c r="B128" s="126" t="s">
        <v>34</v>
      </c>
      <c r="C128" s="126"/>
      <c r="D128" s="126"/>
      <c r="E128" s="125">
        <v>0</v>
      </c>
      <c r="F128" s="125"/>
      <c r="G128" s="125">
        <v>3</v>
      </c>
      <c r="H128" s="126" t="s">
        <v>20</v>
      </c>
      <c r="I128" s="126"/>
      <c r="J128" s="126"/>
    </row>
    <row r="129" spans="2:12" x14ac:dyDescent="0.25">
      <c r="B129" s="126" t="s">
        <v>26</v>
      </c>
      <c r="C129" s="126"/>
      <c r="D129" s="126"/>
      <c r="E129" s="125">
        <v>2</v>
      </c>
      <c r="F129" s="125"/>
      <c r="G129" s="125">
        <v>0</v>
      </c>
      <c r="H129" s="126" t="s">
        <v>55</v>
      </c>
      <c r="I129" s="126"/>
      <c r="J129" s="126"/>
    </row>
    <row r="130" spans="2:12" x14ac:dyDescent="0.25">
      <c r="B130" s="126" t="s">
        <v>31</v>
      </c>
      <c r="C130" s="126"/>
      <c r="D130" s="126"/>
      <c r="E130" s="125">
        <v>0</v>
      </c>
      <c r="F130" s="125"/>
      <c r="G130" s="125">
        <v>1</v>
      </c>
      <c r="H130" s="126" t="s">
        <v>6</v>
      </c>
      <c r="I130" s="126"/>
      <c r="J130" s="126"/>
    </row>
    <row r="131" spans="2:12" x14ac:dyDescent="0.25">
      <c r="B131" s="126" t="s">
        <v>22</v>
      </c>
      <c r="C131" s="126"/>
      <c r="D131" s="126"/>
      <c r="E131" s="125">
        <v>0</v>
      </c>
      <c r="F131" s="125"/>
      <c r="G131" s="125">
        <v>1</v>
      </c>
      <c r="H131" s="126" t="s">
        <v>56</v>
      </c>
      <c r="I131" s="126"/>
      <c r="J131" s="126"/>
    </row>
    <row r="132" spans="2:12" x14ac:dyDescent="0.25">
      <c r="B132" s="126" t="s">
        <v>15</v>
      </c>
      <c r="C132" s="126"/>
      <c r="D132" s="126"/>
      <c r="E132" s="125">
        <v>1</v>
      </c>
      <c r="F132" s="125"/>
      <c r="G132" s="125">
        <v>1</v>
      </c>
      <c r="H132" s="126" t="s">
        <v>4</v>
      </c>
      <c r="I132" s="126"/>
      <c r="J132" s="126"/>
    </row>
    <row r="133" spans="2:12" x14ac:dyDescent="0.25">
      <c r="B133" s="126" t="s">
        <v>30</v>
      </c>
      <c r="C133" s="126"/>
      <c r="D133" s="126"/>
      <c r="E133" s="125">
        <v>1</v>
      </c>
      <c r="F133" s="125"/>
      <c r="G133" s="125">
        <v>0</v>
      </c>
      <c r="H133" s="126" t="s">
        <v>9</v>
      </c>
      <c r="I133" s="126"/>
      <c r="J133" s="126"/>
    </row>
    <row r="134" spans="2:12" x14ac:dyDescent="0.25">
      <c r="B134" s="126" t="s">
        <v>8</v>
      </c>
      <c r="C134" s="126"/>
      <c r="D134" s="126"/>
      <c r="E134" s="125">
        <v>2</v>
      </c>
      <c r="F134" s="125"/>
      <c r="G134" s="125">
        <v>0</v>
      </c>
      <c r="H134" s="126" t="s">
        <v>29</v>
      </c>
      <c r="I134" s="126"/>
      <c r="J134" s="126"/>
    </row>
    <row r="135" spans="2:12" x14ac:dyDescent="0.25">
      <c r="B135" s="126" t="s">
        <v>20</v>
      </c>
      <c r="C135" s="126"/>
      <c r="D135" s="126"/>
      <c r="E135" s="125">
        <v>1</v>
      </c>
      <c r="F135" s="125"/>
      <c r="G135" s="125">
        <v>2</v>
      </c>
      <c r="H135" s="126" t="s">
        <v>17</v>
      </c>
      <c r="I135" s="126"/>
      <c r="J135" s="126"/>
    </row>
    <row r="136" spans="2:12" x14ac:dyDescent="0.25">
      <c r="B136" s="126" t="s">
        <v>17</v>
      </c>
      <c r="C136" s="126"/>
      <c r="D136" s="126"/>
      <c r="E136" s="125">
        <v>2</v>
      </c>
      <c r="F136" s="125"/>
      <c r="G136" s="125">
        <v>0</v>
      </c>
      <c r="H136" s="126" t="s">
        <v>23</v>
      </c>
      <c r="I136" s="126"/>
      <c r="J136" s="126"/>
    </row>
    <row r="138" spans="2:12" x14ac:dyDescent="0.25">
      <c r="B138" s="126" t="s">
        <v>19</v>
      </c>
      <c r="C138" s="126"/>
      <c r="D138" s="126"/>
      <c r="E138" s="125">
        <v>1</v>
      </c>
      <c r="F138" s="125"/>
      <c r="G138" s="125">
        <v>1</v>
      </c>
      <c r="H138" s="126" t="s">
        <v>14</v>
      </c>
      <c r="I138" s="126"/>
      <c r="J138" s="126"/>
      <c r="L138" t="s">
        <v>91</v>
      </c>
    </row>
    <row r="139" spans="2:12" x14ac:dyDescent="0.25">
      <c r="B139" s="126" t="s">
        <v>19</v>
      </c>
      <c r="C139" s="126"/>
      <c r="D139" s="126"/>
      <c r="E139" s="125">
        <v>2</v>
      </c>
      <c r="F139" s="125"/>
      <c r="G139" s="125">
        <v>0</v>
      </c>
      <c r="H139" s="126" t="s">
        <v>11</v>
      </c>
      <c r="I139" s="126"/>
      <c r="J139" s="126"/>
    </row>
    <row r="140" spans="2:12" x14ac:dyDescent="0.25">
      <c r="B140" s="126" t="s">
        <v>34</v>
      </c>
      <c r="C140" s="126"/>
      <c r="D140" s="126"/>
      <c r="E140" s="125">
        <v>0</v>
      </c>
      <c r="F140" s="125"/>
      <c r="G140" s="125">
        <v>3</v>
      </c>
      <c r="H140" s="126" t="s">
        <v>20</v>
      </c>
      <c r="I140" s="126"/>
      <c r="J140" s="126"/>
    </row>
    <row r="141" spans="2:12" x14ac:dyDescent="0.25">
      <c r="B141" s="126" t="s">
        <v>26</v>
      </c>
      <c r="C141" s="126"/>
      <c r="D141" s="126"/>
      <c r="E141" s="125">
        <v>2</v>
      </c>
      <c r="F141" s="125"/>
      <c r="G141" s="125">
        <v>0</v>
      </c>
      <c r="H141" s="126" t="s">
        <v>55</v>
      </c>
      <c r="I141" s="126"/>
      <c r="J141" s="126"/>
    </row>
    <row r="142" spans="2:12" x14ac:dyDescent="0.25">
      <c r="B142" s="126" t="s">
        <v>6</v>
      </c>
      <c r="C142" s="126"/>
      <c r="D142" s="126"/>
      <c r="E142" s="125">
        <v>1</v>
      </c>
      <c r="F142" s="125"/>
      <c r="G142" s="125">
        <v>0</v>
      </c>
      <c r="H142" s="126" t="s">
        <v>13</v>
      </c>
      <c r="I142" s="126"/>
      <c r="J142" s="126"/>
    </row>
    <row r="143" spans="2:12" x14ac:dyDescent="0.25">
      <c r="B143" s="126" t="s">
        <v>8</v>
      </c>
      <c r="C143" s="126"/>
      <c r="D143" s="126"/>
      <c r="E143" s="125">
        <v>2</v>
      </c>
      <c r="F143" s="125"/>
      <c r="G143" s="125">
        <v>0</v>
      </c>
      <c r="H143" s="126" t="s">
        <v>29</v>
      </c>
      <c r="I143" s="126"/>
      <c r="J143" s="126"/>
    </row>
    <row r="144" spans="2:12" x14ac:dyDescent="0.25">
      <c r="B144" s="126" t="s">
        <v>5</v>
      </c>
      <c r="C144" s="126"/>
      <c r="D144" s="126"/>
      <c r="E144" s="125">
        <v>2</v>
      </c>
      <c r="F144" s="125"/>
      <c r="G144" s="125">
        <v>1</v>
      </c>
      <c r="H144" s="126" t="s">
        <v>6</v>
      </c>
      <c r="I144" s="126"/>
      <c r="J144" s="126"/>
    </row>
    <row r="145" spans="2:12" x14ac:dyDescent="0.25">
      <c r="B145" s="126" t="s">
        <v>17</v>
      </c>
      <c r="C145" s="126"/>
      <c r="D145" s="126"/>
      <c r="E145" s="125">
        <v>2</v>
      </c>
      <c r="F145" s="125"/>
      <c r="G145" s="125">
        <v>0</v>
      </c>
      <c r="H145" s="126" t="s">
        <v>23</v>
      </c>
      <c r="I145" s="126"/>
      <c r="J145" s="126"/>
    </row>
    <row r="147" spans="2:12" x14ac:dyDescent="0.25">
      <c r="B147" s="126" t="s">
        <v>14</v>
      </c>
      <c r="C147" s="126"/>
      <c r="D147" s="126"/>
      <c r="E147" s="125">
        <v>1</v>
      </c>
      <c r="F147" s="125"/>
      <c r="G147" s="125">
        <v>2</v>
      </c>
      <c r="H147" s="126" t="s">
        <v>28</v>
      </c>
      <c r="I147" s="126"/>
      <c r="J147" s="126"/>
      <c r="L147" t="s">
        <v>70</v>
      </c>
    </row>
    <row r="148" spans="2:12" x14ac:dyDescent="0.25">
      <c r="B148" s="126" t="s">
        <v>16</v>
      </c>
      <c r="C148" s="126"/>
      <c r="D148" s="126"/>
      <c r="E148" s="125">
        <v>1</v>
      </c>
      <c r="F148" s="125"/>
      <c r="G148" s="125">
        <v>1</v>
      </c>
      <c r="H148" s="126" t="s">
        <v>34</v>
      </c>
      <c r="I148" s="126"/>
      <c r="J148" s="126"/>
    </row>
    <row r="149" spans="2:12" x14ac:dyDescent="0.25">
      <c r="B149" s="126" t="s">
        <v>5</v>
      </c>
      <c r="C149" s="126"/>
      <c r="D149" s="126"/>
      <c r="E149" s="125">
        <v>2</v>
      </c>
      <c r="F149" s="125"/>
      <c r="G149" s="125">
        <v>0</v>
      </c>
      <c r="H149" s="126" t="s">
        <v>24</v>
      </c>
      <c r="I149" s="126"/>
      <c r="J149" s="126"/>
    </row>
    <row r="150" spans="2:12" x14ac:dyDescent="0.25">
      <c r="B150" s="126" t="s">
        <v>55</v>
      </c>
      <c r="C150" s="126"/>
      <c r="D150" s="126"/>
      <c r="E150" s="125">
        <v>1</v>
      </c>
      <c r="F150" s="125"/>
      <c r="G150" s="125">
        <v>2</v>
      </c>
      <c r="H150" s="126" t="s">
        <v>24</v>
      </c>
      <c r="I150" s="126"/>
      <c r="J150" s="126"/>
    </row>
    <row r="151" spans="2:12" x14ac:dyDescent="0.25">
      <c r="B151" s="126" t="s">
        <v>15</v>
      </c>
      <c r="C151" s="126"/>
      <c r="D151" s="126"/>
      <c r="E151" s="125">
        <v>1</v>
      </c>
      <c r="F151" s="125"/>
      <c r="G151" s="125">
        <v>1</v>
      </c>
      <c r="H151" s="126" t="s">
        <v>4</v>
      </c>
      <c r="I151" s="126"/>
      <c r="J151" s="126"/>
    </row>
    <row r="152" spans="2:12" x14ac:dyDescent="0.25">
      <c r="B152" s="126" t="s">
        <v>10</v>
      </c>
      <c r="C152" s="126"/>
      <c r="D152" s="126"/>
      <c r="E152" s="125">
        <v>1</v>
      </c>
      <c r="F152" s="125"/>
      <c r="G152" s="125">
        <v>2</v>
      </c>
      <c r="H152" s="126" t="s">
        <v>23</v>
      </c>
      <c r="I152" s="126"/>
      <c r="J152" s="126"/>
    </row>
    <row r="153" spans="2:12" x14ac:dyDescent="0.25">
      <c r="B153" s="126" t="s">
        <v>8</v>
      </c>
      <c r="C153" s="126"/>
      <c r="D153" s="126"/>
      <c r="E153" s="125">
        <v>2</v>
      </c>
      <c r="F153" s="125"/>
      <c r="G153" s="125">
        <v>0</v>
      </c>
      <c r="H153" s="126" t="s">
        <v>29</v>
      </c>
      <c r="I153" s="126"/>
      <c r="J153" s="126"/>
    </row>
    <row r="154" spans="2:12" x14ac:dyDescent="0.25">
      <c r="B154" s="126" t="s">
        <v>22</v>
      </c>
      <c r="C154" s="126"/>
      <c r="D154" s="126"/>
      <c r="E154" s="125">
        <v>1</v>
      </c>
      <c r="F154" s="125"/>
      <c r="G154" s="125">
        <v>1</v>
      </c>
      <c r="H154" s="126" t="s">
        <v>12</v>
      </c>
      <c r="I154" s="126"/>
      <c r="J154" s="126"/>
    </row>
  </sheetData>
  <mergeCells count="262">
    <mergeCell ref="B7:D7"/>
    <mergeCell ref="H7:J7"/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  <mergeCell ref="B20:D20"/>
    <mergeCell ref="H20:J20"/>
    <mergeCell ref="B9:D9"/>
    <mergeCell ref="H9:J9"/>
    <mergeCell ref="B10:D10"/>
    <mergeCell ref="H10:J10"/>
    <mergeCell ref="B11:D11"/>
    <mergeCell ref="H11:J11"/>
    <mergeCell ref="B12:D12"/>
    <mergeCell ref="H12:J12"/>
    <mergeCell ref="B13:D13"/>
    <mergeCell ref="H13:J13"/>
    <mergeCell ref="B15:D15"/>
    <mergeCell ref="H15:J15"/>
    <mergeCell ref="B16:D16"/>
    <mergeCell ref="H16:J16"/>
    <mergeCell ref="B17:D17"/>
    <mergeCell ref="H17:J17"/>
    <mergeCell ref="B18:D18"/>
    <mergeCell ref="H18:J18"/>
    <mergeCell ref="B19:D19"/>
    <mergeCell ref="H19:J19"/>
    <mergeCell ref="B26:D26"/>
    <mergeCell ref="H26:J26"/>
    <mergeCell ref="B27:D27"/>
    <mergeCell ref="H27:J27"/>
    <mergeCell ref="B28:D28"/>
    <mergeCell ref="H28:J28"/>
    <mergeCell ref="B22:D22"/>
    <mergeCell ref="H22:J22"/>
    <mergeCell ref="B23:D23"/>
    <mergeCell ref="H23:J23"/>
    <mergeCell ref="B24:D24"/>
    <mergeCell ref="H24:J24"/>
    <mergeCell ref="B30:D30"/>
    <mergeCell ref="H30:J30"/>
    <mergeCell ref="B31:D31"/>
    <mergeCell ref="H31:J31"/>
    <mergeCell ref="B32:D32"/>
    <mergeCell ref="H32:J32"/>
    <mergeCell ref="B33:D33"/>
    <mergeCell ref="H33:J33"/>
    <mergeCell ref="B34:D34"/>
    <mergeCell ref="H34:J34"/>
    <mergeCell ref="B48:D48"/>
    <mergeCell ref="H48:J48"/>
    <mergeCell ref="B44:D44"/>
    <mergeCell ref="H44:J44"/>
    <mergeCell ref="B45:D45"/>
    <mergeCell ref="H45:J45"/>
    <mergeCell ref="B46:D46"/>
    <mergeCell ref="H46:J46"/>
    <mergeCell ref="B36:D36"/>
    <mergeCell ref="H36:J36"/>
    <mergeCell ref="B37:D37"/>
    <mergeCell ref="H37:J37"/>
    <mergeCell ref="B38:D38"/>
    <mergeCell ref="H38:J38"/>
    <mergeCell ref="B39:D39"/>
    <mergeCell ref="H39:J39"/>
    <mergeCell ref="B40:D40"/>
    <mergeCell ref="H40:J40"/>
    <mergeCell ref="B41:D41"/>
    <mergeCell ref="H41:J41"/>
    <mergeCell ref="B42:D42"/>
    <mergeCell ref="H42:J42"/>
    <mergeCell ref="B55:D55"/>
    <mergeCell ref="H55:J55"/>
    <mergeCell ref="B56:D56"/>
    <mergeCell ref="H56:J56"/>
    <mergeCell ref="B57:D57"/>
    <mergeCell ref="H57:J57"/>
    <mergeCell ref="B58:D58"/>
    <mergeCell ref="H58:J58"/>
    <mergeCell ref="B50:D50"/>
    <mergeCell ref="H50:J50"/>
    <mergeCell ref="B51:D51"/>
    <mergeCell ref="H51:J51"/>
    <mergeCell ref="B52:D52"/>
    <mergeCell ref="H52:J52"/>
    <mergeCell ref="B53:D53"/>
    <mergeCell ref="H53:J53"/>
    <mergeCell ref="B72:D72"/>
    <mergeCell ref="H72:J72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87:D87"/>
    <mergeCell ref="H87:J87"/>
    <mergeCell ref="B88:D88"/>
    <mergeCell ref="H88:J88"/>
    <mergeCell ref="B89:D89"/>
    <mergeCell ref="H89:J89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79:D79"/>
    <mergeCell ref="H79:J79"/>
    <mergeCell ref="B80:D80"/>
    <mergeCell ref="H80:J80"/>
    <mergeCell ref="B82:D82"/>
    <mergeCell ref="H82:J82"/>
    <mergeCell ref="B83:D83"/>
    <mergeCell ref="H83:J83"/>
    <mergeCell ref="B84:D84"/>
    <mergeCell ref="H84:J84"/>
    <mergeCell ref="B85:D85"/>
    <mergeCell ref="H85:J85"/>
    <mergeCell ref="B86:D86"/>
    <mergeCell ref="H86:J86"/>
    <mergeCell ref="B103:D103"/>
    <mergeCell ref="H103:J103"/>
    <mergeCell ref="B91:D91"/>
    <mergeCell ref="H91:J91"/>
    <mergeCell ref="B92:D92"/>
    <mergeCell ref="H92:J92"/>
    <mergeCell ref="B93:D93"/>
    <mergeCell ref="H93:J93"/>
    <mergeCell ref="B94:D94"/>
    <mergeCell ref="H94:J94"/>
    <mergeCell ref="B95:D95"/>
    <mergeCell ref="H95:J95"/>
    <mergeCell ref="B96:D96"/>
    <mergeCell ref="H96:J96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12:D112"/>
    <mergeCell ref="H112:J112"/>
    <mergeCell ref="B113:D113"/>
    <mergeCell ref="H113:J113"/>
    <mergeCell ref="B114:D114"/>
    <mergeCell ref="H114:J11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28:D128"/>
    <mergeCell ref="H128:J128"/>
    <mergeCell ref="B129:D129"/>
    <mergeCell ref="H129:J129"/>
    <mergeCell ref="B130:D130"/>
    <mergeCell ref="H130:J130"/>
    <mergeCell ref="B135:D135"/>
    <mergeCell ref="H135:J135"/>
    <mergeCell ref="B116:D116"/>
    <mergeCell ref="H116:J116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23:D123"/>
    <mergeCell ref="H123:J123"/>
    <mergeCell ref="B124:D124"/>
    <mergeCell ref="H124:J124"/>
    <mergeCell ref="B125:D125"/>
    <mergeCell ref="H125:J125"/>
    <mergeCell ref="B126:D126"/>
    <mergeCell ref="H126:J126"/>
    <mergeCell ref="B127:D127"/>
    <mergeCell ref="H127:J127"/>
    <mergeCell ref="B153:D153"/>
    <mergeCell ref="H153:J153"/>
    <mergeCell ref="B138:D138"/>
    <mergeCell ref="H138:J138"/>
    <mergeCell ref="B139:D139"/>
    <mergeCell ref="H139:J139"/>
    <mergeCell ref="B140:D140"/>
    <mergeCell ref="H140:J140"/>
    <mergeCell ref="B141:D141"/>
    <mergeCell ref="H141:J141"/>
    <mergeCell ref="B142:D142"/>
    <mergeCell ref="H142:J142"/>
    <mergeCell ref="B143:D143"/>
    <mergeCell ref="H143:J143"/>
    <mergeCell ref="B144:D144"/>
    <mergeCell ref="H144:J144"/>
    <mergeCell ref="B145:D145"/>
    <mergeCell ref="H145:J145"/>
    <mergeCell ref="B154:D154"/>
    <mergeCell ref="H154:J154"/>
    <mergeCell ref="B131:D131"/>
    <mergeCell ref="H131:J131"/>
    <mergeCell ref="B132:D132"/>
    <mergeCell ref="H132:J132"/>
    <mergeCell ref="B133:D133"/>
    <mergeCell ref="H133:J133"/>
    <mergeCell ref="B134:D134"/>
    <mergeCell ref="H134:J134"/>
    <mergeCell ref="B136:D136"/>
    <mergeCell ref="H136:J136"/>
    <mergeCell ref="B152:D152"/>
    <mergeCell ref="H152:J152"/>
    <mergeCell ref="B147:D147"/>
    <mergeCell ref="H147:J147"/>
    <mergeCell ref="B148:D148"/>
    <mergeCell ref="H148:J148"/>
    <mergeCell ref="B149:D149"/>
    <mergeCell ref="H149:J149"/>
    <mergeCell ref="B150:D150"/>
    <mergeCell ref="H150:J150"/>
    <mergeCell ref="B151:D151"/>
    <mergeCell ref="H151:J1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5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9" t="s">
        <v>90</v>
      </c>
      <c r="C1" s="130"/>
      <c r="D1" s="130"/>
      <c r="E1" s="130"/>
      <c r="F1" s="130"/>
      <c r="G1" s="130"/>
      <c r="H1" s="130"/>
      <c r="I1" s="131"/>
      <c r="M1" s="127"/>
      <c r="N1" s="127"/>
      <c r="O1" s="127"/>
      <c r="P1" s="128"/>
      <c r="Q1" s="128"/>
      <c r="R1" s="128"/>
      <c r="S1" s="127"/>
      <c r="T1" s="127"/>
      <c r="U1" s="127"/>
      <c r="V1" s="128"/>
      <c r="W1" s="128"/>
      <c r="X1" s="128"/>
    </row>
    <row r="2" spans="2:24" s="32" customFormat="1" ht="39" customHeight="1" x14ac:dyDescent="0.25">
      <c r="B2" s="31"/>
      <c r="C2" s="53" t="s">
        <v>118</v>
      </c>
      <c r="D2" s="52" t="s">
        <v>52</v>
      </c>
      <c r="E2" s="54" t="s">
        <v>119</v>
      </c>
      <c r="F2" s="52" t="s">
        <v>122</v>
      </c>
      <c r="G2" s="54" t="s">
        <v>120</v>
      </c>
      <c r="H2" s="52" t="s">
        <v>123</v>
      </c>
      <c r="I2" s="55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655</v>
      </c>
      <c r="E3" s="44">
        <f>VLOOKUP(C3,O$3:U$25,3,0)</f>
        <v>14</v>
      </c>
      <c r="F3" s="44">
        <f>VLOOKUP(C3,O$3:U$25,4,0)</f>
        <v>7</v>
      </c>
      <c r="G3" s="44">
        <f>VLOOKUP(C3,O$3:U$25,5,0)</f>
        <v>16</v>
      </c>
      <c r="H3" s="44">
        <f>VLOOKUP(C3,O$3:U$25,6,0)</f>
        <v>8</v>
      </c>
      <c r="I3" s="45">
        <f>VLOOKUP(C3,O$3:U$25,7,0)</f>
        <v>17</v>
      </c>
      <c r="K3" s="36" t="s">
        <v>92</v>
      </c>
      <c r="L3" s="36">
        <f>'Bruno Flores'!Q$11</f>
        <v>655</v>
      </c>
      <c r="M3" s="36"/>
      <c r="N3" s="36"/>
      <c r="O3" s="37" t="s">
        <v>70</v>
      </c>
      <c r="P3" s="33">
        <f>Macélio!Q$11</f>
        <v>600</v>
      </c>
      <c r="Q3" s="22">
        <v>8</v>
      </c>
      <c r="R3" s="22">
        <v>12</v>
      </c>
      <c r="S3" s="22">
        <v>14</v>
      </c>
      <c r="T3" s="22">
        <v>16</v>
      </c>
      <c r="U3" s="22">
        <v>12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600</v>
      </c>
      <c r="E4" s="47">
        <f t="shared" ref="E4:E25" si="2">VLOOKUP(C4,O$3:U$25,3,0)</f>
        <v>8</v>
      </c>
      <c r="F4" s="47">
        <f t="shared" ref="F4:F25" si="3">VLOOKUP(C4,O$3:U$25,4,0)</f>
        <v>12</v>
      </c>
      <c r="G4" s="47">
        <f t="shared" ref="G4:G25" si="4">VLOOKUP(C4,O$3:U$25,5,0)</f>
        <v>14</v>
      </c>
      <c r="H4" s="47">
        <f t="shared" ref="H4:H25" si="5">VLOOKUP(C4,O$3:U$25,6,0)</f>
        <v>16</v>
      </c>
      <c r="I4" s="48">
        <f t="shared" ref="I4:I25" si="6">VLOOKUP(C4,O$3:U$25,7,0)</f>
        <v>12</v>
      </c>
      <c r="K4" s="36" t="s">
        <v>70</v>
      </c>
      <c r="L4" s="36">
        <f>Macélio!Q$11</f>
        <v>600</v>
      </c>
      <c r="M4" s="36"/>
      <c r="N4" s="36"/>
      <c r="O4" s="37" t="s">
        <v>91</v>
      </c>
      <c r="P4" s="33">
        <f>'Ivan Alex_1'!Q$11</f>
        <v>595</v>
      </c>
      <c r="Q4" s="42">
        <v>8</v>
      </c>
      <c r="R4" s="42">
        <v>14</v>
      </c>
      <c r="S4" s="42">
        <v>13</v>
      </c>
      <c r="T4" s="42">
        <v>11</v>
      </c>
      <c r="U4" s="42">
        <v>16</v>
      </c>
      <c r="V4" s="38"/>
    </row>
    <row r="5" spans="2:24" x14ac:dyDescent="0.25">
      <c r="B5" s="122" t="s">
        <v>97</v>
      </c>
      <c r="C5" s="123" t="str">
        <f t="shared" si="0"/>
        <v>Ivan Alex_1</v>
      </c>
      <c r="D5" s="123">
        <f t="shared" si="1"/>
        <v>595</v>
      </c>
      <c r="E5" s="123">
        <f t="shared" si="2"/>
        <v>8</v>
      </c>
      <c r="F5" s="123">
        <f t="shared" si="3"/>
        <v>14</v>
      </c>
      <c r="G5" s="123">
        <f t="shared" si="4"/>
        <v>13</v>
      </c>
      <c r="H5" s="123">
        <f t="shared" si="5"/>
        <v>11</v>
      </c>
      <c r="I5" s="124">
        <f t="shared" si="6"/>
        <v>16</v>
      </c>
      <c r="K5" s="36" t="s">
        <v>91</v>
      </c>
      <c r="L5" s="36">
        <f>'Ivan Alex_1'!Q$11</f>
        <v>595</v>
      </c>
      <c r="M5" s="36"/>
      <c r="N5" s="36"/>
      <c r="O5" s="37" t="s">
        <v>92</v>
      </c>
      <c r="P5" s="33">
        <f>'Bruno Flores'!Q$11</f>
        <v>655</v>
      </c>
      <c r="Q5" s="22">
        <v>14</v>
      </c>
      <c r="R5" s="22">
        <v>7</v>
      </c>
      <c r="S5" s="22">
        <v>16</v>
      </c>
      <c r="T5" s="22">
        <v>8</v>
      </c>
      <c r="U5" s="22">
        <v>17</v>
      </c>
      <c r="V5" s="38"/>
    </row>
    <row r="6" spans="2:24" x14ac:dyDescent="0.25">
      <c r="B6" s="59" t="s">
        <v>98</v>
      </c>
      <c r="C6" s="60" t="str">
        <f t="shared" si="0"/>
        <v>Luana</v>
      </c>
      <c r="D6" s="60">
        <f t="shared" si="1"/>
        <v>560</v>
      </c>
      <c r="E6" s="60">
        <f t="shared" si="2"/>
        <v>8</v>
      </c>
      <c r="F6" s="60">
        <f t="shared" si="3"/>
        <v>12</v>
      </c>
      <c r="G6" s="60">
        <f t="shared" si="4"/>
        <v>12</v>
      </c>
      <c r="H6" s="60">
        <f t="shared" si="5"/>
        <v>12</v>
      </c>
      <c r="I6" s="61">
        <f t="shared" si="6"/>
        <v>18</v>
      </c>
      <c r="K6" s="36" t="s">
        <v>75</v>
      </c>
      <c r="L6" s="36">
        <f>Luana!Q$11</f>
        <v>560</v>
      </c>
      <c r="M6" s="36"/>
      <c r="N6" s="36"/>
      <c r="O6" s="37" t="s">
        <v>69</v>
      </c>
      <c r="P6" s="33">
        <f>'Ivan Alex_2'!Q$11</f>
        <v>535</v>
      </c>
      <c r="Q6" s="22">
        <v>6</v>
      </c>
      <c r="R6" s="22">
        <v>10</v>
      </c>
      <c r="S6" s="22">
        <v>15</v>
      </c>
      <c r="T6" s="22">
        <v>17</v>
      </c>
      <c r="U6" s="22">
        <v>14</v>
      </c>
      <c r="V6" s="38"/>
    </row>
    <row r="7" spans="2:24" x14ac:dyDescent="0.25">
      <c r="B7" s="59" t="s">
        <v>99</v>
      </c>
      <c r="C7" s="60" t="str">
        <f t="shared" si="0"/>
        <v>Jean</v>
      </c>
      <c r="D7" s="60">
        <f t="shared" si="1"/>
        <v>560</v>
      </c>
      <c r="E7" s="60">
        <f t="shared" si="2"/>
        <v>6</v>
      </c>
      <c r="F7" s="60">
        <f t="shared" si="3"/>
        <v>14</v>
      </c>
      <c r="G7" s="60">
        <f t="shared" si="4"/>
        <v>14</v>
      </c>
      <c r="H7" s="60">
        <f t="shared" si="5"/>
        <v>12</v>
      </c>
      <c r="I7" s="61">
        <f t="shared" si="6"/>
        <v>15</v>
      </c>
      <c r="K7" s="36" t="s">
        <v>78</v>
      </c>
      <c r="L7" s="36">
        <f>Jean!Q$11</f>
        <v>560</v>
      </c>
      <c r="M7" s="36"/>
      <c r="N7" s="36"/>
      <c r="O7" s="37" t="s">
        <v>72</v>
      </c>
      <c r="P7" s="33">
        <f>Gabriel!Q$11</f>
        <v>455</v>
      </c>
      <c r="Q7" s="22">
        <v>3</v>
      </c>
      <c r="R7" s="22">
        <v>11</v>
      </c>
      <c r="S7" s="22">
        <v>15</v>
      </c>
      <c r="T7" s="22">
        <v>13</v>
      </c>
      <c r="U7" s="22">
        <v>19</v>
      </c>
      <c r="V7" s="38"/>
    </row>
    <row r="8" spans="2:24" x14ac:dyDescent="0.25">
      <c r="B8" s="59" t="s">
        <v>100</v>
      </c>
      <c r="C8" s="60" t="str">
        <f t="shared" si="0"/>
        <v>Mácio</v>
      </c>
      <c r="D8" s="60">
        <f t="shared" si="1"/>
        <v>540</v>
      </c>
      <c r="E8" s="60">
        <f t="shared" si="2"/>
        <v>7</v>
      </c>
      <c r="F8" s="60">
        <f t="shared" si="3"/>
        <v>14</v>
      </c>
      <c r="G8" s="60">
        <f t="shared" si="4"/>
        <v>11</v>
      </c>
      <c r="H8" s="60">
        <f t="shared" si="5"/>
        <v>9</v>
      </c>
      <c r="I8" s="61">
        <f t="shared" si="6"/>
        <v>21</v>
      </c>
      <c r="K8" s="36" t="s">
        <v>76</v>
      </c>
      <c r="L8" s="36">
        <f>Mácio!Q$11</f>
        <v>540</v>
      </c>
      <c r="M8" s="36"/>
      <c r="N8" s="36"/>
      <c r="O8" s="37" t="s">
        <v>71</v>
      </c>
      <c r="P8" s="33">
        <f>Luis!Q$11</f>
        <v>480</v>
      </c>
      <c r="Q8" s="22">
        <v>6</v>
      </c>
      <c r="R8" s="22">
        <v>11</v>
      </c>
      <c r="S8" s="22">
        <v>11</v>
      </c>
      <c r="T8" s="22">
        <v>11</v>
      </c>
      <c r="U8" s="22">
        <v>22</v>
      </c>
      <c r="V8" s="38"/>
    </row>
    <row r="9" spans="2:24" x14ac:dyDescent="0.25">
      <c r="B9" s="59" t="s">
        <v>101</v>
      </c>
      <c r="C9" s="60" t="str">
        <f t="shared" si="0"/>
        <v>Ivan Alex_2</v>
      </c>
      <c r="D9" s="60">
        <f t="shared" si="1"/>
        <v>535</v>
      </c>
      <c r="E9" s="60">
        <f t="shared" si="2"/>
        <v>6</v>
      </c>
      <c r="F9" s="60">
        <f t="shared" si="3"/>
        <v>10</v>
      </c>
      <c r="G9" s="60">
        <f t="shared" si="4"/>
        <v>15</v>
      </c>
      <c r="H9" s="60">
        <f t="shared" si="5"/>
        <v>17</v>
      </c>
      <c r="I9" s="61">
        <f t="shared" si="6"/>
        <v>14</v>
      </c>
      <c r="K9" s="36" t="s">
        <v>69</v>
      </c>
      <c r="L9" s="36">
        <f>'Ivan Alex_2'!Q$11</f>
        <v>535</v>
      </c>
      <c r="M9" s="36"/>
      <c r="N9" s="36"/>
      <c r="O9" s="37" t="s">
        <v>73</v>
      </c>
      <c r="P9" s="33">
        <f>Juninho_1!Q$11</f>
        <v>520</v>
      </c>
      <c r="Q9" s="22">
        <v>6</v>
      </c>
      <c r="R9" s="22">
        <v>8</v>
      </c>
      <c r="S9" s="22">
        <v>17</v>
      </c>
      <c r="T9" s="22">
        <v>16</v>
      </c>
      <c r="U9" s="22">
        <v>15</v>
      </c>
      <c r="V9" s="38"/>
    </row>
    <row r="10" spans="2:24" x14ac:dyDescent="0.25">
      <c r="B10" s="35" t="s">
        <v>102</v>
      </c>
      <c r="C10" s="27" t="str">
        <f t="shared" si="0"/>
        <v>Juninho_2</v>
      </c>
      <c r="D10" s="27">
        <f t="shared" si="1"/>
        <v>535</v>
      </c>
      <c r="E10" s="27">
        <f t="shared" si="2"/>
        <v>6</v>
      </c>
      <c r="F10" s="27">
        <f t="shared" si="3"/>
        <v>15</v>
      </c>
      <c r="G10" s="27">
        <f t="shared" si="4"/>
        <v>9</v>
      </c>
      <c r="H10" s="27">
        <f t="shared" si="5"/>
        <v>14</v>
      </c>
      <c r="I10" s="28">
        <f t="shared" si="6"/>
        <v>18</v>
      </c>
      <c r="J10" s="36"/>
      <c r="K10" s="36" t="s">
        <v>74</v>
      </c>
      <c r="L10" s="36">
        <f>Juninho_2!Q$11</f>
        <v>535</v>
      </c>
      <c r="M10" s="36"/>
      <c r="N10" s="36"/>
      <c r="O10" s="37" t="s">
        <v>74</v>
      </c>
      <c r="P10" s="33">
        <f>Juninho_2!Q$11</f>
        <v>535</v>
      </c>
      <c r="Q10" s="22">
        <v>6</v>
      </c>
      <c r="R10" s="22">
        <v>15</v>
      </c>
      <c r="S10" s="22">
        <v>9</v>
      </c>
      <c r="T10" s="22">
        <v>14</v>
      </c>
      <c r="U10" s="22">
        <v>18</v>
      </c>
      <c r="V10" s="38"/>
    </row>
    <row r="11" spans="2:24" x14ac:dyDescent="0.25">
      <c r="B11" s="35" t="s">
        <v>103</v>
      </c>
      <c r="C11" s="27" t="str">
        <f t="shared" si="0"/>
        <v>Joseir_2</v>
      </c>
      <c r="D11" s="27">
        <f t="shared" si="1"/>
        <v>530</v>
      </c>
      <c r="E11" s="27">
        <f t="shared" si="2"/>
        <v>7</v>
      </c>
      <c r="F11" s="27">
        <f t="shared" si="3"/>
        <v>10</v>
      </c>
      <c r="G11" s="27">
        <f t="shared" si="4"/>
        <v>11</v>
      </c>
      <c r="H11" s="27">
        <f t="shared" si="5"/>
        <v>19</v>
      </c>
      <c r="I11" s="28">
        <f t="shared" si="6"/>
        <v>14</v>
      </c>
      <c r="K11" s="36" t="s">
        <v>83</v>
      </c>
      <c r="L11" s="36">
        <f>Joseir_2!Q$11</f>
        <v>530</v>
      </c>
      <c r="M11" s="36"/>
      <c r="N11" s="36"/>
      <c r="O11" s="37" t="s">
        <v>75</v>
      </c>
      <c r="P11" s="33">
        <f>Luana!Q$11</f>
        <v>560</v>
      </c>
      <c r="Q11" s="22">
        <v>8</v>
      </c>
      <c r="R11" s="22">
        <v>12</v>
      </c>
      <c r="S11" s="22">
        <v>12</v>
      </c>
      <c r="T11" s="22">
        <v>12</v>
      </c>
      <c r="U11" s="22">
        <v>18</v>
      </c>
      <c r="V11" s="38"/>
    </row>
    <row r="12" spans="2:24" x14ac:dyDescent="0.25">
      <c r="B12" s="35" t="s">
        <v>104</v>
      </c>
      <c r="C12" s="27" t="str">
        <f t="shared" si="0"/>
        <v>Cléofaz</v>
      </c>
      <c r="D12" s="27">
        <f t="shared" si="1"/>
        <v>525</v>
      </c>
      <c r="E12" s="27">
        <f t="shared" si="2"/>
        <v>6</v>
      </c>
      <c r="F12" s="27">
        <f t="shared" si="3"/>
        <v>9</v>
      </c>
      <c r="G12" s="27">
        <f t="shared" si="4"/>
        <v>19</v>
      </c>
      <c r="H12" s="27">
        <f t="shared" si="5"/>
        <v>10</v>
      </c>
      <c r="I12" s="28">
        <f t="shared" si="6"/>
        <v>16</v>
      </c>
      <c r="K12" s="36" t="s">
        <v>89</v>
      </c>
      <c r="L12" s="36">
        <f>Cléofaz!Q$11</f>
        <v>525</v>
      </c>
      <c r="M12" s="36"/>
      <c r="N12" s="36"/>
      <c r="O12" s="37" t="s">
        <v>76</v>
      </c>
      <c r="P12" s="33">
        <f>Mácio!Q$11</f>
        <v>540</v>
      </c>
      <c r="Q12" s="22">
        <v>7</v>
      </c>
      <c r="R12" s="22">
        <v>14</v>
      </c>
      <c r="S12" s="22">
        <v>11</v>
      </c>
      <c r="T12" s="22">
        <v>9</v>
      </c>
      <c r="U12" s="22">
        <v>21</v>
      </c>
      <c r="V12" s="38"/>
    </row>
    <row r="13" spans="2:24" x14ac:dyDescent="0.25">
      <c r="B13" s="35" t="s">
        <v>105</v>
      </c>
      <c r="C13" s="27" t="str">
        <f t="shared" si="0"/>
        <v>Juninho_1</v>
      </c>
      <c r="D13" s="27">
        <f t="shared" si="1"/>
        <v>520</v>
      </c>
      <c r="E13" s="27">
        <f t="shared" si="2"/>
        <v>6</v>
      </c>
      <c r="F13" s="27">
        <f t="shared" si="3"/>
        <v>8</v>
      </c>
      <c r="G13" s="27">
        <f t="shared" si="4"/>
        <v>17</v>
      </c>
      <c r="H13" s="27">
        <f t="shared" si="5"/>
        <v>16</v>
      </c>
      <c r="I13" s="28">
        <f t="shared" si="6"/>
        <v>15</v>
      </c>
      <c r="K13" s="36" t="s">
        <v>73</v>
      </c>
      <c r="L13" s="36">
        <f>Juninho_1!Q$11</f>
        <v>520</v>
      </c>
      <c r="M13" s="36"/>
      <c r="N13" s="36"/>
      <c r="O13" s="37" t="s">
        <v>77</v>
      </c>
      <c r="P13" s="33">
        <f>Alex!Q$11</f>
        <v>505</v>
      </c>
      <c r="Q13" s="22">
        <v>6</v>
      </c>
      <c r="R13" s="22">
        <v>11</v>
      </c>
      <c r="S13" s="22">
        <v>12</v>
      </c>
      <c r="T13" s="22">
        <v>14</v>
      </c>
      <c r="U13" s="22">
        <v>19</v>
      </c>
      <c r="V13" s="38"/>
    </row>
    <row r="14" spans="2:24" x14ac:dyDescent="0.25">
      <c r="B14" s="35" t="s">
        <v>106</v>
      </c>
      <c r="C14" s="27" t="str">
        <f t="shared" si="0"/>
        <v>Anderson</v>
      </c>
      <c r="D14" s="27">
        <f t="shared" si="1"/>
        <v>515</v>
      </c>
      <c r="E14" s="27">
        <f t="shared" si="2"/>
        <v>5</v>
      </c>
      <c r="F14" s="27">
        <f t="shared" si="3"/>
        <v>13</v>
      </c>
      <c r="G14" s="27">
        <f t="shared" si="4"/>
        <v>13</v>
      </c>
      <c r="H14" s="27">
        <f t="shared" si="5"/>
        <v>13</v>
      </c>
      <c r="I14" s="28">
        <f t="shared" si="6"/>
        <v>17</v>
      </c>
      <c r="K14" s="36" t="s">
        <v>88</v>
      </c>
      <c r="L14" s="36">
        <f>Anderson!Q$11</f>
        <v>515</v>
      </c>
      <c r="M14" s="36"/>
      <c r="N14" s="36"/>
      <c r="O14" s="37" t="s">
        <v>78</v>
      </c>
      <c r="P14" s="33">
        <f>Jean!Q$11</f>
        <v>560</v>
      </c>
      <c r="Q14" s="22">
        <v>6</v>
      </c>
      <c r="R14" s="22">
        <v>14</v>
      </c>
      <c r="S14" s="22">
        <v>14</v>
      </c>
      <c r="T14" s="22">
        <v>12</v>
      </c>
      <c r="U14" s="22">
        <v>15</v>
      </c>
      <c r="V14" s="38"/>
    </row>
    <row r="15" spans="2:24" x14ac:dyDescent="0.25">
      <c r="B15" s="35" t="s">
        <v>107</v>
      </c>
      <c r="C15" s="27" t="str">
        <f t="shared" si="0"/>
        <v>Robert</v>
      </c>
      <c r="D15" s="27">
        <f t="shared" si="1"/>
        <v>515</v>
      </c>
      <c r="E15" s="27">
        <f t="shared" si="2"/>
        <v>4</v>
      </c>
      <c r="F15" s="27">
        <f t="shared" si="3"/>
        <v>16</v>
      </c>
      <c r="G15" s="27">
        <f t="shared" si="4"/>
        <v>11</v>
      </c>
      <c r="H15" s="27">
        <f t="shared" si="5"/>
        <v>13</v>
      </c>
      <c r="I15" s="28">
        <f t="shared" si="6"/>
        <v>17</v>
      </c>
      <c r="K15" s="36" t="s">
        <v>79</v>
      </c>
      <c r="L15" s="36">
        <f>Robert!Q$11</f>
        <v>515</v>
      </c>
      <c r="M15" s="36"/>
      <c r="N15" s="36"/>
      <c r="O15" s="37" t="s">
        <v>79</v>
      </c>
      <c r="P15" s="33">
        <f>Robert!Q$11</f>
        <v>515</v>
      </c>
      <c r="Q15" s="22">
        <v>4</v>
      </c>
      <c r="R15" s="22">
        <v>16</v>
      </c>
      <c r="S15" s="22">
        <v>11</v>
      </c>
      <c r="T15" s="22">
        <v>13</v>
      </c>
      <c r="U15" s="22">
        <v>17</v>
      </c>
      <c r="V15" s="38"/>
    </row>
    <row r="16" spans="2:24" x14ac:dyDescent="0.25">
      <c r="B16" s="35" t="s">
        <v>108</v>
      </c>
      <c r="C16" s="27" t="str">
        <f t="shared" si="0"/>
        <v>Julio</v>
      </c>
      <c r="D16" s="27">
        <f t="shared" si="1"/>
        <v>510</v>
      </c>
      <c r="E16" s="27">
        <f t="shared" si="2"/>
        <v>3</v>
      </c>
      <c r="F16" s="27">
        <f t="shared" si="3"/>
        <v>13</v>
      </c>
      <c r="G16" s="27">
        <f t="shared" si="4"/>
        <v>19</v>
      </c>
      <c r="H16" s="27">
        <f t="shared" si="5"/>
        <v>10</v>
      </c>
      <c r="I16" s="28">
        <f t="shared" si="6"/>
        <v>16</v>
      </c>
      <c r="K16" s="36" t="s">
        <v>86</v>
      </c>
      <c r="L16" s="36">
        <f>Julio!Q$11</f>
        <v>510</v>
      </c>
      <c r="M16" s="36"/>
      <c r="N16" s="36"/>
      <c r="O16" s="37" t="s">
        <v>80</v>
      </c>
      <c r="P16" s="33">
        <f>Roberto!Q$11</f>
        <v>500</v>
      </c>
      <c r="Q16" s="22">
        <v>4</v>
      </c>
      <c r="R16" s="22">
        <v>13</v>
      </c>
      <c r="S16" s="22">
        <v>11</v>
      </c>
      <c r="T16" s="22">
        <v>19</v>
      </c>
      <c r="U16" s="22">
        <v>14</v>
      </c>
      <c r="V16" s="38"/>
    </row>
    <row r="17" spans="2:22" x14ac:dyDescent="0.25">
      <c r="B17" s="35" t="s">
        <v>109</v>
      </c>
      <c r="C17" s="27" t="str">
        <f t="shared" si="0"/>
        <v>Alex</v>
      </c>
      <c r="D17" s="27">
        <f t="shared" si="1"/>
        <v>505</v>
      </c>
      <c r="E17" s="27">
        <f t="shared" si="2"/>
        <v>6</v>
      </c>
      <c r="F17" s="27">
        <f t="shared" si="3"/>
        <v>11</v>
      </c>
      <c r="G17" s="27">
        <f t="shared" si="4"/>
        <v>12</v>
      </c>
      <c r="H17" s="27">
        <f t="shared" si="5"/>
        <v>14</v>
      </c>
      <c r="I17" s="28">
        <f t="shared" si="6"/>
        <v>19</v>
      </c>
      <c r="K17" s="36" t="s">
        <v>77</v>
      </c>
      <c r="L17" s="36">
        <f>Alex!Q$11</f>
        <v>505</v>
      </c>
      <c r="M17" s="36"/>
      <c r="N17" s="36"/>
      <c r="O17" s="37" t="s">
        <v>81</v>
      </c>
      <c r="P17" s="33">
        <f>Andréia!Q$11</f>
        <v>360</v>
      </c>
      <c r="Q17" s="22">
        <v>1</v>
      </c>
      <c r="R17" s="22">
        <v>8</v>
      </c>
      <c r="S17" s="22">
        <v>15</v>
      </c>
      <c r="T17" s="22">
        <v>13</v>
      </c>
      <c r="U17" s="22">
        <v>24</v>
      </c>
      <c r="V17" s="38"/>
    </row>
    <row r="18" spans="2:22" x14ac:dyDescent="0.25">
      <c r="B18" s="35" t="s">
        <v>110</v>
      </c>
      <c r="C18" s="27" t="str">
        <f t="shared" si="0"/>
        <v>Roberto</v>
      </c>
      <c r="D18" s="27">
        <f t="shared" si="1"/>
        <v>500</v>
      </c>
      <c r="E18" s="27">
        <f t="shared" si="2"/>
        <v>4</v>
      </c>
      <c r="F18" s="27">
        <f t="shared" si="3"/>
        <v>13</v>
      </c>
      <c r="G18" s="27">
        <f t="shared" si="4"/>
        <v>11</v>
      </c>
      <c r="H18" s="27">
        <f t="shared" si="5"/>
        <v>19</v>
      </c>
      <c r="I18" s="28">
        <f t="shared" si="6"/>
        <v>14</v>
      </c>
      <c r="K18" s="36" t="s">
        <v>80</v>
      </c>
      <c r="L18" s="36">
        <f>Roberto!Q$11</f>
        <v>500</v>
      </c>
      <c r="M18" s="36"/>
      <c r="N18" s="36"/>
      <c r="O18" s="37" t="s">
        <v>82</v>
      </c>
      <c r="P18" s="33">
        <f>Joseir_1!Q$11</f>
        <v>410</v>
      </c>
      <c r="Q18" s="22">
        <v>3</v>
      </c>
      <c r="R18" s="22">
        <v>8</v>
      </c>
      <c r="S18" s="22">
        <v>13</v>
      </c>
      <c r="T18" s="22">
        <v>17</v>
      </c>
      <c r="U18" s="22">
        <v>20</v>
      </c>
      <c r="V18" s="38"/>
    </row>
    <row r="19" spans="2:22" x14ac:dyDescent="0.25">
      <c r="B19" s="35" t="s">
        <v>111</v>
      </c>
      <c r="C19" s="27" t="str">
        <f t="shared" si="0"/>
        <v>Talita</v>
      </c>
      <c r="D19" s="27">
        <f t="shared" si="1"/>
        <v>500</v>
      </c>
      <c r="E19" s="27">
        <f t="shared" si="2"/>
        <v>6</v>
      </c>
      <c r="F19" s="27">
        <f t="shared" si="3"/>
        <v>10</v>
      </c>
      <c r="G19" s="27">
        <f t="shared" si="4"/>
        <v>11</v>
      </c>
      <c r="H19" s="27">
        <f t="shared" si="5"/>
        <v>18</v>
      </c>
      <c r="I19" s="28">
        <f t="shared" si="6"/>
        <v>16</v>
      </c>
      <c r="K19" s="36" t="s">
        <v>87</v>
      </c>
      <c r="L19" s="36">
        <f>Talita!Q$11</f>
        <v>500</v>
      </c>
      <c r="M19" s="36"/>
      <c r="N19" s="36"/>
      <c r="O19" s="37" t="s">
        <v>83</v>
      </c>
      <c r="P19" s="33">
        <f>Joseir_2!Q$11</f>
        <v>530</v>
      </c>
      <c r="Q19" s="22">
        <v>7</v>
      </c>
      <c r="R19" s="22">
        <v>10</v>
      </c>
      <c r="S19" s="22">
        <v>11</v>
      </c>
      <c r="T19" s="22">
        <v>19</v>
      </c>
      <c r="U19" s="22">
        <v>14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480</v>
      </c>
      <c r="E20" s="27">
        <f t="shared" si="2"/>
        <v>6</v>
      </c>
      <c r="F20" s="27">
        <f t="shared" si="3"/>
        <v>11</v>
      </c>
      <c r="G20" s="27">
        <f t="shared" si="4"/>
        <v>11</v>
      </c>
      <c r="H20" s="27">
        <f t="shared" si="5"/>
        <v>11</v>
      </c>
      <c r="I20" s="28">
        <f t="shared" si="6"/>
        <v>22</v>
      </c>
      <c r="K20" s="36" t="s">
        <v>71</v>
      </c>
      <c r="L20" s="36">
        <f>Luis!Q$11</f>
        <v>480</v>
      </c>
      <c r="M20" s="36"/>
      <c r="N20" s="36"/>
      <c r="O20" s="37" t="s">
        <v>84</v>
      </c>
      <c r="P20" s="33">
        <f>Ivani!Q$11</f>
        <v>445</v>
      </c>
      <c r="Q20" s="22">
        <v>5</v>
      </c>
      <c r="R20" s="22">
        <v>9</v>
      </c>
      <c r="S20" s="22">
        <v>13</v>
      </c>
      <c r="T20" s="22">
        <v>11</v>
      </c>
      <c r="U20" s="22">
        <v>24</v>
      </c>
      <c r="V20" s="38"/>
    </row>
    <row r="21" spans="2:22" x14ac:dyDescent="0.25">
      <c r="B21" s="35" t="s">
        <v>113</v>
      </c>
      <c r="C21" s="27" t="str">
        <f t="shared" si="0"/>
        <v>Gabriel</v>
      </c>
      <c r="D21" s="27">
        <f t="shared" si="1"/>
        <v>455</v>
      </c>
      <c r="E21" s="27">
        <f t="shared" si="2"/>
        <v>3</v>
      </c>
      <c r="F21" s="27">
        <f t="shared" si="3"/>
        <v>11</v>
      </c>
      <c r="G21" s="27">
        <f t="shared" si="4"/>
        <v>15</v>
      </c>
      <c r="H21" s="27">
        <f t="shared" si="5"/>
        <v>13</v>
      </c>
      <c r="I21" s="28">
        <f t="shared" si="6"/>
        <v>19</v>
      </c>
      <c r="K21" s="36" t="s">
        <v>72</v>
      </c>
      <c r="L21" s="36">
        <f>Gabriel!Q$11</f>
        <v>455</v>
      </c>
      <c r="M21" s="36"/>
      <c r="N21" s="36"/>
      <c r="O21" s="37" t="s">
        <v>85</v>
      </c>
      <c r="P21" s="33">
        <f>Josimar!Q$11</f>
        <v>405</v>
      </c>
      <c r="Q21" s="22">
        <v>3</v>
      </c>
      <c r="R21" s="22">
        <v>11</v>
      </c>
      <c r="S21" s="22">
        <v>9</v>
      </c>
      <c r="T21" s="22">
        <v>15</v>
      </c>
      <c r="U21" s="22">
        <v>23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445</v>
      </c>
      <c r="E22" s="27">
        <f t="shared" si="2"/>
        <v>5</v>
      </c>
      <c r="F22" s="27">
        <f t="shared" si="3"/>
        <v>9</v>
      </c>
      <c r="G22" s="27">
        <f t="shared" si="4"/>
        <v>13</v>
      </c>
      <c r="H22" s="27">
        <f t="shared" si="5"/>
        <v>11</v>
      </c>
      <c r="I22" s="28">
        <f t="shared" si="6"/>
        <v>24</v>
      </c>
      <c r="K22" s="36" t="s">
        <v>84</v>
      </c>
      <c r="L22" s="36">
        <f>Ivani!Q$11</f>
        <v>445</v>
      </c>
      <c r="M22" s="36"/>
      <c r="N22" s="36"/>
      <c r="O22" s="37" t="s">
        <v>86</v>
      </c>
      <c r="P22" s="33">
        <f>Julio!Q$11</f>
        <v>510</v>
      </c>
      <c r="Q22" s="22">
        <v>3</v>
      </c>
      <c r="R22" s="22">
        <v>13</v>
      </c>
      <c r="S22" s="22">
        <v>19</v>
      </c>
      <c r="T22" s="22">
        <v>10</v>
      </c>
      <c r="U22" s="22">
        <v>16</v>
      </c>
      <c r="V22" s="38"/>
    </row>
    <row r="23" spans="2:22" x14ac:dyDescent="0.25">
      <c r="B23" s="35" t="s">
        <v>115</v>
      </c>
      <c r="C23" s="27" t="str">
        <f t="shared" si="0"/>
        <v>Joseir_1</v>
      </c>
      <c r="D23" s="27">
        <f t="shared" si="1"/>
        <v>410</v>
      </c>
      <c r="E23" s="27">
        <f t="shared" si="2"/>
        <v>3</v>
      </c>
      <c r="F23" s="27">
        <f t="shared" si="3"/>
        <v>8</v>
      </c>
      <c r="G23" s="27">
        <f t="shared" si="4"/>
        <v>13</v>
      </c>
      <c r="H23" s="27">
        <f t="shared" si="5"/>
        <v>17</v>
      </c>
      <c r="I23" s="28">
        <f t="shared" si="6"/>
        <v>20</v>
      </c>
      <c r="K23" s="36" t="s">
        <v>82</v>
      </c>
      <c r="L23" s="36">
        <f>Joseir_1!Q$11</f>
        <v>410</v>
      </c>
      <c r="M23" s="36"/>
      <c r="N23" s="36"/>
      <c r="O23" s="37" t="s">
        <v>87</v>
      </c>
      <c r="P23" s="33">
        <f>Talita!Q$11</f>
        <v>500</v>
      </c>
      <c r="Q23" s="22">
        <v>6</v>
      </c>
      <c r="R23" s="22">
        <v>10</v>
      </c>
      <c r="S23" s="22">
        <v>11</v>
      </c>
      <c r="T23" s="22">
        <v>18</v>
      </c>
      <c r="U23" s="22">
        <v>16</v>
      </c>
      <c r="V23" s="38"/>
    </row>
    <row r="24" spans="2:22" x14ac:dyDescent="0.25">
      <c r="B24" s="35" t="s">
        <v>116</v>
      </c>
      <c r="C24" s="27" t="str">
        <f t="shared" si="0"/>
        <v>Josimar</v>
      </c>
      <c r="D24" s="27">
        <f t="shared" si="1"/>
        <v>405</v>
      </c>
      <c r="E24" s="27">
        <f t="shared" si="2"/>
        <v>3</v>
      </c>
      <c r="F24" s="27">
        <f t="shared" si="3"/>
        <v>11</v>
      </c>
      <c r="G24" s="27">
        <f t="shared" si="4"/>
        <v>9</v>
      </c>
      <c r="H24" s="27">
        <f t="shared" si="5"/>
        <v>15</v>
      </c>
      <c r="I24" s="28">
        <f t="shared" si="6"/>
        <v>23</v>
      </c>
      <c r="K24" s="36" t="s">
        <v>85</v>
      </c>
      <c r="L24" s="36">
        <f>Josimar!Q$11</f>
        <v>405</v>
      </c>
      <c r="M24" s="36"/>
      <c r="N24" s="36"/>
      <c r="O24" s="37" t="s">
        <v>88</v>
      </c>
      <c r="P24" s="33">
        <f>Anderson!Q$11</f>
        <v>515</v>
      </c>
      <c r="Q24" s="22">
        <v>5</v>
      </c>
      <c r="R24" s="22">
        <v>13</v>
      </c>
      <c r="S24" s="22">
        <v>13</v>
      </c>
      <c r="T24" s="22">
        <v>13</v>
      </c>
      <c r="U24" s="22">
        <v>17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360</v>
      </c>
      <c r="E25" s="29">
        <f t="shared" si="2"/>
        <v>1</v>
      </c>
      <c r="F25" s="29">
        <f t="shared" si="3"/>
        <v>8</v>
      </c>
      <c r="G25" s="29">
        <f t="shared" si="4"/>
        <v>15</v>
      </c>
      <c r="H25" s="29">
        <f t="shared" si="5"/>
        <v>13</v>
      </c>
      <c r="I25" s="30">
        <f t="shared" si="6"/>
        <v>24</v>
      </c>
      <c r="K25" s="36" t="s">
        <v>81</v>
      </c>
      <c r="L25" s="36">
        <f>Andréia!Q$11</f>
        <v>360</v>
      </c>
      <c r="M25" s="36"/>
      <c r="N25" s="36"/>
      <c r="O25" s="37" t="s">
        <v>89</v>
      </c>
      <c r="P25" s="33">
        <f>Cléofaz!Q$11</f>
        <v>525</v>
      </c>
      <c r="Q25" s="22">
        <v>6</v>
      </c>
      <c r="R25" s="22">
        <v>9</v>
      </c>
      <c r="S25" s="22">
        <v>19</v>
      </c>
      <c r="T25" s="22">
        <v>10</v>
      </c>
      <c r="U25" s="22">
        <v>16</v>
      </c>
      <c r="V25" s="38"/>
    </row>
    <row r="26" spans="2:22" ht="15.75" thickTop="1" x14ac:dyDescent="0.25">
      <c r="N26" s="36"/>
      <c r="P26" s="34"/>
    </row>
    <row r="28" spans="2:22" ht="15.75" x14ac:dyDescent="0.25">
      <c r="B28" s="77"/>
      <c r="C28" s="68"/>
      <c r="D28" s="117"/>
      <c r="E28" s="117"/>
      <c r="F28" s="117"/>
      <c r="G28" s="66"/>
      <c r="H28" s="78"/>
      <c r="I28" s="79"/>
    </row>
    <row r="29" spans="2:22" x14ac:dyDescent="0.25">
      <c r="B29" s="82" t="s">
        <v>33</v>
      </c>
      <c r="C29" s="80"/>
      <c r="D29" s="80"/>
      <c r="E29" s="81"/>
      <c r="F29" s="81"/>
      <c r="G29" s="81"/>
      <c r="H29" s="81"/>
      <c r="I29" s="81"/>
    </row>
    <row r="30" spans="2:22" x14ac:dyDescent="0.25">
      <c r="B30" s="82" t="s">
        <v>33</v>
      </c>
      <c r="C30" s="80"/>
      <c r="D30" s="80"/>
      <c r="E30" s="81"/>
      <c r="F30" s="81"/>
      <c r="G30" s="81"/>
      <c r="H30" s="81"/>
      <c r="I30" s="81"/>
    </row>
    <row r="31" spans="2:22" ht="15.75" x14ac:dyDescent="0.25">
      <c r="B31" s="80"/>
      <c r="C31" s="80"/>
      <c r="D31" s="80"/>
      <c r="E31" s="77"/>
      <c r="F31" s="78"/>
      <c r="G31" s="83" t="s">
        <v>182</v>
      </c>
      <c r="H31" s="78"/>
      <c r="I31" s="79"/>
    </row>
    <row r="32" spans="2:22" ht="15.75" x14ac:dyDescent="0.25">
      <c r="B32" s="80"/>
      <c r="C32" s="80"/>
      <c r="D32" s="80"/>
      <c r="E32" s="77"/>
      <c r="F32" s="78"/>
      <c r="G32" s="78"/>
      <c r="H32" s="78"/>
      <c r="I32" s="79"/>
    </row>
    <row r="33" spans="2:9" ht="15.75" x14ac:dyDescent="0.25">
      <c r="B33" s="80"/>
      <c r="C33" s="80"/>
      <c r="D33" s="80"/>
      <c r="E33" s="77"/>
      <c r="F33" s="78"/>
      <c r="G33" s="78"/>
      <c r="H33" s="78"/>
      <c r="I33" s="79"/>
    </row>
    <row r="34" spans="2:9" ht="15.75" x14ac:dyDescent="0.25">
      <c r="B34" s="80"/>
      <c r="C34" s="80"/>
      <c r="D34" s="80"/>
      <c r="E34" s="77"/>
      <c r="F34" s="78"/>
      <c r="G34" s="78"/>
      <c r="H34" s="78"/>
      <c r="I34" s="79"/>
    </row>
    <row r="35" spans="2:9" ht="15.75" x14ac:dyDescent="0.25">
      <c r="B35" s="80"/>
      <c r="C35" s="80"/>
      <c r="D35" s="80"/>
      <c r="E35" s="77"/>
      <c r="F35" s="78"/>
      <c r="G35" s="78"/>
      <c r="H35" s="78"/>
      <c r="I35" s="79"/>
    </row>
    <row r="36" spans="2:9" ht="15.75" x14ac:dyDescent="0.25">
      <c r="B36" s="80"/>
      <c r="C36" s="80"/>
      <c r="D36" s="80"/>
      <c r="E36" s="77"/>
      <c r="F36" s="78"/>
      <c r="G36" s="78"/>
      <c r="H36" s="78"/>
      <c r="I36" s="79"/>
    </row>
    <row r="37" spans="2:9" ht="15.75" x14ac:dyDescent="0.25">
      <c r="B37" s="80"/>
      <c r="C37" s="80"/>
      <c r="D37" s="80"/>
      <c r="E37" s="77"/>
      <c r="F37" s="78"/>
      <c r="G37" s="78"/>
      <c r="H37" s="78"/>
      <c r="I37" s="79"/>
    </row>
    <row r="38" spans="2:9" ht="15.75" x14ac:dyDescent="0.25">
      <c r="B38" s="80"/>
      <c r="C38" s="80"/>
      <c r="D38" s="80"/>
      <c r="E38" s="77"/>
      <c r="F38" s="78"/>
      <c r="G38" s="78"/>
      <c r="H38" s="78"/>
      <c r="I38" s="79"/>
    </row>
    <row r="39" spans="2:9" ht="15.75" x14ac:dyDescent="0.25">
      <c r="B39" s="80"/>
      <c r="C39" s="80"/>
      <c r="D39" s="80"/>
      <c r="E39" s="77"/>
      <c r="F39" s="78"/>
      <c r="G39" s="78"/>
      <c r="H39" s="78"/>
      <c r="I39" s="79"/>
    </row>
    <row r="40" spans="2:9" ht="15.75" x14ac:dyDescent="0.25">
      <c r="B40" s="80"/>
      <c r="C40" s="80"/>
      <c r="D40" s="80"/>
      <c r="E40" s="77"/>
      <c r="F40" s="78"/>
      <c r="G40" s="78"/>
      <c r="H40" s="78"/>
      <c r="I40" s="79"/>
    </row>
    <row r="41" spans="2:9" ht="15.75" x14ac:dyDescent="0.25">
      <c r="B41" s="80"/>
      <c r="C41" s="80"/>
      <c r="D41" s="80"/>
      <c r="E41" s="77"/>
      <c r="F41" s="78"/>
      <c r="G41" s="78"/>
      <c r="H41" s="78"/>
      <c r="I41" s="79"/>
    </row>
    <row r="42" spans="2:9" ht="15.75" x14ac:dyDescent="0.25">
      <c r="B42" s="80"/>
      <c r="C42" s="80"/>
      <c r="D42" s="80"/>
      <c r="E42" s="77"/>
      <c r="F42" s="78"/>
      <c r="G42" s="78"/>
      <c r="H42" s="78"/>
      <c r="I42" s="79"/>
    </row>
    <row r="43" spans="2:9" ht="15.75" x14ac:dyDescent="0.25">
      <c r="B43" s="80"/>
      <c r="C43" s="80"/>
      <c r="D43" s="80"/>
      <c r="E43" s="77"/>
      <c r="F43" s="78"/>
      <c r="G43" s="78"/>
      <c r="H43" s="78"/>
      <c r="I43" s="79"/>
    </row>
    <row r="44" spans="2:9" ht="15.75" x14ac:dyDescent="0.25">
      <c r="B44" s="80"/>
      <c r="C44" s="80"/>
      <c r="D44" s="80"/>
      <c r="E44" s="77"/>
      <c r="F44" s="78"/>
      <c r="G44" s="78"/>
      <c r="H44" s="78"/>
      <c r="I44" s="79"/>
    </row>
    <row r="45" spans="2:9" ht="15.75" x14ac:dyDescent="0.25">
      <c r="B45" s="80"/>
      <c r="C45" s="80"/>
      <c r="D45" s="80"/>
      <c r="E45" s="77"/>
      <c r="F45" s="78"/>
      <c r="G45" s="78"/>
      <c r="H45" s="78"/>
      <c r="I45" s="79"/>
    </row>
    <row r="46" spans="2:9" ht="15.75" x14ac:dyDescent="0.25">
      <c r="B46" s="80"/>
      <c r="C46" s="80"/>
      <c r="D46" s="80"/>
      <c r="E46" s="77"/>
      <c r="F46" s="78"/>
      <c r="G46" s="78"/>
      <c r="H46" s="78"/>
      <c r="I46" s="79"/>
    </row>
    <row r="47" spans="2:9" ht="15.75" x14ac:dyDescent="0.25">
      <c r="B47" s="80"/>
      <c r="C47" s="80"/>
      <c r="D47" s="80"/>
      <c r="E47" s="77"/>
      <c r="F47" s="78"/>
      <c r="G47" s="78"/>
      <c r="H47" s="78"/>
      <c r="I47" s="79"/>
    </row>
    <row r="48" spans="2:9" ht="15.75" x14ac:dyDescent="0.25">
      <c r="B48" s="80"/>
      <c r="C48" s="80"/>
      <c r="D48" s="80"/>
      <c r="E48" s="77"/>
      <c r="F48" s="78"/>
      <c r="G48" s="78"/>
      <c r="H48" s="78"/>
      <c r="I48" s="79"/>
    </row>
    <row r="49" spans="2:9" ht="15.75" x14ac:dyDescent="0.25">
      <c r="B49" s="80"/>
      <c r="C49" s="80"/>
      <c r="D49" s="80"/>
      <c r="E49" s="77"/>
      <c r="F49" s="78"/>
      <c r="G49" s="78"/>
      <c r="H49" s="78"/>
      <c r="I49" s="79"/>
    </row>
    <row r="50" spans="2:9" ht="15.75" x14ac:dyDescent="0.25">
      <c r="B50" s="80"/>
      <c r="C50" s="80"/>
      <c r="D50" s="80"/>
      <c r="E50" s="77"/>
      <c r="F50" s="78"/>
      <c r="G50" s="78"/>
      <c r="H50" s="78"/>
      <c r="I50" s="79"/>
    </row>
    <row r="51" spans="2:9" ht="15.75" x14ac:dyDescent="0.25">
      <c r="B51" s="80"/>
      <c r="C51" s="80"/>
      <c r="D51" s="80"/>
      <c r="E51" s="77"/>
      <c r="F51" s="78"/>
      <c r="G51" s="78"/>
      <c r="H51" s="78"/>
      <c r="I51" s="79"/>
    </row>
    <row r="52" spans="2:9" ht="15.75" x14ac:dyDescent="0.25">
      <c r="B52" s="80"/>
      <c r="C52" s="80"/>
      <c r="D52" s="80"/>
      <c r="E52" s="77"/>
      <c r="F52" s="78"/>
      <c r="G52" s="78"/>
      <c r="H52" s="78"/>
      <c r="I52" s="79"/>
    </row>
    <row r="53" spans="2:9" ht="15.75" x14ac:dyDescent="0.25">
      <c r="B53" s="80"/>
      <c r="C53" s="80"/>
      <c r="D53" s="80"/>
      <c r="E53" s="77"/>
      <c r="F53" s="78"/>
      <c r="G53" s="78"/>
      <c r="H53" s="78"/>
      <c r="I53" s="79"/>
    </row>
    <row r="54" spans="2:9" ht="15.75" x14ac:dyDescent="0.25">
      <c r="B54" s="80"/>
      <c r="C54" s="80"/>
      <c r="D54" s="80"/>
      <c r="E54" s="77"/>
      <c r="F54" s="78"/>
      <c r="G54" s="78"/>
      <c r="H54" s="78"/>
      <c r="I54" s="79"/>
    </row>
    <row r="55" spans="2:9" ht="15.75" x14ac:dyDescent="0.25">
      <c r="B55" s="80"/>
      <c r="C55" s="80"/>
      <c r="D55" s="80"/>
      <c r="E55" s="77"/>
      <c r="F55" s="78"/>
      <c r="G55" s="78"/>
      <c r="H55" s="78"/>
      <c r="I55" s="79"/>
    </row>
    <row r="56" spans="2:9" ht="15.75" x14ac:dyDescent="0.25">
      <c r="B56" s="80"/>
      <c r="C56" s="80"/>
      <c r="D56" s="80"/>
      <c r="E56" s="77"/>
      <c r="F56" s="78"/>
      <c r="G56" s="78"/>
      <c r="H56" s="78"/>
      <c r="I56" s="79"/>
    </row>
    <row r="57" spans="2:9" ht="15.75" x14ac:dyDescent="0.25">
      <c r="B57" s="80"/>
      <c r="C57" s="80"/>
      <c r="D57" s="80"/>
      <c r="E57" s="77"/>
      <c r="F57" s="78"/>
      <c r="G57" s="78"/>
      <c r="H57" s="78"/>
      <c r="I57" s="79"/>
    </row>
    <row r="58" spans="2:9" ht="15.75" x14ac:dyDescent="0.25">
      <c r="B58" s="80"/>
      <c r="C58" s="80"/>
      <c r="D58" s="80"/>
      <c r="E58" s="77"/>
      <c r="F58" s="78"/>
      <c r="G58" s="78"/>
      <c r="H58" s="78"/>
      <c r="I58" s="79"/>
    </row>
    <row r="59" spans="2:9" ht="15.75" x14ac:dyDescent="0.25">
      <c r="B59" s="80"/>
      <c r="C59" s="80"/>
      <c r="D59" s="80"/>
      <c r="E59" s="77"/>
      <c r="F59" s="78"/>
      <c r="G59" s="78"/>
      <c r="H59" s="78"/>
      <c r="I59" s="79"/>
    </row>
    <row r="60" spans="2:9" ht="15.75" x14ac:dyDescent="0.25">
      <c r="B60" s="80"/>
      <c r="C60" s="80"/>
      <c r="D60" s="80"/>
      <c r="E60" s="77"/>
      <c r="F60" s="78"/>
      <c r="G60" s="78"/>
      <c r="H60" s="78"/>
      <c r="I60" s="79"/>
    </row>
    <row r="61" spans="2:9" ht="15.75" x14ac:dyDescent="0.25">
      <c r="B61" s="80"/>
      <c r="C61" s="80"/>
      <c r="D61" s="80"/>
      <c r="E61" s="77"/>
      <c r="F61" s="78"/>
      <c r="G61" s="78"/>
      <c r="H61" s="78"/>
      <c r="I61" s="79"/>
    </row>
    <row r="62" spans="2:9" ht="15.75" x14ac:dyDescent="0.25">
      <c r="B62" s="80"/>
      <c r="C62" s="80"/>
      <c r="D62" s="80"/>
      <c r="E62" s="77"/>
      <c r="F62" s="78"/>
      <c r="G62" s="78"/>
      <c r="H62" s="78"/>
      <c r="I62" s="79"/>
    </row>
    <row r="67" spans="2:10" x14ac:dyDescent="0.25">
      <c r="B67" s="126"/>
      <c r="C67" s="126"/>
      <c r="D67" s="126"/>
      <c r="E67" s="50"/>
      <c r="F67" s="50"/>
      <c r="G67" s="50"/>
      <c r="H67" s="126"/>
      <c r="I67" s="126"/>
      <c r="J67" s="126"/>
    </row>
    <row r="73" spans="2:10" x14ac:dyDescent="0.25">
      <c r="B73" s="126"/>
      <c r="C73" s="126"/>
      <c r="D73" s="126"/>
      <c r="E73" s="50"/>
      <c r="F73" s="50"/>
      <c r="G73" s="50"/>
      <c r="H73" s="126"/>
      <c r="I73" s="126"/>
      <c r="J73" s="126"/>
    </row>
    <row r="79" spans="2:10" x14ac:dyDescent="0.25">
      <c r="B79" s="126"/>
      <c r="C79" s="126"/>
      <c r="D79" s="126"/>
      <c r="E79" s="50"/>
      <c r="F79" s="50"/>
      <c r="G79" s="50"/>
      <c r="H79" s="126"/>
      <c r="I79" s="126"/>
      <c r="J79" s="126"/>
    </row>
    <row r="85" spans="2:10" x14ac:dyDescent="0.25">
      <c r="B85" s="126"/>
      <c r="C85" s="126"/>
      <c r="D85" s="126"/>
      <c r="E85" s="50"/>
      <c r="F85" s="50"/>
      <c r="G85" s="50"/>
      <c r="H85" s="126"/>
      <c r="I85" s="126"/>
      <c r="J85" s="126"/>
    </row>
    <row r="86" spans="2:10" x14ac:dyDescent="0.25">
      <c r="B86" s="126"/>
      <c r="C86" s="126"/>
      <c r="D86" s="126"/>
      <c r="E86" s="50"/>
      <c r="F86" s="50"/>
      <c r="G86" s="50"/>
      <c r="H86" s="126"/>
      <c r="I86" s="126"/>
      <c r="J86" s="126"/>
    </row>
    <row r="91" spans="2:10" x14ac:dyDescent="0.25">
      <c r="B91" s="126"/>
      <c r="C91" s="126"/>
      <c r="D91" s="126"/>
      <c r="E91" s="50"/>
      <c r="F91" s="50"/>
      <c r="G91" s="50"/>
      <c r="H91" s="126"/>
      <c r="I91" s="126"/>
      <c r="J91" s="126"/>
    </row>
    <row r="92" spans="2:10" x14ac:dyDescent="0.25">
      <c r="B92" s="126"/>
      <c r="C92" s="126"/>
      <c r="D92" s="126"/>
      <c r="E92" s="50"/>
      <c r="F92" s="50"/>
      <c r="G92" s="50"/>
      <c r="H92" s="126"/>
      <c r="I92" s="126"/>
      <c r="J92" s="126"/>
    </row>
    <row r="97" spans="2:10" x14ac:dyDescent="0.25">
      <c r="B97" s="126"/>
      <c r="C97" s="126"/>
      <c r="D97" s="126"/>
      <c r="E97" s="50"/>
      <c r="F97" s="50"/>
      <c r="G97" s="50"/>
      <c r="H97" s="126"/>
      <c r="I97" s="126"/>
      <c r="J97" s="126"/>
    </row>
    <row r="103" spans="2:10" x14ac:dyDescent="0.25">
      <c r="B103" s="126"/>
      <c r="C103" s="126"/>
      <c r="D103" s="126"/>
      <c r="E103" s="50"/>
      <c r="F103" s="50"/>
      <c r="G103" s="50"/>
      <c r="H103" s="126"/>
      <c r="I103" s="126"/>
      <c r="J103" s="126"/>
    </row>
    <row r="109" spans="2:10" x14ac:dyDescent="0.25">
      <c r="B109" s="126"/>
      <c r="C109" s="126"/>
      <c r="D109" s="126"/>
      <c r="E109" s="50"/>
      <c r="F109" s="50"/>
      <c r="G109" s="50"/>
      <c r="H109" s="126"/>
      <c r="I109" s="126"/>
      <c r="J109" s="126"/>
    </row>
    <row r="110" spans="2:10" x14ac:dyDescent="0.25">
      <c r="B110" s="126"/>
      <c r="C110" s="126"/>
      <c r="D110" s="126"/>
      <c r="E110" s="50"/>
      <c r="F110" s="50"/>
      <c r="G110" s="50"/>
      <c r="H110" s="126"/>
      <c r="I110" s="126"/>
      <c r="J110" s="126"/>
    </row>
    <row r="115" spans="2:10" x14ac:dyDescent="0.25">
      <c r="B115" s="126"/>
      <c r="C115" s="126"/>
      <c r="D115" s="126"/>
      <c r="E115" s="50"/>
      <c r="F115" s="50"/>
      <c r="G115" s="50"/>
      <c r="H115" s="126"/>
      <c r="I115" s="126"/>
      <c r="J115" s="126"/>
    </row>
    <row r="116" spans="2:10" x14ac:dyDescent="0.25">
      <c r="B116" s="126"/>
      <c r="C116" s="126"/>
      <c r="D116" s="126"/>
      <c r="E116" s="50"/>
      <c r="F116" s="50"/>
      <c r="G116" s="50"/>
      <c r="H116" s="126"/>
      <c r="I116" s="126"/>
      <c r="J116" s="126"/>
    </row>
    <row r="117" spans="2:10" x14ac:dyDescent="0.25">
      <c r="B117" s="126"/>
      <c r="C117" s="126"/>
      <c r="D117" s="126"/>
      <c r="E117" s="50"/>
      <c r="F117" s="50"/>
      <c r="G117" s="50"/>
      <c r="H117" s="126"/>
      <c r="I117" s="126"/>
      <c r="J117" s="126"/>
    </row>
    <row r="121" spans="2:10" x14ac:dyDescent="0.25">
      <c r="B121" s="126"/>
      <c r="C121" s="126"/>
      <c r="D121" s="126"/>
      <c r="E121" s="50"/>
      <c r="F121" s="50"/>
      <c r="G121" s="50"/>
      <c r="H121" s="126"/>
      <c r="I121" s="126"/>
      <c r="J121" s="126"/>
    </row>
    <row r="122" spans="2:10" x14ac:dyDescent="0.25">
      <c r="B122" s="126"/>
      <c r="C122" s="126"/>
      <c r="D122" s="126"/>
      <c r="E122" s="50"/>
      <c r="F122" s="50"/>
      <c r="G122" s="50"/>
      <c r="H122" s="126"/>
      <c r="I122" s="126"/>
      <c r="J122" s="126"/>
    </row>
    <row r="127" spans="2:10" x14ac:dyDescent="0.25">
      <c r="B127" s="126"/>
      <c r="C127" s="126"/>
      <c r="D127" s="126"/>
      <c r="E127" s="50"/>
      <c r="F127" s="50"/>
      <c r="G127" s="50"/>
      <c r="H127" s="126"/>
      <c r="I127" s="126"/>
      <c r="J127" s="126"/>
    </row>
    <row r="133" spans="2:10" x14ac:dyDescent="0.25">
      <c r="B133" s="126"/>
      <c r="C133" s="126"/>
      <c r="D133" s="126"/>
      <c r="E133" s="50"/>
      <c r="F133" s="50"/>
      <c r="G133" s="50"/>
      <c r="H133" s="126"/>
      <c r="I133" s="126"/>
      <c r="J133" s="126"/>
    </row>
    <row r="134" spans="2:10" x14ac:dyDescent="0.25">
      <c r="B134" s="126"/>
      <c r="C134" s="126"/>
      <c r="D134" s="126"/>
      <c r="E134" s="50"/>
      <c r="F134" s="50"/>
      <c r="G134" s="50"/>
      <c r="H134" s="126"/>
      <c r="I134" s="126"/>
      <c r="J134" s="126"/>
    </row>
    <row r="135" spans="2:10" x14ac:dyDescent="0.25">
      <c r="B135" s="126"/>
      <c r="C135" s="126"/>
      <c r="D135" s="126"/>
      <c r="E135" s="50"/>
      <c r="F135" s="50"/>
      <c r="G135" s="50"/>
      <c r="H135" s="126"/>
      <c r="I135" s="126"/>
      <c r="J135" s="126"/>
    </row>
    <row r="139" spans="2:10" x14ac:dyDescent="0.25">
      <c r="B139" s="126"/>
      <c r="C139" s="126"/>
      <c r="D139" s="126"/>
      <c r="E139" s="50"/>
      <c r="F139" s="50"/>
      <c r="G139" s="50"/>
      <c r="H139" s="126"/>
      <c r="I139" s="126"/>
      <c r="J139" s="126"/>
    </row>
    <row r="140" spans="2:10" x14ac:dyDescent="0.25">
      <c r="B140" s="126"/>
      <c r="C140" s="126"/>
      <c r="D140" s="126"/>
      <c r="E140" s="50"/>
      <c r="F140" s="50"/>
      <c r="G140" s="50"/>
      <c r="H140" s="126"/>
      <c r="I140" s="126"/>
      <c r="J140" s="126"/>
    </row>
    <row r="145" spans="2:10" x14ac:dyDescent="0.25">
      <c r="B145" s="126"/>
      <c r="C145" s="126"/>
      <c r="D145" s="126"/>
      <c r="E145" s="50"/>
      <c r="F145" s="50"/>
      <c r="G145" s="50"/>
      <c r="H145" s="126"/>
      <c r="I145" s="126"/>
      <c r="J145" s="126"/>
    </row>
    <row r="151" spans="2:10" x14ac:dyDescent="0.25">
      <c r="B151" s="126"/>
      <c r="C151" s="126"/>
      <c r="D151" s="126"/>
      <c r="E151" s="50"/>
      <c r="F151" s="50"/>
      <c r="G151" s="50"/>
      <c r="H151" s="126"/>
      <c r="I151" s="126"/>
      <c r="J151" s="126"/>
    </row>
    <row r="152" spans="2:10" x14ac:dyDescent="0.25">
      <c r="B152" s="126"/>
      <c r="C152" s="126"/>
      <c r="D152" s="126"/>
      <c r="E152" s="50"/>
      <c r="F152" s="50"/>
      <c r="G152" s="50"/>
      <c r="H152" s="126"/>
      <c r="I152" s="126"/>
      <c r="J152" s="126"/>
    </row>
    <row r="153" spans="2:10" x14ac:dyDescent="0.25">
      <c r="B153" s="126"/>
      <c r="C153" s="126"/>
      <c r="D153" s="126"/>
      <c r="E153" s="50"/>
      <c r="F153" s="50"/>
      <c r="G153" s="50"/>
      <c r="H153" s="126"/>
      <c r="I153" s="126"/>
      <c r="J153" s="126"/>
    </row>
    <row r="154" spans="2:10" x14ac:dyDescent="0.25">
      <c r="B154" s="126"/>
      <c r="C154" s="126"/>
      <c r="D154" s="126"/>
      <c r="E154" s="50"/>
      <c r="F154" s="50"/>
      <c r="G154" s="50"/>
      <c r="H154" s="126"/>
      <c r="I154" s="126"/>
      <c r="J154" s="126"/>
    </row>
    <row r="157" spans="2:10" x14ac:dyDescent="0.25">
      <c r="B157" s="126"/>
      <c r="C157" s="126"/>
      <c r="D157" s="126"/>
      <c r="E157" s="50"/>
      <c r="F157" s="50"/>
      <c r="G157" s="50"/>
      <c r="H157" s="126"/>
      <c r="I157" s="126"/>
      <c r="J157" s="126"/>
    </row>
    <row r="163" spans="2:10" x14ac:dyDescent="0.25">
      <c r="B163" s="126"/>
      <c r="C163" s="126"/>
      <c r="D163" s="126"/>
      <c r="E163" s="50"/>
      <c r="F163" s="50"/>
      <c r="G163" s="50"/>
      <c r="H163" s="126"/>
      <c r="I163" s="126"/>
      <c r="J163" s="126"/>
    </row>
    <row r="164" spans="2:10" x14ac:dyDescent="0.25">
      <c r="B164" s="126"/>
      <c r="C164" s="126"/>
      <c r="D164" s="126"/>
      <c r="E164" s="50"/>
      <c r="F164" s="50"/>
      <c r="G164" s="50"/>
      <c r="H164" s="126"/>
      <c r="I164" s="126"/>
      <c r="J164" s="126"/>
    </row>
    <row r="167" spans="2:10" x14ac:dyDescent="0.25">
      <c r="B167" s="126"/>
      <c r="C167" s="126"/>
      <c r="D167" s="126"/>
      <c r="E167" s="50"/>
      <c r="F167" s="50"/>
      <c r="G167" s="50"/>
      <c r="H167" s="126"/>
      <c r="I167" s="126"/>
      <c r="J167" s="126"/>
    </row>
    <row r="173" spans="2:10" x14ac:dyDescent="0.25">
      <c r="B173" s="126"/>
      <c r="C173" s="126"/>
      <c r="D173" s="126"/>
      <c r="E173" s="50"/>
      <c r="F173" s="50"/>
      <c r="G173" s="50"/>
      <c r="H173" s="126"/>
      <c r="I173" s="126"/>
      <c r="J173" s="126"/>
    </row>
    <row r="179" spans="2:10" x14ac:dyDescent="0.25">
      <c r="B179" s="126"/>
      <c r="C179" s="126"/>
      <c r="D179" s="126"/>
      <c r="E179" s="50"/>
      <c r="F179" s="50"/>
      <c r="G179" s="50"/>
      <c r="H179" s="126"/>
      <c r="I179" s="126"/>
      <c r="J179" s="126"/>
    </row>
    <row r="185" spans="2:10" x14ac:dyDescent="0.25">
      <c r="B185" s="126"/>
      <c r="C185" s="126"/>
      <c r="D185" s="126"/>
      <c r="E185" s="50"/>
      <c r="F185" s="50"/>
      <c r="G185" s="50"/>
      <c r="H185" s="126"/>
      <c r="I185" s="126"/>
      <c r="J185" s="126"/>
    </row>
    <row r="191" spans="2:10" x14ac:dyDescent="0.25">
      <c r="B191" s="126"/>
      <c r="C191" s="126"/>
      <c r="D191" s="126"/>
      <c r="E191" s="50"/>
      <c r="F191" s="50"/>
      <c r="G191" s="50"/>
      <c r="H191" s="126"/>
      <c r="I191" s="126"/>
      <c r="J191" s="126"/>
    </row>
    <row r="192" spans="2:10" x14ac:dyDescent="0.25">
      <c r="B192" s="126"/>
      <c r="C192" s="126"/>
      <c r="D192" s="126"/>
      <c r="E192" s="50"/>
      <c r="F192" s="50"/>
      <c r="G192" s="50"/>
      <c r="H192" s="126"/>
      <c r="I192" s="126"/>
      <c r="J192" s="126"/>
    </row>
    <row r="197" spans="2:10" x14ac:dyDescent="0.25">
      <c r="B197" s="126"/>
      <c r="C197" s="126"/>
      <c r="D197" s="126"/>
      <c r="E197" s="50"/>
      <c r="F197" s="50"/>
      <c r="G197" s="50"/>
      <c r="H197" s="126"/>
      <c r="I197" s="126"/>
      <c r="J197" s="126"/>
    </row>
    <row r="198" spans="2:10" x14ac:dyDescent="0.25">
      <c r="B198" s="126"/>
      <c r="C198" s="126"/>
      <c r="D198" s="126"/>
      <c r="E198" s="50"/>
      <c r="F198" s="50"/>
      <c r="G198" s="50"/>
      <c r="H198" s="126"/>
      <c r="I198" s="126"/>
      <c r="J198" s="126"/>
    </row>
    <row r="203" spans="2:10" x14ac:dyDescent="0.25">
      <c r="B203" s="126"/>
      <c r="C203" s="126"/>
      <c r="D203" s="126"/>
      <c r="E203" s="50"/>
      <c r="F203" s="50"/>
      <c r="G203" s="50"/>
      <c r="H203" s="126"/>
      <c r="I203" s="126"/>
      <c r="J203" s="126"/>
    </row>
    <row r="209" spans="2:10" x14ac:dyDescent="0.25">
      <c r="B209" s="126"/>
      <c r="C209" s="126"/>
      <c r="D209" s="126"/>
      <c r="E209" s="50"/>
      <c r="F209" s="50"/>
      <c r="G209" s="50"/>
      <c r="H209" s="126"/>
      <c r="I209" s="126"/>
      <c r="J209" s="126"/>
    </row>
    <row r="215" spans="2:10" x14ac:dyDescent="0.25">
      <c r="B215" s="126"/>
      <c r="C215" s="126"/>
      <c r="D215" s="126"/>
      <c r="E215" s="50"/>
      <c r="F215" s="50"/>
      <c r="G215" s="50"/>
      <c r="H215" s="126"/>
      <c r="I215" s="126"/>
      <c r="J215" s="126"/>
    </row>
    <row r="216" spans="2:10" x14ac:dyDescent="0.25">
      <c r="B216" s="126"/>
      <c r="C216" s="126"/>
      <c r="D216" s="126"/>
      <c r="E216" s="50"/>
      <c r="F216" s="50"/>
      <c r="G216" s="50"/>
      <c r="H216" s="126"/>
      <c r="I216" s="126"/>
      <c r="J216" s="126"/>
    </row>
    <row r="221" spans="2:10" x14ac:dyDescent="0.25">
      <c r="B221" s="126"/>
      <c r="C221" s="126"/>
      <c r="D221" s="126"/>
      <c r="E221" s="50"/>
      <c r="F221" s="50"/>
      <c r="G221" s="50"/>
      <c r="H221" s="126"/>
      <c r="I221" s="126"/>
      <c r="J221" s="126"/>
    </row>
    <row r="222" spans="2:10" x14ac:dyDescent="0.25">
      <c r="B222" s="126"/>
      <c r="C222" s="126"/>
      <c r="D222" s="126"/>
      <c r="E222" s="50"/>
      <c r="F222" s="50"/>
      <c r="G222" s="50"/>
      <c r="H222" s="126"/>
      <c r="I222" s="126"/>
      <c r="J222" s="126"/>
    </row>
    <row r="223" spans="2:10" x14ac:dyDescent="0.25">
      <c r="B223" s="126"/>
      <c r="C223" s="126"/>
      <c r="D223" s="126"/>
      <c r="E223" s="50"/>
      <c r="F223" s="50"/>
      <c r="G223" s="50"/>
      <c r="H223" s="126"/>
      <c r="I223" s="126"/>
      <c r="J223" s="126"/>
    </row>
    <row r="227" spans="2:10" x14ac:dyDescent="0.25">
      <c r="B227" s="126"/>
      <c r="C227" s="126"/>
      <c r="D227" s="126"/>
      <c r="E227" s="50"/>
      <c r="F227" s="50"/>
      <c r="G227" s="50"/>
      <c r="H227" s="126"/>
      <c r="I227" s="126"/>
      <c r="J227" s="126"/>
    </row>
    <row r="228" spans="2:10" x14ac:dyDescent="0.25">
      <c r="B228" s="126"/>
      <c r="C228" s="126"/>
      <c r="D228" s="126"/>
      <c r="E228" s="50"/>
      <c r="F228" s="50"/>
      <c r="G228" s="50"/>
      <c r="H228" s="126"/>
      <c r="I228" s="126"/>
      <c r="J228" s="126"/>
    </row>
    <row r="233" spans="2:10" x14ac:dyDescent="0.25">
      <c r="B233" s="126"/>
      <c r="C233" s="126"/>
      <c r="D233" s="126"/>
      <c r="E233" s="50"/>
      <c r="F233" s="50"/>
      <c r="G233" s="50"/>
      <c r="H233" s="126"/>
      <c r="I233" s="126"/>
      <c r="J233" s="126"/>
    </row>
    <row r="239" spans="2:10" x14ac:dyDescent="0.25">
      <c r="B239" s="126"/>
      <c r="C239" s="126"/>
      <c r="D239" s="126"/>
      <c r="E239" s="50"/>
      <c r="F239" s="50"/>
      <c r="G239" s="50"/>
      <c r="H239" s="126"/>
      <c r="I239" s="126"/>
      <c r="J239" s="126"/>
    </row>
    <row r="240" spans="2:10" x14ac:dyDescent="0.25">
      <c r="B240" s="126"/>
      <c r="C240" s="126"/>
      <c r="D240" s="126"/>
      <c r="E240" s="50"/>
      <c r="F240" s="50"/>
      <c r="G240" s="50"/>
      <c r="H240" s="126"/>
      <c r="I240" s="126"/>
      <c r="J240" s="126"/>
    </row>
    <row r="241" spans="2:10" x14ac:dyDescent="0.25">
      <c r="B241" s="126"/>
      <c r="C241" s="126"/>
      <c r="D241" s="126"/>
      <c r="E241" s="50"/>
      <c r="F241" s="50"/>
      <c r="G241" s="50"/>
      <c r="H241" s="126"/>
      <c r="I241" s="126"/>
      <c r="J241" s="126"/>
    </row>
    <row r="245" spans="2:10" x14ac:dyDescent="0.25">
      <c r="B245" s="126"/>
      <c r="C245" s="126"/>
      <c r="D245" s="126"/>
      <c r="E245" s="50"/>
      <c r="F245" s="50"/>
      <c r="G245" s="50"/>
      <c r="H245" s="126"/>
      <c r="I245" s="126"/>
      <c r="J245" s="126"/>
    </row>
    <row r="246" spans="2:10" x14ac:dyDescent="0.25">
      <c r="B246" s="126"/>
      <c r="C246" s="126"/>
      <c r="D246" s="126"/>
      <c r="E246" s="50"/>
      <c r="F246" s="50"/>
      <c r="G246" s="50"/>
      <c r="H246" s="126"/>
      <c r="I246" s="126"/>
      <c r="J246" s="126"/>
    </row>
    <row r="251" spans="2:10" x14ac:dyDescent="0.25">
      <c r="B251" s="126"/>
      <c r="C251" s="126"/>
      <c r="D251" s="126"/>
      <c r="E251" s="50"/>
      <c r="F251" s="50"/>
      <c r="G251" s="50"/>
      <c r="H251" s="126"/>
      <c r="I251" s="126"/>
      <c r="J251" s="126"/>
    </row>
    <row r="257" spans="2:10" x14ac:dyDescent="0.25">
      <c r="B257" s="126"/>
      <c r="C257" s="126"/>
      <c r="D257" s="126"/>
      <c r="E257" s="50"/>
      <c r="F257" s="50"/>
      <c r="G257" s="50"/>
      <c r="H257" s="126"/>
      <c r="I257" s="126"/>
      <c r="J257" s="126"/>
    </row>
    <row r="258" spans="2:10" x14ac:dyDescent="0.25">
      <c r="B258" s="126"/>
      <c r="C258" s="126"/>
      <c r="D258" s="126"/>
      <c r="E258" s="50"/>
      <c r="F258" s="50"/>
      <c r="G258" s="50"/>
      <c r="H258" s="126"/>
      <c r="I258" s="126"/>
      <c r="J258" s="126"/>
    </row>
    <row r="259" spans="2:10" x14ac:dyDescent="0.25">
      <c r="B259" s="126"/>
      <c r="C259" s="126"/>
      <c r="D259" s="126"/>
      <c r="E259" s="50"/>
      <c r="F259" s="50"/>
      <c r="G259" s="50"/>
      <c r="H259" s="126"/>
      <c r="I259" s="126"/>
      <c r="J259" s="126"/>
    </row>
    <row r="260" spans="2:10" x14ac:dyDescent="0.25">
      <c r="B260" s="126"/>
      <c r="C260" s="126"/>
      <c r="D260" s="126"/>
      <c r="E260" s="50"/>
      <c r="F260" s="50"/>
      <c r="G260" s="50"/>
      <c r="H260" s="126"/>
      <c r="I260" s="126"/>
      <c r="J260" s="126"/>
    </row>
    <row r="263" spans="2:10" x14ac:dyDescent="0.25">
      <c r="B263" s="126"/>
      <c r="C263" s="126"/>
      <c r="D263" s="126"/>
      <c r="E263" s="50"/>
      <c r="F263" s="50"/>
      <c r="G263" s="50"/>
      <c r="H263" s="126"/>
      <c r="I263" s="126"/>
      <c r="J263" s="126"/>
    </row>
    <row r="269" spans="2:10" x14ac:dyDescent="0.25">
      <c r="B269" s="126"/>
      <c r="C269" s="126"/>
      <c r="D269" s="126"/>
      <c r="E269" s="50"/>
      <c r="F269" s="50"/>
      <c r="G269" s="50"/>
      <c r="H269" s="126"/>
      <c r="I269" s="126"/>
      <c r="J269" s="126"/>
    </row>
    <row r="270" spans="2:10" x14ac:dyDescent="0.25">
      <c r="B270" s="126"/>
      <c r="C270" s="126"/>
      <c r="D270" s="126"/>
      <c r="E270" s="50"/>
      <c r="F270" s="50"/>
      <c r="G270" s="50"/>
      <c r="H270" s="126"/>
      <c r="I270" s="126"/>
      <c r="J270" s="126"/>
    </row>
    <row r="275" spans="2:10" x14ac:dyDescent="0.25">
      <c r="B275" s="126"/>
      <c r="C275" s="126"/>
      <c r="D275" s="126"/>
      <c r="E275" s="50"/>
      <c r="F275" s="50"/>
      <c r="G275" s="50"/>
      <c r="H275" s="126"/>
      <c r="I275" s="126"/>
      <c r="J275" s="126"/>
    </row>
    <row r="276" spans="2:10" x14ac:dyDescent="0.25">
      <c r="B276" s="126"/>
      <c r="C276" s="126"/>
      <c r="D276" s="126"/>
      <c r="E276" s="50"/>
      <c r="F276" s="50"/>
      <c r="G276" s="50"/>
      <c r="H276" s="126"/>
      <c r="I276" s="126"/>
      <c r="J276" s="126"/>
    </row>
    <row r="277" spans="2:10" x14ac:dyDescent="0.25">
      <c r="B277" s="126"/>
      <c r="C277" s="126"/>
      <c r="D277" s="126"/>
      <c r="E277" s="50"/>
      <c r="F277" s="50"/>
      <c r="G277" s="50"/>
      <c r="H277" s="126"/>
      <c r="I277" s="126"/>
      <c r="J277" s="126"/>
    </row>
    <row r="278" spans="2:10" x14ac:dyDescent="0.25">
      <c r="B278" s="126"/>
      <c r="C278" s="126"/>
      <c r="D278" s="126"/>
      <c r="E278" s="50"/>
      <c r="F278" s="50"/>
      <c r="G278" s="50"/>
      <c r="H278" s="126"/>
      <c r="I278" s="126"/>
      <c r="J278" s="126"/>
    </row>
    <row r="281" spans="2:10" x14ac:dyDescent="0.25">
      <c r="B281" s="126"/>
      <c r="C281" s="126"/>
      <c r="D281" s="126"/>
      <c r="E281" s="49"/>
      <c r="F281" s="49"/>
      <c r="G281" s="49"/>
      <c r="H281" s="126"/>
      <c r="I281" s="126"/>
      <c r="J281" s="126"/>
    </row>
    <row r="287" spans="2:10" x14ac:dyDescent="0.25">
      <c r="B287" s="126"/>
      <c r="C287" s="126"/>
      <c r="D287" s="126"/>
      <c r="E287" s="49"/>
      <c r="F287" s="49"/>
      <c r="G287" s="49"/>
      <c r="H287" s="126"/>
      <c r="I287" s="126"/>
      <c r="J287" s="126"/>
    </row>
    <row r="293" spans="2:10" x14ac:dyDescent="0.25">
      <c r="B293" s="126"/>
      <c r="C293" s="126"/>
      <c r="D293" s="126"/>
      <c r="E293" s="49"/>
      <c r="F293" s="49"/>
      <c r="G293" s="49"/>
      <c r="H293" s="126"/>
      <c r="I293" s="126"/>
      <c r="J293" s="126"/>
    </row>
    <row r="299" spans="2:10" x14ac:dyDescent="0.25">
      <c r="B299" s="126"/>
      <c r="C299" s="126"/>
      <c r="D299" s="126"/>
      <c r="E299" s="49"/>
      <c r="F299" s="49"/>
      <c r="G299" s="49"/>
      <c r="H299" s="126"/>
      <c r="I299" s="126"/>
      <c r="J299" s="126"/>
    </row>
    <row r="305" spans="2:10" x14ac:dyDescent="0.25">
      <c r="B305" s="126"/>
      <c r="C305" s="126"/>
      <c r="D305" s="126"/>
      <c r="E305" s="49"/>
      <c r="F305" s="49"/>
      <c r="G305" s="49"/>
      <c r="H305" s="126"/>
      <c r="I305" s="126"/>
      <c r="J305" s="126"/>
    </row>
    <row r="306" spans="2:10" x14ac:dyDescent="0.25">
      <c r="B306" s="126"/>
      <c r="C306" s="126"/>
      <c r="D306" s="126"/>
      <c r="E306" s="49"/>
      <c r="F306" s="49"/>
      <c r="G306" s="49"/>
      <c r="H306" s="126"/>
      <c r="I306" s="126"/>
      <c r="J306" s="126"/>
    </row>
    <row r="311" spans="2:10" x14ac:dyDescent="0.25">
      <c r="B311" s="126"/>
      <c r="C311" s="126"/>
      <c r="D311" s="126"/>
      <c r="E311" s="49"/>
      <c r="F311" s="49"/>
      <c r="G311" s="49"/>
      <c r="H311" s="126"/>
      <c r="I311" s="126"/>
      <c r="J311" s="126"/>
    </row>
    <row r="312" spans="2:10" x14ac:dyDescent="0.25">
      <c r="B312" s="126"/>
      <c r="C312" s="126"/>
      <c r="D312" s="126"/>
      <c r="E312" s="49"/>
      <c r="F312" s="49"/>
      <c r="G312" s="49"/>
      <c r="H312" s="126"/>
      <c r="I312" s="126"/>
      <c r="J312" s="126"/>
    </row>
    <row r="317" spans="2:10" x14ac:dyDescent="0.25">
      <c r="B317" s="126"/>
      <c r="C317" s="126"/>
      <c r="D317" s="126"/>
      <c r="E317" s="49"/>
      <c r="F317" s="49"/>
      <c r="G317" s="49"/>
      <c r="H317" s="126"/>
      <c r="I317" s="126"/>
      <c r="J317" s="126"/>
    </row>
    <row r="323" spans="2:10" x14ac:dyDescent="0.25">
      <c r="B323" s="126"/>
      <c r="C323" s="126"/>
      <c r="D323" s="126"/>
      <c r="E323" s="49"/>
      <c r="F323" s="49"/>
      <c r="G323" s="49"/>
      <c r="H323" s="126"/>
      <c r="I323" s="126"/>
      <c r="J323" s="126"/>
    </row>
    <row r="329" spans="2:10" x14ac:dyDescent="0.25">
      <c r="B329" s="126"/>
      <c r="C329" s="126"/>
      <c r="D329" s="126"/>
      <c r="E329" s="49"/>
      <c r="F329" s="49"/>
      <c r="G329" s="49"/>
      <c r="H329" s="126"/>
      <c r="I329" s="126"/>
      <c r="J329" s="126"/>
    </row>
    <row r="330" spans="2:10" x14ac:dyDescent="0.25">
      <c r="B330" s="126"/>
      <c r="C330" s="126"/>
      <c r="D330" s="126"/>
      <c r="E330" s="49"/>
      <c r="F330" s="49"/>
      <c r="G330" s="49"/>
      <c r="H330" s="126"/>
      <c r="I330" s="126"/>
      <c r="J330" s="126"/>
    </row>
    <row r="335" spans="2:10" x14ac:dyDescent="0.25">
      <c r="B335" s="126"/>
      <c r="C335" s="126"/>
      <c r="D335" s="126"/>
      <c r="E335" s="49"/>
      <c r="F335" s="49"/>
      <c r="G335" s="49"/>
      <c r="H335" s="126"/>
      <c r="I335" s="126"/>
      <c r="J335" s="126"/>
    </row>
    <row r="336" spans="2:10" x14ac:dyDescent="0.25">
      <c r="B336" s="126"/>
      <c r="C336" s="126"/>
      <c r="D336" s="126"/>
      <c r="E336" s="49"/>
      <c r="F336" s="49"/>
      <c r="G336" s="49"/>
      <c r="H336" s="126"/>
      <c r="I336" s="126"/>
      <c r="J336" s="126"/>
    </row>
    <row r="337" spans="2:10" x14ac:dyDescent="0.25">
      <c r="B337" s="126"/>
      <c r="C337" s="126"/>
      <c r="D337" s="126"/>
      <c r="E337" s="49"/>
      <c r="F337" s="49"/>
      <c r="G337" s="49"/>
      <c r="H337" s="126"/>
      <c r="I337" s="126"/>
      <c r="J337" s="126"/>
    </row>
    <row r="341" spans="2:10" x14ac:dyDescent="0.25">
      <c r="B341" s="126"/>
      <c r="C341" s="126"/>
      <c r="D341" s="126"/>
      <c r="E341" s="49"/>
      <c r="F341" s="49"/>
      <c r="G341" s="49"/>
      <c r="H341" s="126"/>
      <c r="I341" s="126"/>
      <c r="J341" s="126"/>
    </row>
    <row r="342" spans="2:10" x14ac:dyDescent="0.25">
      <c r="B342" s="126"/>
      <c r="C342" s="126"/>
      <c r="D342" s="126"/>
      <c r="E342" s="49"/>
      <c r="F342" s="49"/>
      <c r="G342" s="49"/>
      <c r="H342" s="126"/>
      <c r="I342" s="126"/>
      <c r="J342" s="126"/>
    </row>
    <row r="347" spans="2:10" x14ac:dyDescent="0.25">
      <c r="B347" s="126"/>
      <c r="C347" s="126"/>
      <c r="D347" s="126"/>
      <c r="E347" s="49"/>
      <c r="F347" s="49"/>
      <c r="G347" s="49"/>
      <c r="H347" s="126"/>
      <c r="I347" s="126"/>
      <c r="J347" s="126"/>
    </row>
    <row r="353" spans="2:10" x14ac:dyDescent="0.25">
      <c r="B353" s="126"/>
      <c r="C353" s="126"/>
      <c r="D353" s="126"/>
      <c r="E353" s="49"/>
      <c r="F353" s="49"/>
      <c r="G353" s="49"/>
      <c r="H353" s="126"/>
      <c r="I353" s="126"/>
      <c r="J353" s="126"/>
    </row>
    <row r="354" spans="2:10" x14ac:dyDescent="0.25">
      <c r="B354" s="126"/>
      <c r="C354" s="126"/>
      <c r="D354" s="126"/>
      <c r="E354" s="49"/>
      <c r="F354" s="49"/>
      <c r="G354" s="49"/>
      <c r="H354" s="126"/>
      <c r="I354" s="126"/>
      <c r="J354" s="126"/>
    </row>
    <row r="355" spans="2:10" x14ac:dyDescent="0.25">
      <c r="B355" s="126"/>
      <c r="C355" s="126"/>
      <c r="D355" s="126"/>
      <c r="E355" s="49"/>
      <c r="F355" s="49"/>
      <c r="G355" s="49"/>
      <c r="H355" s="126"/>
      <c r="I355" s="126"/>
      <c r="J355" s="126"/>
    </row>
    <row r="359" spans="2:10" x14ac:dyDescent="0.25">
      <c r="B359" s="126"/>
      <c r="C359" s="126"/>
      <c r="D359" s="126"/>
      <c r="E359" s="49"/>
      <c r="F359" s="49"/>
      <c r="G359" s="49"/>
      <c r="H359" s="126"/>
      <c r="I359" s="126"/>
      <c r="J359" s="126"/>
    </row>
    <row r="360" spans="2:10" x14ac:dyDescent="0.25">
      <c r="B360" s="126"/>
      <c r="C360" s="126"/>
      <c r="D360" s="126"/>
      <c r="E360" s="49"/>
      <c r="F360" s="49"/>
      <c r="G360" s="49"/>
      <c r="H360" s="126"/>
      <c r="I360" s="126"/>
      <c r="J360" s="126"/>
    </row>
    <row r="365" spans="2:10" x14ac:dyDescent="0.25">
      <c r="B365" s="126"/>
      <c r="C365" s="126"/>
      <c r="D365" s="126"/>
      <c r="E365" s="49"/>
      <c r="F365" s="49"/>
      <c r="G365" s="49"/>
      <c r="H365" s="126"/>
      <c r="I365" s="126"/>
      <c r="J365" s="126"/>
    </row>
    <row r="371" spans="2:10" x14ac:dyDescent="0.25">
      <c r="B371" s="126"/>
      <c r="C371" s="126"/>
      <c r="D371" s="126"/>
      <c r="E371" s="49"/>
      <c r="F371" s="49"/>
      <c r="G371" s="49"/>
      <c r="H371" s="126"/>
      <c r="I371" s="126"/>
      <c r="J371" s="126"/>
    </row>
    <row r="372" spans="2:10" x14ac:dyDescent="0.25">
      <c r="B372" s="126"/>
      <c r="C372" s="126"/>
      <c r="D372" s="126"/>
      <c r="E372" s="49"/>
      <c r="F372" s="49"/>
      <c r="G372" s="49"/>
      <c r="H372" s="126"/>
      <c r="I372" s="126"/>
      <c r="J372" s="126"/>
    </row>
    <row r="373" spans="2:10" x14ac:dyDescent="0.25">
      <c r="B373" s="126"/>
      <c r="C373" s="126"/>
      <c r="D373" s="126"/>
      <c r="E373" s="49"/>
      <c r="F373" s="49"/>
      <c r="G373" s="49"/>
      <c r="H373" s="126"/>
      <c r="I373" s="126"/>
      <c r="J373" s="126"/>
    </row>
    <row r="374" spans="2:10" x14ac:dyDescent="0.25">
      <c r="B374" s="126"/>
      <c r="C374" s="126"/>
      <c r="D374" s="126"/>
      <c r="E374" s="49"/>
      <c r="F374" s="49"/>
      <c r="G374" s="49"/>
      <c r="H374" s="126"/>
      <c r="I374" s="126"/>
      <c r="J374" s="126"/>
    </row>
    <row r="377" spans="2:10" x14ac:dyDescent="0.25">
      <c r="B377" s="126"/>
      <c r="C377" s="126"/>
      <c r="D377" s="126"/>
      <c r="E377" s="49"/>
      <c r="F377" s="49"/>
      <c r="G377" s="49"/>
      <c r="H377" s="126"/>
      <c r="I377" s="126"/>
      <c r="J377" s="126"/>
    </row>
    <row r="383" spans="2:10" x14ac:dyDescent="0.25">
      <c r="B383" s="126"/>
      <c r="C383" s="126"/>
      <c r="D383" s="126"/>
      <c r="E383" s="49"/>
      <c r="F383" s="49"/>
      <c r="G383" s="49"/>
      <c r="H383" s="126"/>
      <c r="I383" s="126"/>
      <c r="J383" s="126"/>
    </row>
    <row r="384" spans="2:10" x14ac:dyDescent="0.25">
      <c r="B384" s="126"/>
      <c r="C384" s="126"/>
      <c r="D384" s="126"/>
      <c r="E384" s="49"/>
      <c r="F384" s="49"/>
      <c r="G384" s="49"/>
      <c r="H384" s="126"/>
      <c r="I384" s="126"/>
      <c r="J384" s="126"/>
    </row>
    <row r="386" spans="2:10" x14ac:dyDescent="0.25">
      <c r="B386" s="126"/>
      <c r="C386" s="126"/>
      <c r="D386" s="126"/>
      <c r="E386" s="49"/>
      <c r="F386" s="49"/>
      <c r="G386" s="49"/>
      <c r="H386" s="126"/>
      <c r="I386" s="126"/>
      <c r="J386" s="126"/>
    </row>
    <row r="392" spans="2:10" x14ac:dyDescent="0.25">
      <c r="B392" s="126"/>
      <c r="C392" s="126"/>
      <c r="D392" s="126"/>
      <c r="E392" s="49"/>
      <c r="F392" s="49"/>
      <c r="G392" s="49"/>
      <c r="H392" s="126"/>
      <c r="I392" s="126"/>
      <c r="J392" s="126"/>
    </row>
    <row r="393" spans="2:10" x14ac:dyDescent="0.25">
      <c r="B393" s="126"/>
      <c r="C393" s="126"/>
      <c r="D393" s="126"/>
      <c r="E393" s="49"/>
      <c r="F393" s="49"/>
      <c r="G393" s="49"/>
      <c r="H393" s="126"/>
      <c r="I393" s="126"/>
      <c r="J393" s="126"/>
    </row>
    <row r="398" spans="2:10" x14ac:dyDescent="0.25">
      <c r="B398" s="126"/>
      <c r="C398" s="126"/>
      <c r="D398" s="126"/>
      <c r="E398" s="49"/>
      <c r="F398" s="49"/>
      <c r="G398" s="49"/>
      <c r="H398" s="126"/>
      <c r="I398" s="126"/>
      <c r="J398" s="126"/>
    </row>
    <row r="399" spans="2:10" x14ac:dyDescent="0.25">
      <c r="B399" s="126"/>
      <c r="C399" s="126"/>
      <c r="D399" s="126"/>
      <c r="E399" s="49"/>
      <c r="F399" s="49"/>
      <c r="G399" s="49"/>
      <c r="H399" s="126"/>
      <c r="I399" s="126"/>
      <c r="J399" s="126"/>
    </row>
    <row r="400" spans="2:10" x14ac:dyDescent="0.25">
      <c r="B400" s="126"/>
      <c r="C400" s="126"/>
      <c r="D400" s="126"/>
      <c r="E400" s="49"/>
      <c r="F400" s="49"/>
      <c r="G400" s="49"/>
      <c r="H400" s="126"/>
      <c r="I400" s="126"/>
      <c r="J400" s="126"/>
    </row>
    <row r="401" spans="2:10" x14ac:dyDescent="0.25">
      <c r="B401" s="126"/>
      <c r="C401" s="126"/>
      <c r="D401" s="126"/>
      <c r="E401" s="49"/>
      <c r="F401" s="49"/>
      <c r="G401" s="49"/>
      <c r="H401" s="126"/>
      <c r="I401" s="126"/>
      <c r="J401" s="126"/>
    </row>
    <row r="402" spans="2:10" x14ac:dyDescent="0.25">
      <c r="B402" s="126"/>
      <c r="C402" s="126"/>
      <c r="D402" s="126"/>
      <c r="E402" s="49"/>
      <c r="F402" s="49"/>
      <c r="G402" s="49"/>
      <c r="H402" s="126"/>
      <c r="I402" s="126"/>
      <c r="J402" s="126"/>
    </row>
    <row r="403" spans="2:10" x14ac:dyDescent="0.25">
      <c r="B403" s="126"/>
      <c r="C403" s="126"/>
      <c r="D403" s="126"/>
      <c r="E403" s="49"/>
      <c r="F403" s="49"/>
      <c r="G403" s="49"/>
      <c r="H403" s="126"/>
      <c r="I403" s="126"/>
      <c r="J403" s="126"/>
    </row>
    <row r="404" spans="2:10" x14ac:dyDescent="0.25">
      <c r="B404" s="126"/>
      <c r="C404" s="126"/>
      <c r="D404" s="126"/>
      <c r="E404" s="49"/>
      <c r="F404" s="49"/>
      <c r="G404" s="49"/>
      <c r="H404" s="126"/>
      <c r="I404" s="126"/>
      <c r="J404" s="126"/>
    </row>
    <row r="405" spans="2:10" x14ac:dyDescent="0.25">
      <c r="B405" s="126"/>
      <c r="C405" s="126"/>
      <c r="D405" s="126"/>
      <c r="E405" s="49"/>
      <c r="F405" s="49"/>
      <c r="G405" s="49"/>
      <c r="H405" s="126"/>
      <c r="I405" s="126"/>
      <c r="J405" s="126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3:D73"/>
    <mergeCell ref="H73:J73"/>
    <mergeCell ref="B67:D67"/>
    <mergeCell ref="H67:J67"/>
    <mergeCell ref="B85:D85"/>
    <mergeCell ref="H85:J85"/>
    <mergeCell ref="B1:I1"/>
    <mergeCell ref="B86:D86"/>
    <mergeCell ref="H86:J86"/>
    <mergeCell ref="B79:D79"/>
    <mergeCell ref="H79:J79"/>
    <mergeCell ref="B97:D97"/>
    <mergeCell ref="H97:J97"/>
    <mergeCell ref="B91:D91"/>
    <mergeCell ref="H91:J91"/>
    <mergeCell ref="B92:D92"/>
    <mergeCell ref="H92:J92"/>
    <mergeCell ref="B109:D109"/>
    <mergeCell ref="H109:J109"/>
    <mergeCell ref="B110:D110"/>
    <mergeCell ref="H110:J110"/>
    <mergeCell ref="B103:D103"/>
    <mergeCell ref="H103:J103"/>
    <mergeCell ref="B115:D115"/>
    <mergeCell ref="H115:J115"/>
    <mergeCell ref="B116:D116"/>
    <mergeCell ref="H116:J116"/>
    <mergeCell ref="B117:D117"/>
    <mergeCell ref="H117:J117"/>
    <mergeCell ref="B127:D127"/>
    <mergeCell ref="H127:J127"/>
    <mergeCell ref="B121:D121"/>
    <mergeCell ref="H121:J121"/>
    <mergeCell ref="B122:D122"/>
    <mergeCell ref="H122:J122"/>
    <mergeCell ref="B133:D133"/>
    <mergeCell ref="H133:J133"/>
    <mergeCell ref="B134:D134"/>
    <mergeCell ref="H134:J134"/>
    <mergeCell ref="B135:D135"/>
    <mergeCell ref="H135:J135"/>
    <mergeCell ref="B154:D154"/>
    <mergeCell ref="H154:J154"/>
    <mergeCell ref="B145:D145"/>
    <mergeCell ref="H145:J145"/>
    <mergeCell ref="B139:D139"/>
    <mergeCell ref="H139:J139"/>
    <mergeCell ref="B140:D140"/>
    <mergeCell ref="H140:J140"/>
    <mergeCell ref="B151:D151"/>
    <mergeCell ref="H151:J151"/>
    <mergeCell ref="B152:D152"/>
    <mergeCell ref="H152:J152"/>
    <mergeCell ref="B153:D153"/>
    <mergeCell ref="H153:J153"/>
    <mergeCell ref="B163:D163"/>
    <mergeCell ref="H163:J163"/>
    <mergeCell ref="B164:D164"/>
    <mergeCell ref="H164:J164"/>
    <mergeCell ref="B157:D157"/>
    <mergeCell ref="H157:J157"/>
    <mergeCell ref="B179:D179"/>
    <mergeCell ref="H179:J179"/>
    <mergeCell ref="B173:D173"/>
    <mergeCell ref="H173:J173"/>
    <mergeCell ref="B167:D167"/>
    <mergeCell ref="H167:J167"/>
    <mergeCell ref="B191:D191"/>
    <mergeCell ref="H191:J191"/>
    <mergeCell ref="B192:D192"/>
    <mergeCell ref="H192:J192"/>
    <mergeCell ref="B185:D185"/>
    <mergeCell ref="H185:J185"/>
    <mergeCell ref="B203:D203"/>
    <mergeCell ref="H203:J203"/>
    <mergeCell ref="B197:D197"/>
    <mergeCell ref="H197:J197"/>
    <mergeCell ref="B198:D198"/>
    <mergeCell ref="H198:J198"/>
    <mergeCell ref="B215:D215"/>
    <mergeCell ref="H215:J215"/>
    <mergeCell ref="B216:D216"/>
    <mergeCell ref="H216:J216"/>
    <mergeCell ref="B209:D209"/>
    <mergeCell ref="H209:J209"/>
    <mergeCell ref="B221:D221"/>
    <mergeCell ref="H221:J221"/>
    <mergeCell ref="B222:D222"/>
    <mergeCell ref="H222:J222"/>
    <mergeCell ref="B223:D223"/>
    <mergeCell ref="H223:J223"/>
    <mergeCell ref="B233:D233"/>
    <mergeCell ref="H233:J233"/>
    <mergeCell ref="B227:D227"/>
    <mergeCell ref="H227:J227"/>
    <mergeCell ref="B228:D228"/>
    <mergeCell ref="H228:J228"/>
    <mergeCell ref="B239:D239"/>
    <mergeCell ref="H239:J239"/>
    <mergeCell ref="B240:D240"/>
    <mergeCell ref="H240:J240"/>
    <mergeCell ref="B241:D241"/>
    <mergeCell ref="H241:J241"/>
    <mergeCell ref="B251:D251"/>
    <mergeCell ref="H251:J251"/>
    <mergeCell ref="B245:D245"/>
    <mergeCell ref="H245:J245"/>
    <mergeCell ref="B246:D246"/>
    <mergeCell ref="H246:J246"/>
    <mergeCell ref="B263:D263"/>
    <mergeCell ref="H263:J263"/>
    <mergeCell ref="B257:D257"/>
    <mergeCell ref="H257:J257"/>
    <mergeCell ref="B258:D258"/>
    <mergeCell ref="H258:J258"/>
    <mergeCell ref="B259:D259"/>
    <mergeCell ref="H259:J259"/>
    <mergeCell ref="B260:D260"/>
    <mergeCell ref="H260:J260"/>
    <mergeCell ref="B278:D278"/>
    <mergeCell ref="H278:J278"/>
    <mergeCell ref="B269:D269"/>
    <mergeCell ref="H269:J269"/>
    <mergeCell ref="B270:D270"/>
    <mergeCell ref="H270:J270"/>
    <mergeCell ref="B275:D275"/>
    <mergeCell ref="H275:J275"/>
    <mergeCell ref="B276:D276"/>
    <mergeCell ref="H276:J276"/>
    <mergeCell ref="B277:D277"/>
    <mergeCell ref="H277:J277"/>
    <mergeCell ref="B371:D371"/>
    <mergeCell ref="H371:J371"/>
    <mergeCell ref="B372:D372"/>
    <mergeCell ref="H372:J372"/>
    <mergeCell ref="B373:D373"/>
    <mergeCell ref="H373:J373"/>
    <mergeCell ref="B374:D374"/>
    <mergeCell ref="H374:J374"/>
    <mergeCell ref="B404:D404"/>
    <mergeCell ref="H404:J404"/>
    <mergeCell ref="B392:D392"/>
    <mergeCell ref="H392:J392"/>
    <mergeCell ref="B393:D393"/>
    <mergeCell ref="H393:J393"/>
    <mergeCell ref="B386:D386"/>
    <mergeCell ref="H386:J386"/>
    <mergeCell ref="B383:D383"/>
    <mergeCell ref="H383:J383"/>
    <mergeCell ref="B384:D384"/>
    <mergeCell ref="H384:J384"/>
    <mergeCell ref="B377:D377"/>
    <mergeCell ref="H377:J377"/>
    <mergeCell ref="B405:D405"/>
    <mergeCell ref="H405:J405"/>
    <mergeCell ref="B398:D398"/>
    <mergeCell ref="H398:J398"/>
    <mergeCell ref="B399:D399"/>
    <mergeCell ref="H399:J399"/>
    <mergeCell ref="B400:D400"/>
    <mergeCell ref="H400:J400"/>
    <mergeCell ref="B401:D401"/>
    <mergeCell ref="H401:J401"/>
    <mergeCell ref="B402:D402"/>
    <mergeCell ref="H402:J402"/>
    <mergeCell ref="B403:D403"/>
    <mergeCell ref="H403:J403"/>
    <mergeCell ref="B365:D365"/>
    <mergeCell ref="H365:J365"/>
    <mergeCell ref="B359:D359"/>
    <mergeCell ref="H359:J359"/>
    <mergeCell ref="B360:D360"/>
    <mergeCell ref="H360:J360"/>
    <mergeCell ref="B353:D353"/>
    <mergeCell ref="H353:J353"/>
    <mergeCell ref="B354:D354"/>
    <mergeCell ref="H354:J354"/>
    <mergeCell ref="B355:D355"/>
    <mergeCell ref="H355:J355"/>
    <mergeCell ref="B347:D347"/>
    <mergeCell ref="H347:J347"/>
    <mergeCell ref="B341:D341"/>
    <mergeCell ref="H341:J341"/>
    <mergeCell ref="B342:D342"/>
    <mergeCell ref="H342:J342"/>
    <mergeCell ref="B335:D335"/>
    <mergeCell ref="H335:J335"/>
    <mergeCell ref="B336:D336"/>
    <mergeCell ref="H336:J336"/>
    <mergeCell ref="B337:D337"/>
    <mergeCell ref="H337:J337"/>
    <mergeCell ref="B329:D329"/>
    <mergeCell ref="H329:J329"/>
    <mergeCell ref="B330:D330"/>
    <mergeCell ref="H330:J330"/>
    <mergeCell ref="B323:D323"/>
    <mergeCell ref="H323:J323"/>
    <mergeCell ref="B317:D317"/>
    <mergeCell ref="H317:J317"/>
    <mergeCell ref="B311:D311"/>
    <mergeCell ref="H311:J311"/>
    <mergeCell ref="B312:D312"/>
    <mergeCell ref="H312:J312"/>
    <mergeCell ref="B281:D281"/>
    <mergeCell ref="H281:J281"/>
    <mergeCell ref="B305:D305"/>
    <mergeCell ref="H305:J305"/>
    <mergeCell ref="B306:D306"/>
    <mergeCell ref="H306:J306"/>
    <mergeCell ref="B299:D299"/>
    <mergeCell ref="H299:J299"/>
    <mergeCell ref="B293:D293"/>
    <mergeCell ref="H293:J293"/>
    <mergeCell ref="B287:D287"/>
    <mergeCell ref="H287:J287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3" customWidth="1"/>
    <col min="2" max="4" width="6.28515625" style="2" customWidth="1"/>
    <col min="5" max="5" width="15.28515625" style="62" customWidth="1"/>
  </cols>
  <sheetData>
    <row r="1" spans="1:5" x14ac:dyDescent="0.25">
      <c r="A1" s="63" t="s">
        <v>143</v>
      </c>
    </row>
    <row r="2" spans="1:5" x14ac:dyDescent="0.25">
      <c r="A2" s="63" t="s">
        <v>19</v>
      </c>
      <c r="B2" s="2">
        <v>2</v>
      </c>
      <c r="C2" s="2" t="s">
        <v>53</v>
      </c>
      <c r="D2" s="2">
        <v>1</v>
      </c>
      <c r="E2" s="62" t="s">
        <v>166</v>
      </c>
    </row>
    <row r="3" spans="1:5" x14ac:dyDescent="0.25">
      <c r="A3" s="63" t="s">
        <v>5</v>
      </c>
      <c r="B3" s="2">
        <v>2</v>
      </c>
      <c r="C3" s="2" t="s">
        <v>53</v>
      </c>
      <c r="D3" s="2">
        <v>1</v>
      </c>
      <c r="E3" s="62" t="s">
        <v>6</v>
      </c>
    </row>
    <row r="4" spans="1:5" x14ac:dyDescent="0.25">
      <c r="A4" s="63" t="s">
        <v>22</v>
      </c>
      <c r="B4" s="2">
        <v>1</v>
      </c>
      <c r="C4" s="2" t="s">
        <v>53</v>
      </c>
      <c r="D4" s="2">
        <v>2</v>
      </c>
      <c r="E4" s="62" t="s">
        <v>12</v>
      </c>
    </row>
    <row r="5" spans="1:5" x14ac:dyDescent="0.25">
      <c r="A5" s="63" t="s">
        <v>8</v>
      </c>
      <c r="B5" s="2">
        <v>2</v>
      </c>
      <c r="C5" s="2" t="s">
        <v>53</v>
      </c>
      <c r="D5" s="2">
        <v>0</v>
      </c>
      <c r="E5" s="62" t="s">
        <v>167</v>
      </c>
    </row>
    <row r="6" spans="1:5" x14ac:dyDescent="0.25">
      <c r="A6" s="63" t="s">
        <v>20</v>
      </c>
      <c r="B6" s="2">
        <v>2</v>
      </c>
      <c r="C6" s="2" t="s">
        <v>53</v>
      </c>
      <c r="D6" s="2">
        <v>0</v>
      </c>
      <c r="E6" s="62" t="s">
        <v>28</v>
      </c>
    </row>
    <row r="7" spans="1:5" x14ac:dyDescent="0.25">
      <c r="A7" s="63" t="s">
        <v>17</v>
      </c>
      <c r="B7" s="2">
        <v>2</v>
      </c>
      <c r="C7" s="2" t="s">
        <v>53</v>
      </c>
      <c r="D7" s="2">
        <v>1</v>
      </c>
      <c r="E7" s="62" t="s">
        <v>26</v>
      </c>
    </row>
    <row r="8" spans="1:5" x14ac:dyDescent="0.25">
      <c r="A8" s="63" t="s">
        <v>23</v>
      </c>
      <c r="B8" s="2">
        <v>2</v>
      </c>
      <c r="C8" s="2" t="s">
        <v>53</v>
      </c>
      <c r="D8" s="2">
        <v>1</v>
      </c>
      <c r="E8" s="62" t="s">
        <v>15</v>
      </c>
    </row>
    <row r="9" spans="1:5" x14ac:dyDescent="0.25">
      <c r="A9" s="63" t="s">
        <v>27</v>
      </c>
      <c r="B9" s="2">
        <v>2</v>
      </c>
      <c r="C9" s="2" t="s">
        <v>53</v>
      </c>
      <c r="D9" s="2">
        <v>2</v>
      </c>
      <c r="E9" s="62" t="s">
        <v>30</v>
      </c>
    </row>
    <row r="11" spans="1:5" x14ac:dyDescent="0.25">
      <c r="A11" s="63" t="s">
        <v>144</v>
      </c>
    </row>
    <row r="12" spans="1:5" x14ac:dyDescent="0.25">
      <c r="A12" s="63" t="s">
        <v>19</v>
      </c>
      <c r="B12" s="2">
        <v>1</v>
      </c>
      <c r="C12" s="2" t="s">
        <v>53</v>
      </c>
      <c r="D12" s="2">
        <v>1</v>
      </c>
      <c r="E12" s="62" t="s">
        <v>166</v>
      </c>
    </row>
    <row r="13" spans="1:5" x14ac:dyDescent="0.25">
      <c r="A13" s="63" t="s">
        <v>5</v>
      </c>
      <c r="B13" s="2">
        <v>1</v>
      </c>
      <c r="C13" s="2" t="s">
        <v>53</v>
      </c>
      <c r="D13" s="2">
        <v>1</v>
      </c>
      <c r="E13" s="62" t="s">
        <v>6</v>
      </c>
    </row>
    <row r="14" spans="1:5" x14ac:dyDescent="0.25">
      <c r="A14" s="63" t="s">
        <v>22</v>
      </c>
      <c r="B14" s="2">
        <v>1</v>
      </c>
      <c r="C14" s="2" t="s">
        <v>53</v>
      </c>
      <c r="D14" s="2">
        <v>1</v>
      </c>
      <c r="E14" s="62" t="s">
        <v>12</v>
      </c>
    </row>
    <row r="15" spans="1:5" x14ac:dyDescent="0.25">
      <c r="A15" s="63" t="s">
        <v>8</v>
      </c>
      <c r="B15" s="2">
        <v>1</v>
      </c>
      <c r="C15" s="2" t="s">
        <v>53</v>
      </c>
      <c r="D15" s="2">
        <v>1</v>
      </c>
      <c r="E15" s="62" t="s">
        <v>167</v>
      </c>
    </row>
    <row r="16" spans="1:5" x14ac:dyDescent="0.25">
      <c r="A16" s="63" t="s">
        <v>20</v>
      </c>
      <c r="B16" s="2">
        <v>1</v>
      </c>
      <c r="C16" s="2" t="s">
        <v>53</v>
      </c>
      <c r="D16" s="2">
        <v>1</v>
      </c>
      <c r="E16" s="62" t="s">
        <v>28</v>
      </c>
    </row>
    <row r="17" spans="1:5" x14ac:dyDescent="0.25">
      <c r="A17" s="63" t="s">
        <v>17</v>
      </c>
      <c r="B17" s="2">
        <v>1</v>
      </c>
      <c r="C17" s="2" t="s">
        <v>53</v>
      </c>
      <c r="D17" s="2">
        <v>1</v>
      </c>
      <c r="E17" s="62" t="s">
        <v>26</v>
      </c>
    </row>
    <row r="18" spans="1:5" x14ac:dyDescent="0.25">
      <c r="A18" s="63" t="s">
        <v>23</v>
      </c>
      <c r="B18" s="2">
        <v>1</v>
      </c>
      <c r="C18" s="2" t="s">
        <v>53</v>
      </c>
      <c r="D18" s="2">
        <v>1</v>
      </c>
      <c r="E18" s="62" t="s">
        <v>15</v>
      </c>
    </row>
    <row r="19" spans="1:5" x14ac:dyDescent="0.25">
      <c r="A19" s="63" t="s">
        <v>27</v>
      </c>
      <c r="B19" s="2">
        <v>1</v>
      </c>
      <c r="C19" s="2" t="s">
        <v>53</v>
      </c>
      <c r="D19" s="2">
        <v>1</v>
      </c>
      <c r="E19" s="62" t="s">
        <v>30</v>
      </c>
    </row>
    <row r="21" spans="1:5" x14ac:dyDescent="0.25">
      <c r="A21" s="63" t="s">
        <v>145</v>
      </c>
    </row>
    <row r="22" spans="1:5" x14ac:dyDescent="0.25">
      <c r="A22" s="63" t="s">
        <v>19</v>
      </c>
      <c r="B22" s="2">
        <v>2</v>
      </c>
      <c r="C22" s="2" t="s">
        <v>53</v>
      </c>
      <c r="D22" s="2">
        <v>1</v>
      </c>
      <c r="E22" s="62" t="s">
        <v>166</v>
      </c>
    </row>
    <row r="23" spans="1:5" x14ac:dyDescent="0.25">
      <c r="A23" s="63" t="s">
        <v>5</v>
      </c>
      <c r="B23" s="2">
        <v>2</v>
      </c>
      <c r="C23" s="2" t="s">
        <v>53</v>
      </c>
      <c r="D23" s="2">
        <v>0</v>
      </c>
      <c r="E23" s="62" t="s">
        <v>6</v>
      </c>
    </row>
    <row r="24" spans="1:5" x14ac:dyDescent="0.25">
      <c r="A24" s="63" t="s">
        <v>22</v>
      </c>
      <c r="B24" s="2">
        <v>1</v>
      </c>
      <c r="C24" s="2" t="s">
        <v>53</v>
      </c>
      <c r="D24" s="2">
        <v>2</v>
      </c>
      <c r="E24" s="62" t="s">
        <v>12</v>
      </c>
    </row>
    <row r="25" spans="1:5" x14ac:dyDescent="0.25">
      <c r="A25" s="63" t="s">
        <v>8</v>
      </c>
      <c r="B25" s="2">
        <v>2</v>
      </c>
      <c r="C25" s="2" t="s">
        <v>53</v>
      </c>
      <c r="D25" s="2">
        <v>0</v>
      </c>
      <c r="E25" s="62" t="s">
        <v>167</v>
      </c>
    </row>
    <row r="26" spans="1:5" x14ac:dyDescent="0.25">
      <c r="A26" s="63" t="s">
        <v>20</v>
      </c>
      <c r="B26" s="2">
        <v>1</v>
      </c>
      <c r="C26" s="2" t="s">
        <v>53</v>
      </c>
      <c r="D26" s="2">
        <v>2</v>
      </c>
      <c r="E26" s="62" t="s">
        <v>28</v>
      </c>
    </row>
    <row r="27" spans="1:5" x14ac:dyDescent="0.25">
      <c r="A27" s="63" t="s">
        <v>17</v>
      </c>
      <c r="B27" s="2">
        <v>2</v>
      </c>
      <c r="C27" s="2" t="s">
        <v>53</v>
      </c>
      <c r="D27" s="2">
        <v>0</v>
      </c>
      <c r="E27" s="62" t="s">
        <v>26</v>
      </c>
    </row>
    <row r="28" spans="1:5" x14ac:dyDescent="0.25">
      <c r="A28" s="63" t="s">
        <v>23</v>
      </c>
      <c r="B28" s="2">
        <v>1</v>
      </c>
      <c r="C28" s="2" t="s">
        <v>53</v>
      </c>
      <c r="D28" s="2">
        <v>3</v>
      </c>
      <c r="E28" s="62" t="s">
        <v>15</v>
      </c>
    </row>
    <row r="29" spans="1:5" x14ac:dyDescent="0.25">
      <c r="A29" s="63" t="s">
        <v>27</v>
      </c>
      <c r="B29" s="2">
        <v>1</v>
      </c>
      <c r="C29" s="2" t="s">
        <v>53</v>
      </c>
      <c r="D29" s="2">
        <v>0</v>
      </c>
      <c r="E29" s="62" t="s">
        <v>30</v>
      </c>
    </row>
    <row r="31" spans="1:5" x14ac:dyDescent="0.25">
      <c r="A31" s="63" t="s">
        <v>146</v>
      </c>
    </row>
    <row r="32" spans="1:5" x14ac:dyDescent="0.25">
      <c r="A32" s="63" t="s">
        <v>19</v>
      </c>
      <c r="B32" s="2">
        <v>3</v>
      </c>
      <c r="C32" s="2" t="s">
        <v>53</v>
      </c>
      <c r="D32" s="2">
        <v>2</v>
      </c>
      <c r="E32" s="62" t="s">
        <v>166</v>
      </c>
    </row>
    <row r="33" spans="1:5" x14ac:dyDescent="0.25">
      <c r="A33" s="63" t="s">
        <v>5</v>
      </c>
      <c r="B33" s="2">
        <v>3</v>
      </c>
      <c r="C33" s="2" t="s">
        <v>53</v>
      </c>
      <c r="D33" s="2">
        <v>1</v>
      </c>
      <c r="E33" s="62" t="s">
        <v>6</v>
      </c>
    </row>
    <row r="34" spans="1:5" x14ac:dyDescent="0.25">
      <c r="A34" s="63" t="s">
        <v>22</v>
      </c>
      <c r="B34" s="2">
        <v>2</v>
      </c>
      <c r="C34" s="2" t="s">
        <v>53</v>
      </c>
      <c r="D34" s="2">
        <v>3</v>
      </c>
      <c r="E34" s="62" t="s">
        <v>12</v>
      </c>
    </row>
    <row r="35" spans="1:5" x14ac:dyDescent="0.25">
      <c r="A35" s="63" t="s">
        <v>8</v>
      </c>
      <c r="B35" s="2">
        <v>3</v>
      </c>
      <c r="C35" s="2" t="s">
        <v>53</v>
      </c>
      <c r="D35" s="2">
        <v>2</v>
      </c>
      <c r="E35" s="62" t="s">
        <v>167</v>
      </c>
    </row>
    <row r="36" spans="1:5" x14ac:dyDescent="0.25">
      <c r="A36" s="63" t="s">
        <v>20</v>
      </c>
      <c r="B36" s="2">
        <v>3</v>
      </c>
      <c r="C36" s="2" t="s">
        <v>53</v>
      </c>
      <c r="D36" s="2">
        <v>2</v>
      </c>
      <c r="E36" s="62" t="s">
        <v>28</v>
      </c>
    </row>
    <row r="37" spans="1:5" x14ac:dyDescent="0.25">
      <c r="A37" s="63" t="s">
        <v>17</v>
      </c>
      <c r="B37" s="2">
        <v>3</v>
      </c>
      <c r="C37" s="2" t="s">
        <v>53</v>
      </c>
      <c r="D37" s="2">
        <v>2</v>
      </c>
      <c r="E37" s="62" t="s">
        <v>26</v>
      </c>
    </row>
    <row r="38" spans="1:5" x14ac:dyDescent="0.25">
      <c r="A38" s="63" t="s">
        <v>23</v>
      </c>
      <c r="B38" s="2">
        <v>1</v>
      </c>
      <c r="C38" s="2" t="s">
        <v>53</v>
      </c>
      <c r="D38" s="2">
        <v>3</v>
      </c>
      <c r="E38" s="62" t="s">
        <v>15</v>
      </c>
    </row>
    <row r="39" spans="1:5" x14ac:dyDescent="0.25">
      <c r="A39" s="63" t="s">
        <v>27</v>
      </c>
      <c r="B39" s="2">
        <v>3</v>
      </c>
      <c r="C39" s="2" t="s">
        <v>53</v>
      </c>
      <c r="D39" s="2">
        <v>1</v>
      </c>
      <c r="E39" s="62" t="s">
        <v>30</v>
      </c>
    </row>
    <row r="41" spans="1:5" x14ac:dyDescent="0.25">
      <c r="A41" s="63" t="s">
        <v>147</v>
      </c>
    </row>
    <row r="42" spans="1:5" x14ac:dyDescent="0.25">
      <c r="A42" s="63" t="s">
        <v>19</v>
      </c>
      <c r="B42" s="2">
        <v>1</v>
      </c>
      <c r="C42" s="2" t="s">
        <v>53</v>
      </c>
      <c r="D42" s="2">
        <v>0</v>
      </c>
      <c r="E42" s="62" t="s">
        <v>166</v>
      </c>
    </row>
    <row r="43" spans="1:5" x14ac:dyDescent="0.25">
      <c r="A43" s="63" t="s">
        <v>5</v>
      </c>
      <c r="B43" s="2">
        <v>2</v>
      </c>
      <c r="C43" s="2" t="s">
        <v>53</v>
      </c>
      <c r="D43" s="2">
        <v>0</v>
      </c>
      <c r="E43" s="62" t="s">
        <v>6</v>
      </c>
    </row>
    <row r="44" spans="1:5" x14ac:dyDescent="0.25">
      <c r="A44" s="63" t="s">
        <v>22</v>
      </c>
      <c r="B44" s="2">
        <v>2</v>
      </c>
      <c r="C44" s="2" t="s">
        <v>53</v>
      </c>
      <c r="D44" s="2">
        <v>1</v>
      </c>
      <c r="E44" s="62" t="s">
        <v>12</v>
      </c>
    </row>
    <row r="45" spans="1:5" x14ac:dyDescent="0.25">
      <c r="A45" s="63" t="s">
        <v>8</v>
      </c>
      <c r="B45" s="2">
        <v>2</v>
      </c>
      <c r="C45" s="2" t="s">
        <v>53</v>
      </c>
      <c r="D45" s="2">
        <v>1</v>
      </c>
      <c r="E45" s="62" t="s">
        <v>167</v>
      </c>
    </row>
    <row r="46" spans="1:5" x14ac:dyDescent="0.25">
      <c r="A46" s="63" t="s">
        <v>20</v>
      </c>
      <c r="B46" s="2">
        <v>1</v>
      </c>
      <c r="C46" s="2" t="s">
        <v>53</v>
      </c>
      <c r="D46" s="2">
        <v>1</v>
      </c>
      <c r="E46" s="62" t="s">
        <v>28</v>
      </c>
    </row>
    <row r="47" spans="1:5" x14ac:dyDescent="0.25">
      <c r="A47" s="63" t="s">
        <v>17</v>
      </c>
      <c r="B47" s="2">
        <v>1</v>
      </c>
      <c r="C47" s="2" t="s">
        <v>53</v>
      </c>
      <c r="D47" s="2">
        <v>0</v>
      </c>
      <c r="E47" s="62" t="s">
        <v>26</v>
      </c>
    </row>
    <row r="48" spans="1:5" x14ac:dyDescent="0.25">
      <c r="A48" s="63" t="s">
        <v>23</v>
      </c>
      <c r="B48" s="2">
        <v>1</v>
      </c>
      <c r="C48" s="2" t="s">
        <v>53</v>
      </c>
      <c r="D48" s="2">
        <v>1</v>
      </c>
      <c r="E48" s="62" t="s">
        <v>15</v>
      </c>
    </row>
    <row r="49" spans="1:5" x14ac:dyDescent="0.25">
      <c r="A49" s="63" t="s">
        <v>27</v>
      </c>
      <c r="B49" s="2">
        <v>2</v>
      </c>
      <c r="C49" s="2" t="s">
        <v>53</v>
      </c>
      <c r="D49" s="2">
        <v>2</v>
      </c>
      <c r="E49" s="62" t="s">
        <v>30</v>
      </c>
    </row>
    <row r="51" spans="1:5" x14ac:dyDescent="0.25">
      <c r="A51" s="63" t="s">
        <v>148</v>
      </c>
    </row>
    <row r="52" spans="1:5" x14ac:dyDescent="0.25">
      <c r="A52" s="63" t="s">
        <v>19</v>
      </c>
      <c r="B52" s="2">
        <v>2</v>
      </c>
      <c r="C52" s="2" t="s">
        <v>53</v>
      </c>
      <c r="D52" s="2">
        <v>0</v>
      </c>
      <c r="E52" s="62" t="s">
        <v>166</v>
      </c>
    </row>
    <row r="53" spans="1:5" x14ac:dyDescent="0.25">
      <c r="A53" s="63" t="s">
        <v>5</v>
      </c>
      <c r="B53" s="2">
        <v>2</v>
      </c>
      <c r="C53" s="2" t="s">
        <v>53</v>
      </c>
      <c r="D53" s="2">
        <v>1</v>
      </c>
      <c r="E53" s="62" t="s">
        <v>6</v>
      </c>
    </row>
    <row r="54" spans="1:5" x14ac:dyDescent="0.25">
      <c r="A54" s="63" t="s">
        <v>22</v>
      </c>
      <c r="B54" s="2">
        <v>1</v>
      </c>
      <c r="C54" s="2" t="s">
        <v>53</v>
      </c>
      <c r="D54" s="2">
        <v>0</v>
      </c>
      <c r="E54" s="62" t="s">
        <v>12</v>
      </c>
    </row>
    <row r="55" spans="1:5" x14ac:dyDescent="0.25">
      <c r="A55" s="63" t="s">
        <v>8</v>
      </c>
      <c r="B55" s="2">
        <v>2</v>
      </c>
      <c r="C55" s="2" t="s">
        <v>53</v>
      </c>
      <c r="D55" s="2">
        <v>0</v>
      </c>
      <c r="E55" s="62" t="s">
        <v>167</v>
      </c>
    </row>
    <row r="56" spans="1:5" x14ac:dyDescent="0.25">
      <c r="A56" s="63" t="s">
        <v>20</v>
      </c>
      <c r="B56" s="2">
        <v>3</v>
      </c>
      <c r="C56" s="2" t="s">
        <v>53</v>
      </c>
      <c r="D56" s="2">
        <v>1</v>
      </c>
      <c r="E56" s="62" t="s">
        <v>28</v>
      </c>
    </row>
    <row r="57" spans="1:5" x14ac:dyDescent="0.25">
      <c r="A57" s="63" t="s">
        <v>17</v>
      </c>
      <c r="B57" s="2">
        <v>2</v>
      </c>
      <c r="C57" s="2" t="s">
        <v>53</v>
      </c>
      <c r="D57" s="2">
        <v>0</v>
      </c>
      <c r="E57" s="62" t="s">
        <v>26</v>
      </c>
    </row>
    <row r="58" spans="1:5" x14ac:dyDescent="0.25">
      <c r="A58" s="63" t="s">
        <v>23</v>
      </c>
      <c r="B58" s="2">
        <v>1</v>
      </c>
      <c r="C58" s="2" t="s">
        <v>53</v>
      </c>
      <c r="D58" s="2">
        <v>2</v>
      </c>
      <c r="E58" s="62" t="s">
        <v>15</v>
      </c>
    </row>
    <row r="59" spans="1:5" x14ac:dyDescent="0.25">
      <c r="A59" s="63" t="s">
        <v>27</v>
      </c>
      <c r="B59" s="2">
        <v>1</v>
      </c>
      <c r="C59" s="2" t="s">
        <v>53</v>
      </c>
      <c r="D59" s="2">
        <v>0</v>
      </c>
      <c r="E59" s="62" t="s">
        <v>30</v>
      </c>
    </row>
    <row r="61" spans="1:5" x14ac:dyDescent="0.25">
      <c r="A61" s="63" t="s">
        <v>149</v>
      </c>
    </row>
    <row r="62" spans="1:5" x14ac:dyDescent="0.25">
      <c r="A62" s="63" t="s">
        <v>19</v>
      </c>
      <c r="B62" s="2">
        <v>2</v>
      </c>
      <c r="C62" s="2" t="s">
        <v>53</v>
      </c>
      <c r="D62" s="2">
        <v>0</v>
      </c>
      <c r="E62" s="62" t="s">
        <v>166</v>
      </c>
    </row>
    <row r="63" spans="1:5" x14ac:dyDescent="0.25">
      <c r="A63" s="63" t="s">
        <v>5</v>
      </c>
      <c r="B63" s="2">
        <v>1</v>
      </c>
      <c r="C63" s="2" t="s">
        <v>53</v>
      </c>
      <c r="D63" s="2">
        <v>0</v>
      </c>
      <c r="E63" s="62" t="s">
        <v>6</v>
      </c>
    </row>
    <row r="64" spans="1:5" x14ac:dyDescent="0.25">
      <c r="A64" s="63" t="s">
        <v>22</v>
      </c>
      <c r="B64" s="2">
        <v>1</v>
      </c>
      <c r="C64" s="2" t="s">
        <v>53</v>
      </c>
      <c r="D64" s="2">
        <v>2</v>
      </c>
      <c r="E64" s="62" t="s">
        <v>12</v>
      </c>
    </row>
    <row r="65" spans="1:5" x14ac:dyDescent="0.25">
      <c r="A65" s="63" t="s">
        <v>8</v>
      </c>
      <c r="B65" s="2">
        <v>1</v>
      </c>
      <c r="C65" s="2" t="s">
        <v>53</v>
      </c>
      <c r="D65" s="2">
        <v>0</v>
      </c>
      <c r="E65" s="62" t="s">
        <v>167</v>
      </c>
    </row>
    <row r="66" spans="1:5" x14ac:dyDescent="0.25">
      <c r="A66" s="63" t="s">
        <v>20</v>
      </c>
      <c r="B66" s="2">
        <v>2</v>
      </c>
      <c r="C66" s="2" t="s">
        <v>53</v>
      </c>
      <c r="D66" s="2">
        <v>0</v>
      </c>
      <c r="E66" s="62" t="s">
        <v>28</v>
      </c>
    </row>
    <row r="67" spans="1:5" x14ac:dyDescent="0.25">
      <c r="A67" s="63" t="s">
        <v>17</v>
      </c>
      <c r="B67" s="2">
        <v>3</v>
      </c>
      <c r="C67" s="2" t="s">
        <v>53</v>
      </c>
      <c r="D67" s="2">
        <v>0</v>
      </c>
      <c r="E67" s="62" t="s">
        <v>26</v>
      </c>
    </row>
    <row r="68" spans="1:5" x14ac:dyDescent="0.25">
      <c r="A68" s="63" t="s">
        <v>23</v>
      </c>
      <c r="B68" s="2">
        <v>0</v>
      </c>
      <c r="C68" s="2" t="s">
        <v>53</v>
      </c>
      <c r="D68" s="2">
        <v>2</v>
      </c>
      <c r="E68" s="62" t="s">
        <v>15</v>
      </c>
    </row>
    <row r="69" spans="1:5" x14ac:dyDescent="0.25">
      <c r="A69" s="63" t="s">
        <v>27</v>
      </c>
      <c r="B69" s="2">
        <v>2</v>
      </c>
      <c r="C69" s="2" t="s">
        <v>53</v>
      </c>
      <c r="D69" s="2">
        <v>1</v>
      </c>
      <c r="E69" s="62" t="s">
        <v>30</v>
      </c>
    </row>
    <row r="71" spans="1:5" x14ac:dyDescent="0.25">
      <c r="A71" s="63" t="s">
        <v>150</v>
      </c>
    </row>
    <row r="72" spans="1:5" x14ac:dyDescent="0.25">
      <c r="A72" s="63" t="s">
        <v>19</v>
      </c>
      <c r="B72" s="2">
        <v>2</v>
      </c>
      <c r="C72" s="2" t="s">
        <v>53</v>
      </c>
      <c r="D72" s="2">
        <v>0</v>
      </c>
      <c r="E72" s="62" t="s">
        <v>166</v>
      </c>
    </row>
    <row r="73" spans="1:5" x14ac:dyDescent="0.25">
      <c r="A73" s="63" t="s">
        <v>5</v>
      </c>
      <c r="B73" s="2">
        <v>2</v>
      </c>
      <c r="C73" s="2" t="s">
        <v>53</v>
      </c>
      <c r="D73" s="2">
        <v>1</v>
      </c>
      <c r="E73" s="62" t="s">
        <v>6</v>
      </c>
    </row>
    <row r="74" spans="1:5" x14ac:dyDescent="0.25">
      <c r="A74" s="63" t="s">
        <v>22</v>
      </c>
      <c r="B74" s="2">
        <v>2</v>
      </c>
      <c r="C74" s="2" t="s">
        <v>53</v>
      </c>
      <c r="D74" s="2">
        <v>2</v>
      </c>
      <c r="E74" s="62" t="s">
        <v>12</v>
      </c>
    </row>
    <row r="75" spans="1:5" x14ac:dyDescent="0.25">
      <c r="A75" s="63" t="s">
        <v>8</v>
      </c>
      <c r="B75" s="2">
        <v>2</v>
      </c>
      <c r="C75" s="2" t="s">
        <v>53</v>
      </c>
      <c r="D75" s="2">
        <v>1</v>
      </c>
      <c r="E75" s="62" t="s">
        <v>167</v>
      </c>
    </row>
    <row r="76" spans="1:5" x14ac:dyDescent="0.25">
      <c r="A76" s="63" t="s">
        <v>20</v>
      </c>
      <c r="B76" s="2">
        <v>2</v>
      </c>
      <c r="C76" s="2" t="s">
        <v>53</v>
      </c>
      <c r="D76" s="2">
        <v>0</v>
      </c>
      <c r="E76" s="62" t="s">
        <v>28</v>
      </c>
    </row>
    <row r="77" spans="1:5" x14ac:dyDescent="0.25">
      <c r="A77" s="63" t="s">
        <v>17</v>
      </c>
      <c r="B77" s="2">
        <v>2</v>
      </c>
      <c r="C77" s="2" t="s">
        <v>53</v>
      </c>
      <c r="D77" s="2">
        <v>0</v>
      </c>
      <c r="E77" s="62" t="s">
        <v>26</v>
      </c>
    </row>
    <row r="78" spans="1:5" x14ac:dyDescent="0.25">
      <c r="A78" s="63" t="s">
        <v>23</v>
      </c>
      <c r="B78" s="2">
        <v>1</v>
      </c>
      <c r="C78" s="2" t="s">
        <v>53</v>
      </c>
      <c r="D78" s="2">
        <v>0</v>
      </c>
      <c r="E78" s="62" t="s">
        <v>15</v>
      </c>
    </row>
    <row r="79" spans="1:5" x14ac:dyDescent="0.25">
      <c r="A79" s="63" t="s">
        <v>27</v>
      </c>
      <c r="B79" s="2">
        <v>0</v>
      </c>
      <c r="C79" s="2" t="s">
        <v>53</v>
      </c>
      <c r="D79" s="2">
        <v>0</v>
      </c>
      <c r="E79" s="62" t="s">
        <v>30</v>
      </c>
    </row>
    <row r="81" spans="1:5" x14ac:dyDescent="0.25">
      <c r="A81" s="63" t="s">
        <v>151</v>
      </c>
    </row>
    <row r="82" spans="1:5" x14ac:dyDescent="0.25">
      <c r="A82" s="63" t="s">
        <v>19</v>
      </c>
      <c r="B82" s="2">
        <v>1</v>
      </c>
      <c r="C82" s="2" t="s">
        <v>53</v>
      </c>
      <c r="D82" s="2">
        <v>0</v>
      </c>
      <c r="E82" s="62" t="s">
        <v>166</v>
      </c>
    </row>
    <row r="83" spans="1:5" x14ac:dyDescent="0.25">
      <c r="A83" s="63" t="s">
        <v>5</v>
      </c>
      <c r="B83" s="2">
        <v>2</v>
      </c>
      <c r="C83" s="2" t="s">
        <v>53</v>
      </c>
      <c r="D83" s="2">
        <v>0</v>
      </c>
      <c r="E83" s="62" t="s">
        <v>6</v>
      </c>
    </row>
    <row r="84" spans="1:5" x14ac:dyDescent="0.25">
      <c r="A84" s="63" t="s">
        <v>22</v>
      </c>
      <c r="B84" s="2">
        <v>1</v>
      </c>
      <c r="C84" s="2" t="s">
        <v>53</v>
      </c>
      <c r="D84" s="2">
        <v>1</v>
      </c>
      <c r="E84" s="62" t="s">
        <v>12</v>
      </c>
    </row>
    <row r="85" spans="1:5" x14ac:dyDescent="0.25">
      <c r="A85" s="63" t="s">
        <v>8</v>
      </c>
      <c r="B85" s="2">
        <v>2</v>
      </c>
      <c r="C85" s="2" t="s">
        <v>53</v>
      </c>
      <c r="D85" s="2">
        <v>0</v>
      </c>
      <c r="E85" s="62" t="s">
        <v>167</v>
      </c>
    </row>
    <row r="86" spans="1:5" x14ac:dyDescent="0.25">
      <c r="A86" s="63" t="s">
        <v>20</v>
      </c>
      <c r="B86" s="2">
        <v>1</v>
      </c>
      <c r="C86" s="2" t="s">
        <v>53</v>
      </c>
      <c r="D86" s="2">
        <v>0</v>
      </c>
      <c r="E86" s="62" t="s">
        <v>28</v>
      </c>
    </row>
    <row r="87" spans="1:5" x14ac:dyDescent="0.25">
      <c r="A87" s="63" t="s">
        <v>17</v>
      </c>
      <c r="B87" s="2">
        <v>3</v>
      </c>
      <c r="C87" s="2" t="s">
        <v>53</v>
      </c>
      <c r="D87" s="2">
        <v>0</v>
      </c>
      <c r="E87" s="62" t="s">
        <v>26</v>
      </c>
    </row>
    <row r="88" spans="1:5" x14ac:dyDescent="0.25">
      <c r="A88" s="63" t="s">
        <v>23</v>
      </c>
      <c r="B88" s="2">
        <v>0</v>
      </c>
      <c r="C88" s="2" t="s">
        <v>53</v>
      </c>
      <c r="D88" s="2">
        <v>1</v>
      </c>
      <c r="E88" s="62" t="s">
        <v>15</v>
      </c>
    </row>
    <row r="89" spans="1:5" x14ac:dyDescent="0.25">
      <c r="A89" s="63" t="s">
        <v>27</v>
      </c>
      <c r="B89" s="2">
        <v>1</v>
      </c>
      <c r="C89" s="2" t="s">
        <v>53</v>
      </c>
      <c r="D89" s="2">
        <v>1</v>
      </c>
      <c r="E89" s="62" t="s">
        <v>30</v>
      </c>
    </row>
    <row r="91" spans="1:5" x14ac:dyDescent="0.25">
      <c r="A91" s="63" t="s">
        <v>152</v>
      </c>
    </row>
    <row r="92" spans="1:5" x14ac:dyDescent="0.25">
      <c r="A92" s="63" t="s">
        <v>19</v>
      </c>
      <c r="B92" s="2">
        <v>1</v>
      </c>
      <c r="C92" s="2" t="s">
        <v>53</v>
      </c>
      <c r="D92" s="2">
        <v>2</v>
      </c>
      <c r="E92" s="62" t="s">
        <v>166</v>
      </c>
    </row>
    <row r="93" spans="1:5" x14ac:dyDescent="0.25">
      <c r="A93" s="63" t="s">
        <v>5</v>
      </c>
      <c r="B93" s="2">
        <v>1</v>
      </c>
      <c r="C93" s="2" t="s">
        <v>53</v>
      </c>
      <c r="D93" s="2">
        <v>0</v>
      </c>
      <c r="E93" s="62" t="s">
        <v>6</v>
      </c>
    </row>
    <row r="94" spans="1:5" x14ac:dyDescent="0.25">
      <c r="A94" s="63" t="s">
        <v>22</v>
      </c>
      <c r="B94" s="2">
        <v>2</v>
      </c>
      <c r="C94" s="2" t="s">
        <v>53</v>
      </c>
      <c r="D94" s="2">
        <v>1</v>
      </c>
      <c r="E94" s="62" t="s">
        <v>12</v>
      </c>
    </row>
    <row r="95" spans="1:5" x14ac:dyDescent="0.25">
      <c r="A95" s="63" t="s">
        <v>8</v>
      </c>
      <c r="B95" s="2">
        <v>2</v>
      </c>
      <c r="C95" s="2" t="s">
        <v>53</v>
      </c>
      <c r="D95" s="2">
        <v>1</v>
      </c>
      <c r="E95" s="62" t="s">
        <v>167</v>
      </c>
    </row>
    <row r="96" spans="1:5" x14ac:dyDescent="0.25">
      <c r="A96" s="63" t="s">
        <v>20</v>
      </c>
      <c r="B96" s="2">
        <v>2</v>
      </c>
      <c r="C96" s="2" t="s">
        <v>53</v>
      </c>
      <c r="D96" s="2">
        <v>0</v>
      </c>
      <c r="E96" s="62" t="s">
        <v>28</v>
      </c>
    </row>
    <row r="97" spans="1:5" x14ac:dyDescent="0.25">
      <c r="A97" s="63" t="s">
        <v>17</v>
      </c>
      <c r="B97" s="2">
        <v>3</v>
      </c>
      <c r="C97" s="2" t="s">
        <v>53</v>
      </c>
      <c r="D97" s="2">
        <v>1</v>
      </c>
      <c r="E97" s="62" t="s">
        <v>26</v>
      </c>
    </row>
    <row r="98" spans="1:5" x14ac:dyDescent="0.25">
      <c r="A98" s="63" t="s">
        <v>23</v>
      </c>
      <c r="B98" s="2">
        <v>0</v>
      </c>
      <c r="C98" s="2" t="s">
        <v>53</v>
      </c>
      <c r="D98" s="2">
        <v>1</v>
      </c>
      <c r="E98" s="62" t="s">
        <v>15</v>
      </c>
    </row>
    <row r="99" spans="1:5" x14ac:dyDescent="0.25">
      <c r="A99" s="63" t="s">
        <v>27</v>
      </c>
      <c r="B99" s="2">
        <v>2</v>
      </c>
      <c r="C99" s="2" t="s">
        <v>53</v>
      </c>
      <c r="D99" s="2">
        <v>2</v>
      </c>
      <c r="E99" s="62" t="s">
        <v>30</v>
      </c>
    </row>
    <row r="101" spans="1:5" x14ac:dyDescent="0.25">
      <c r="A101" s="63" t="s">
        <v>153</v>
      </c>
    </row>
    <row r="102" spans="1:5" x14ac:dyDescent="0.25">
      <c r="A102" s="63" t="s">
        <v>19</v>
      </c>
      <c r="B102" s="2">
        <v>2</v>
      </c>
      <c r="C102" s="2" t="s">
        <v>53</v>
      </c>
      <c r="D102" s="2">
        <v>1</v>
      </c>
      <c r="E102" s="62" t="s">
        <v>166</v>
      </c>
    </row>
    <row r="103" spans="1:5" x14ac:dyDescent="0.25">
      <c r="A103" s="63" t="s">
        <v>5</v>
      </c>
      <c r="B103" s="2">
        <v>2</v>
      </c>
      <c r="C103" s="2" t="s">
        <v>53</v>
      </c>
      <c r="D103" s="2">
        <v>0</v>
      </c>
      <c r="E103" s="62" t="s">
        <v>6</v>
      </c>
    </row>
    <row r="104" spans="1:5" x14ac:dyDescent="0.25">
      <c r="A104" s="63" t="s">
        <v>22</v>
      </c>
      <c r="B104" s="2">
        <v>1</v>
      </c>
      <c r="C104" s="2" t="s">
        <v>53</v>
      </c>
      <c r="D104" s="2">
        <v>2</v>
      </c>
      <c r="E104" s="62" t="s">
        <v>12</v>
      </c>
    </row>
    <row r="105" spans="1:5" x14ac:dyDescent="0.25">
      <c r="A105" s="63" t="s">
        <v>8</v>
      </c>
      <c r="B105" s="2">
        <v>2</v>
      </c>
      <c r="C105" s="2" t="s">
        <v>53</v>
      </c>
      <c r="D105" s="2">
        <v>0</v>
      </c>
      <c r="E105" s="62" t="s">
        <v>167</v>
      </c>
    </row>
    <row r="106" spans="1:5" x14ac:dyDescent="0.25">
      <c r="A106" s="63" t="s">
        <v>20</v>
      </c>
      <c r="B106" s="2">
        <v>1</v>
      </c>
      <c r="C106" s="2" t="s">
        <v>53</v>
      </c>
      <c r="D106" s="2">
        <v>0</v>
      </c>
      <c r="E106" s="62" t="s">
        <v>28</v>
      </c>
    </row>
    <row r="107" spans="1:5" x14ac:dyDescent="0.25">
      <c r="A107" s="63" t="s">
        <v>17</v>
      </c>
      <c r="B107" s="2">
        <v>1</v>
      </c>
      <c r="C107" s="2" t="s">
        <v>53</v>
      </c>
      <c r="D107" s="2">
        <v>0</v>
      </c>
      <c r="E107" s="62" t="s">
        <v>26</v>
      </c>
    </row>
    <row r="108" spans="1:5" x14ac:dyDescent="0.25">
      <c r="A108" s="63" t="s">
        <v>23</v>
      </c>
      <c r="B108" s="2">
        <v>1</v>
      </c>
      <c r="C108" s="2" t="s">
        <v>53</v>
      </c>
      <c r="D108" s="2">
        <v>2</v>
      </c>
      <c r="E108" s="62" t="s">
        <v>15</v>
      </c>
    </row>
    <row r="109" spans="1:5" x14ac:dyDescent="0.25">
      <c r="A109" s="63" t="s">
        <v>27</v>
      </c>
      <c r="B109" s="2">
        <v>1</v>
      </c>
      <c r="C109" s="2" t="s">
        <v>53</v>
      </c>
      <c r="D109" s="2">
        <v>0</v>
      </c>
      <c r="E109" s="62" t="s">
        <v>30</v>
      </c>
    </row>
    <row r="111" spans="1:5" x14ac:dyDescent="0.25">
      <c r="A111" s="63" t="s">
        <v>154</v>
      </c>
    </row>
    <row r="112" spans="1:5" x14ac:dyDescent="0.25">
      <c r="A112" s="63" t="s">
        <v>19</v>
      </c>
      <c r="B112" s="2">
        <v>1</v>
      </c>
      <c r="C112" s="2" t="s">
        <v>53</v>
      </c>
      <c r="D112" s="2">
        <v>2</v>
      </c>
      <c r="E112" s="62" t="s">
        <v>166</v>
      </c>
    </row>
    <row r="113" spans="1:5" x14ac:dyDescent="0.25">
      <c r="A113" s="63" t="s">
        <v>5</v>
      </c>
      <c r="B113" s="2">
        <v>1</v>
      </c>
      <c r="C113" s="2" t="s">
        <v>53</v>
      </c>
      <c r="D113" s="2">
        <v>1</v>
      </c>
      <c r="E113" s="62" t="s">
        <v>6</v>
      </c>
    </row>
    <row r="114" spans="1:5" x14ac:dyDescent="0.25">
      <c r="A114" s="63" t="s">
        <v>22</v>
      </c>
      <c r="B114" s="2">
        <v>0</v>
      </c>
      <c r="C114" s="2" t="s">
        <v>53</v>
      </c>
      <c r="D114" s="2">
        <v>2</v>
      </c>
      <c r="E114" s="62" t="s">
        <v>12</v>
      </c>
    </row>
    <row r="115" spans="1:5" x14ac:dyDescent="0.25">
      <c r="A115" s="63" t="s">
        <v>8</v>
      </c>
      <c r="B115" s="2">
        <v>2</v>
      </c>
      <c r="C115" s="2" t="s">
        <v>53</v>
      </c>
      <c r="D115" s="2">
        <v>0</v>
      </c>
      <c r="E115" s="62" t="s">
        <v>167</v>
      </c>
    </row>
    <row r="116" spans="1:5" x14ac:dyDescent="0.25">
      <c r="A116" s="63" t="s">
        <v>20</v>
      </c>
      <c r="B116" s="2">
        <v>3</v>
      </c>
      <c r="C116" s="2" t="s">
        <v>53</v>
      </c>
      <c r="D116" s="2">
        <v>1</v>
      </c>
      <c r="E116" s="62" t="s">
        <v>28</v>
      </c>
    </row>
    <row r="117" spans="1:5" x14ac:dyDescent="0.25">
      <c r="A117" s="63" t="s">
        <v>17</v>
      </c>
      <c r="B117" s="2">
        <v>2</v>
      </c>
      <c r="C117" s="2" t="s">
        <v>53</v>
      </c>
      <c r="D117" s="2">
        <v>0</v>
      </c>
      <c r="E117" s="62" t="s">
        <v>26</v>
      </c>
    </row>
    <row r="118" spans="1:5" x14ac:dyDescent="0.25">
      <c r="A118" s="63" t="s">
        <v>23</v>
      </c>
      <c r="B118" s="2">
        <v>1</v>
      </c>
      <c r="C118" s="2" t="s">
        <v>53</v>
      </c>
      <c r="D118" s="2">
        <v>2</v>
      </c>
      <c r="E118" s="62" t="s">
        <v>15</v>
      </c>
    </row>
    <row r="119" spans="1:5" x14ac:dyDescent="0.25">
      <c r="A119" s="63" t="s">
        <v>27</v>
      </c>
      <c r="B119" s="2">
        <v>0</v>
      </c>
      <c r="C119" s="2" t="s">
        <v>53</v>
      </c>
      <c r="D119" s="2">
        <v>1</v>
      </c>
      <c r="E119" s="62" t="s">
        <v>30</v>
      </c>
    </row>
    <row r="121" spans="1:5" x14ac:dyDescent="0.25">
      <c r="A121" s="63" t="s">
        <v>155</v>
      </c>
    </row>
    <row r="122" spans="1:5" x14ac:dyDescent="0.25">
      <c r="A122" s="63" t="s">
        <v>19</v>
      </c>
      <c r="B122" s="2">
        <v>1</v>
      </c>
      <c r="C122" s="2" t="s">
        <v>53</v>
      </c>
      <c r="D122" s="2">
        <v>1</v>
      </c>
      <c r="E122" s="62" t="s">
        <v>166</v>
      </c>
    </row>
    <row r="123" spans="1:5" x14ac:dyDescent="0.25">
      <c r="A123" s="63" t="s">
        <v>5</v>
      </c>
      <c r="B123" s="2">
        <v>2</v>
      </c>
      <c r="C123" s="2" t="s">
        <v>53</v>
      </c>
      <c r="D123" s="2">
        <v>1</v>
      </c>
      <c r="E123" s="62" t="s">
        <v>6</v>
      </c>
    </row>
    <row r="124" spans="1:5" x14ac:dyDescent="0.25">
      <c r="A124" s="63" t="s">
        <v>22</v>
      </c>
      <c r="B124" s="2">
        <v>2</v>
      </c>
      <c r="C124" s="2" t="s">
        <v>53</v>
      </c>
      <c r="D124" s="2">
        <v>0</v>
      </c>
      <c r="E124" s="62" t="s">
        <v>12</v>
      </c>
    </row>
    <row r="125" spans="1:5" x14ac:dyDescent="0.25">
      <c r="A125" s="63" t="s">
        <v>8</v>
      </c>
      <c r="B125" s="2">
        <v>2</v>
      </c>
      <c r="C125" s="2" t="s">
        <v>53</v>
      </c>
      <c r="D125" s="2">
        <v>0</v>
      </c>
      <c r="E125" s="62" t="s">
        <v>167</v>
      </c>
    </row>
    <row r="126" spans="1:5" x14ac:dyDescent="0.25">
      <c r="A126" s="63" t="s">
        <v>20</v>
      </c>
      <c r="B126" s="2">
        <v>4</v>
      </c>
      <c r="C126" s="2" t="s">
        <v>53</v>
      </c>
      <c r="D126" s="2">
        <v>0</v>
      </c>
      <c r="E126" s="62" t="s">
        <v>28</v>
      </c>
    </row>
    <row r="127" spans="1:5" x14ac:dyDescent="0.25">
      <c r="A127" s="63" t="s">
        <v>17</v>
      </c>
      <c r="B127" s="2">
        <v>2</v>
      </c>
      <c r="C127" s="2" t="s">
        <v>53</v>
      </c>
      <c r="D127" s="2">
        <v>1</v>
      </c>
      <c r="E127" s="62" t="s">
        <v>26</v>
      </c>
    </row>
    <row r="128" spans="1:5" x14ac:dyDescent="0.25">
      <c r="A128" s="63" t="s">
        <v>23</v>
      </c>
      <c r="B128" s="2">
        <v>1</v>
      </c>
      <c r="C128" s="2" t="s">
        <v>53</v>
      </c>
      <c r="D128" s="2">
        <v>3</v>
      </c>
      <c r="E128" s="62" t="s">
        <v>15</v>
      </c>
    </row>
    <row r="129" spans="1:6" x14ac:dyDescent="0.25">
      <c r="A129" s="63" t="s">
        <v>27</v>
      </c>
      <c r="B129" s="2">
        <v>1</v>
      </c>
      <c r="C129" s="2" t="s">
        <v>53</v>
      </c>
      <c r="D129" s="2">
        <v>0</v>
      </c>
      <c r="E129" s="62" t="s">
        <v>30</v>
      </c>
    </row>
    <row r="131" spans="1:6" x14ac:dyDescent="0.25">
      <c r="A131" s="63" t="s">
        <v>156</v>
      </c>
    </row>
    <row r="132" spans="1:6" x14ac:dyDescent="0.25">
      <c r="A132" s="63" t="s">
        <v>19</v>
      </c>
      <c r="B132" s="2">
        <v>1</v>
      </c>
      <c r="C132" s="2" t="s">
        <v>53</v>
      </c>
      <c r="D132" s="2">
        <v>0</v>
      </c>
      <c r="E132" s="62" t="s">
        <v>168</v>
      </c>
      <c r="F132" t="s">
        <v>169</v>
      </c>
    </row>
    <row r="133" spans="1:6" x14ac:dyDescent="0.25">
      <c r="A133" s="63" t="s">
        <v>5</v>
      </c>
      <c r="B133" s="2">
        <v>2</v>
      </c>
      <c r="C133" s="2" t="s">
        <v>53</v>
      </c>
      <c r="D133" s="2">
        <v>0</v>
      </c>
      <c r="E133" s="62" t="s">
        <v>6</v>
      </c>
    </row>
    <row r="134" spans="1:6" x14ac:dyDescent="0.25">
      <c r="A134" s="63" t="s">
        <v>22</v>
      </c>
      <c r="B134" s="2">
        <v>2</v>
      </c>
      <c r="C134" s="2" t="s">
        <v>53</v>
      </c>
      <c r="D134" s="2">
        <v>1</v>
      </c>
      <c r="E134" s="62" t="s">
        <v>12</v>
      </c>
    </row>
    <row r="135" spans="1:6" x14ac:dyDescent="0.25">
      <c r="A135" s="63" t="s">
        <v>8</v>
      </c>
      <c r="B135" s="2">
        <v>2</v>
      </c>
      <c r="C135" s="2" t="s">
        <v>53</v>
      </c>
      <c r="D135" s="2">
        <v>0</v>
      </c>
      <c r="E135" s="62" t="s">
        <v>167</v>
      </c>
    </row>
    <row r="136" spans="1:6" x14ac:dyDescent="0.25">
      <c r="A136" s="63" t="s">
        <v>20</v>
      </c>
      <c r="B136" s="2">
        <v>1</v>
      </c>
      <c r="C136" s="2" t="s">
        <v>53</v>
      </c>
      <c r="D136" s="2">
        <v>0</v>
      </c>
      <c r="E136" s="62" t="s">
        <v>28</v>
      </c>
    </row>
    <row r="137" spans="1:6" x14ac:dyDescent="0.25">
      <c r="A137" s="63" t="s">
        <v>17</v>
      </c>
      <c r="B137" s="2">
        <v>3</v>
      </c>
      <c r="C137" s="2" t="s">
        <v>53</v>
      </c>
      <c r="D137" s="2">
        <v>0</v>
      </c>
      <c r="E137" s="62" t="s">
        <v>26</v>
      </c>
    </row>
    <row r="138" spans="1:6" x14ac:dyDescent="0.25">
      <c r="A138" s="63" t="s">
        <v>23</v>
      </c>
      <c r="B138" s="2">
        <v>1</v>
      </c>
      <c r="C138" s="2" t="s">
        <v>53</v>
      </c>
      <c r="D138" s="2">
        <v>2</v>
      </c>
      <c r="E138" s="62" t="s">
        <v>15</v>
      </c>
    </row>
    <row r="139" spans="1:6" x14ac:dyDescent="0.25">
      <c r="A139" s="63" t="s">
        <v>27</v>
      </c>
      <c r="B139" s="2">
        <v>1</v>
      </c>
      <c r="C139" s="2" t="s">
        <v>53</v>
      </c>
      <c r="D139" s="2">
        <v>0</v>
      </c>
      <c r="E139" s="62" t="s">
        <v>30</v>
      </c>
    </row>
    <row r="141" spans="1:6" x14ac:dyDescent="0.25">
      <c r="A141" s="63" t="s">
        <v>157</v>
      </c>
    </row>
    <row r="142" spans="1:6" x14ac:dyDescent="0.25">
      <c r="A142" s="63" t="s">
        <v>19</v>
      </c>
      <c r="B142" s="2">
        <v>1</v>
      </c>
      <c r="C142" s="2" t="s">
        <v>53</v>
      </c>
      <c r="D142" s="2">
        <v>0</v>
      </c>
      <c r="E142" s="62" t="s">
        <v>166</v>
      </c>
    </row>
    <row r="143" spans="1:6" x14ac:dyDescent="0.25">
      <c r="A143" s="63" t="s">
        <v>5</v>
      </c>
      <c r="B143" s="2">
        <v>0</v>
      </c>
      <c r="C143" s="2" t="s">
        <v>53</v>
      </c>
      <c r="D143" s="2">
        <v>1</v>
      </c>
      <c r="E143" s="62" t="s">
        <v>6</v>
      </c>
    </row>
    <row r="144" spans="1:6" x14ac:dyDescent="0.25">
      <c r="A144" s="63" t="s">
        <v>22</v>
      </c>
      <c r="B144" s="2">
        <v>1</v>
      </c>
      <c r="C144" s="2" t="s">
        <v>53</v>
      </c>
      <c r="D144" s="2">
        <v>0</v>
      </c>
      <c r="E144" s="62" t="s">
        <v>12</v>
      </c>
    </row>
    <row r="145" spans="1:5" x14ac:dyDescent="0.25">
      <c r="A145" s="63" t="s">
        <v>8</v>
      </c>
      <c r="B145" s="2">
        <v>0</v>
      </c>
      <c r="C145" s="2" t="s">
        <v>53</v>
      </c>
      <c r="D145" s="2">
        <v>1</v>
      </c>
      <c r="E145" s="62" t="s">
        <v>167</v>
      </c>
    </row>
    <row r="146" spans="1:5" x14ac:dyDescent="0.25">
      <c r="A146" s="63" t="s">
        <v>20</v>
      </c>
      <c r="B146" s="2">
        <v>1</v>
      </c>
      <c r="C146" s="2" t="s">
        <v>53</v>
      </c>
      <c r="D146" s="2">
        <v>0</v>
      </c>
      <c r="E146" s="62" t="s">
        <v>28</v>
      </c>
    </row>
    <row r="147" spans="1:5" x14ac:dyDescent="0.25">
      <c r="A147" s="63" t="s">
        <v>17</v>
      </c>
      <c r="B147" s="2">
        <v>1</v>
      </c>
      <c r="C147" s="2" t="s">
        <v>53</v>
      </c>
      <c r="D147" s="2">
        <v>0</v>
      </c>
      <c r="E147" s="62" t="s">
        <v>26</v>
      </c>
    </row>
    <row r="148" spans="1:5" x14ac:dyDescent="0.25">
      <c r="A148" s="63" t="s">
        <v>23</v>
      </c>
      <c r="B148" s="2">
        <v>0</v>
      </c>
      <c r="C148" s="2" t="s">
        <v>53</v>
      </c>
      <c r="D148" s="2">
        <v>1</v>
      </c>
      <c r="E148" s="62" t="s">
        <v>15</v>
      </c>
    </row>
    <row r="149" spans="1:5" x14ac:dyDescent="0.25">
      <c r="A149" s="63" t="s">
        <v>27</v>
      </c>
      <c r="B149" s="2">
        <v>1</v>
      </c>
      <c r="C149" s="2" t="s">
        <v>53</v>
      </c>
      <c r="D149" s="2">
        <v>0</v>
      </c>
      <c r="E149" s="62" t="s">
        <v>30</v>
      </c>
    </row>
    <row r="151" spans="1:5" x14ac:dyDescent="0.25">
      <c r="A151" s="63" t="s">
        <v>158</v>
      </c>
    </row>
    <row r="152" spans="1:5" x14ac:dyDescent="0.25">
      <c r="A152" s="63" t="s">
        <v>19</v>
      </c>
      <c r="B152" s="2">
        <v>1</v>
      </c>
      <c r="C152" s="2" t="s">
        <v>53</v>
      </c>
      <c r="D152" s="2">
        <v>2</v>
      </c>
      <c r="E152" s="62" t="s">
        <v>166</v>
      </c>
    </row>
    <row r="153" spans="1:5" x14ac:dyDescent="0.25">
      <c r="A153" s="63" t="s">
        <v>5</v>
      </c>
      <c r="B153" s="2">
        <v>2</v>
      </c>
      <c r="C153" s="2" t="s">
        <v>53</v>
      </c>
      <c r="D153" s="2">
        <v>1</v>
      </c>
      <c r="E153" s="62" t="s">
        <v>6</v>
      </c>
    </row>
    <row r="154" spans="1:5" x14ac:dyDescent="0.25">
      <c r="A154" s="63" t="s">
        <v>22</v>
      </c>
      <c r="B154" s="2">
        <v>2</v>
      </c>
      <c r="C154" s="2" t="s">
        <v>53</v>
      </c>
      <c r="D154" s="2">
        <v>1</v>
      </c>
      <c r="E154" s="62" t="s">
        <v>12</v>
      </c>
    </row>
    <row r="155" spans="1:5" x14ac:dyDescent="0.25">
      <c r="A155" s="63" t="s">
        <v>8</v>
      </c>
      <c r="B155" s="2">
        <v>2</v>
      </c>
      <c r="C155" s="2" t="s">
        <v>53</v>
      </c>
      <c r="D155" s="2">
        <v>1</v>
      </c>
      <c r="E155" s="62" t="s">
        <v>167</v>
      </c>
    </row>
    <row r="156" spans="1:5" x14ac:dyDescent="0.25">
      <c r="A156" s="63" t="s">
        <v>20</v>
      </c>
      <c r="B156" s="2">
        <v>1</v>
      </c>
      <c r="C156" s="2" t="s">
        <v>53</v>
      </c>
      <c r="D156" s="2">
        <v>2</v>
      </c>
      <c r="E156" s="62" t="s">
        <v>28</v>
      </c>
    </row>
    <row r="157" spans="1:5" x14ac:dyDescent="0.25">
      <c r="A157" s="63" t="s">
        <v>17</v>
      </c>
      <c r="B157" s="2">
        <v>2</v>
      </c>
      <c r="C157" s="2" t="s">
        <v>53</v>
      </c>
      <c r="D157" s="2">
        <v>1</v>
      </c>
      <c r="E157" s="62" t="s">
        <v>26</v>
      </c>
    </row>
    <row r="158" spans="1:5" x14ac:dyDescent="0.25">
      <c r="A158" s="63" t="s">
        <v>23</v>
      </c>
      <c r="B158" s="2">
        <v>1</v>
      </c>
      <c r="C158" s="2" t="s">
        <v>53</v>
      </c>
      <c r="D158" s="2">
        <v>2</v>
      </c>
      <c r="E158" s="62" t="s">
        <v>15</v>
      </c>
    </row>
    <row r="159" spans="1:5" x14ac:dyDescent="0.25">
      <c r="A159" s="63" t="s">
        <v>27</v>
      </c>
      <c r="B159" s="2">
        <v>2</v>
      </c>
      <c r="C159" s="2" t="s">
        <v>53</v>
      </c>
      <c r="D159" s="2">
        <v>1</v>
      </c>
      <c r="E159" s="62" t="s">
        <v>30</v>
      </c>
    </row>
    <row r="161" spans="1:5" x14ac:dyDescent="0.25">
      <c r="A161" s="63" t="s">
        <v>159</v>
      </c>
    </row>
    <row r="162" spans="1:5" x14ac:dyDescent="0.25">
      <c r="A162" s="63" t="s">
        <v>19</v>
      </c>
      <c r="B162" s="2">
        <v>2</v>
      </c>
      <c r="C162" s="2" t="s">
        <v>53</v>
      </c>
      <c r="D162" s="2">
        <v>1</v>
      </c>
      <c r="E162" s="62" t="s">
        <v>166</v>
      </c>
    </row>
    <row r="163" spans="1:5" x14ac:dyDescent="0.25">
      <c r="A163" s="63" t="s">
        <v>5</v>
      </c>
      <c r="B163" s="2">
        <v>1</v>
      </c>
      <c r="C163" s="2" t="s">
        <v>53</v>
      </c>
      <c r="D163" s="2">
        <v>0</v>
      </c>
      <c r="E163" s="62" t="s">
        <v>6</v>
      </c>
    </row>
    <row r="164" spans="1:5" x14ac:dyDescent="0.25">
      <c r="A164" s="63" t="s">
        <v>22</v>
      </c>
      <c r="B164" s="2">
        <v>2</v>
      </c>
      <c r="C164" s="2" t="s">
        <v>53</v>
      </c>
      <c r="D164" s="2">
        <v>1</v>
      </c>
      <c r="E164" s="62" t="s">
        <v>12</v>
      </c>
    </row>
    <row r="165" spans="1:5" x14ac:dyDescent="0.25">
      <c r="A165" s="63" t="s">
        <v>8</v>
      </c>
      <c r="B165" s="2">
        <v>2</v>
      </c>
      <c r="C165" s="2" t="s">
        <v>53</v>
      </c>
      <c r="D165" s="2">
        <v>0</v>
      </c>
      <c r="E165" s="62" t="s">
        <v>167</v>
      </c>
    </row>
    <row r="166" spans="1:5" x14ac:dyDescent="0.25">
      <c r="A166" s="63" t="s">
        <v>20</v>
      </c>
      <c r="B166" s="2">
        <v>1</v>
      </c>
      <c r="C166" s="2" t="s">
        <v>53</v>
      </c>
      <c r="D166" s="2">
        <v>0</v>
      </c>
      <c r="E166" s="62" t="s">
        <v>28</v>
      </c>
    </row>
    <row r="167" spans="1:5" x14ac:dyDescent="0.25">
      <c r="A167" s="63" t="s">
        <v>17</v>
      </c>
      <c r="B167" s="2">
        <v>2</v>
      </c>
      <c r="C167" s="2" t="s">
        <v>53</v>
      </c>
      <c r="D167" s="2">
        <v>0</v>
      </c>
      <c r="E167" s="62" t="s">
        <v>26</v>
      </c>
    </row>
    <row r="168" spans="1:5" x14ac:dyDescent="0.25">
      <c r="A168" s="63" t="s">
        <v>23</v>
      </c>
      <c r="B168" s="2">
        <v>0</v>
      </c>
      <c r="C168" s="2" t="s">
        <v>53</v>
      </c>
      <c r="D168" s="2">
        <v>1</v>
      </c>
      <c r="E168" s="62" t="s">
        <v>15</v>
      </c>
    </row>
    <row r="169" spans="1:5" x14ac:dyDescent="0.25">
      <c r="A169" s="63" t="s">
        <v>27</v>
      </c>
      <c r="B169" s="2">
        <v>2</v>
      </c>
      <c r="C169" s="2" t="s">
        <v>53</v>
      </c>
      <c r="D169" s="2">
        <v>1</v>
      </c>
      <c r="E169" s="62" t="s">
        <v>30</v>
      </c>
    </row>
    <row r="171" spans="1:5" x14ac:dyDescent="0.25">
      <c r="A171" s="63" t="s">
        <v>160</v>
      </c>
    </row>
    <row r="172" spans="1:5" x14ac:dyDescent="0.25">
      <c r="A172" s="63" t="s">
        <v>19</v>
      </c>
      <c r="B172" s="2">
        <v>1</v>
      </c>
      <c r="C172" s="2" t="s">
        <v>53</v>
      </c>
      <c r="D172" s="2">
        <v>2</v>
      </c>
      <c r="E172" s="62" t="s">
        <v>166</v>
      </c>
    </row>
    <row r="173" spans="1:5" x14ac:dyDescent="0.25">
      <c r="A173" s="63" t="s">
        <v>5</v>
      </c>
      <c r="B173" s="2">
        <v>1</v>
      </c>
      <c r="C173" s="2" t="s">
        <v>53</v>
      </c>
      <c r="D173" s="2">
        <v>0</v>
      </c>
      <c r="E173" s="62" t="s">
        <v>6</v>
      </c>
    </row>
    <row r="174" spans="1:5" x14ac:dyDescent="0.25">
      <c r="A174" s="63" t="s">
        <v>22</v>
      </c>
      <c r="B174" s="2">
        <v>2</v>
      </c>
      <c r="C174" s="2" t="s">
        <v>53</v>
      </c>
      <c r="D174" s="2">
        <v>1</v>
      </c>
      <c r="E174" s="62" t="s">
        <v>12</v>
      </c>
    </row>
    <row r="175" spans="1:5" x14ac:dyDescent="0.25">
      <c r="A175" s="63" t="s">
        <v>8</v>
      </c>
      <c r="B175" s="2">
        <v>1</v>
      </c>
      <c r="C175" s="2" t="s">
        <v>53</v>
      </c>
      <c r="D175" s="2">
        <v>0</v>
      </c>
      <c r="E175" s="62" t="s">
        <v>167</v>
      </c>
    </row>
    <row r="176" spans="1:5" x14ac:dyDescent="0.25">
      <c r="A176" s="63" t="s">
        <v>20</v>
      </c>
      <c r="B176" s="2">
        <v>0</v>
      </c>
      <c r="C176" s="2" t="s">
        <v>53</v>
      </c>
      <c r="D176" s="2">
        <v>1</v>
      </c>
      <c r="E176" s="62" t="s">
        <v>28</v>
      </c>
    </row>
    <row r="177" spans="1:5" x14ac:dyDescent="0.25">
      <c r="A177" s="63" t="s">
        <v>17</v>
      </c>
      <c r="B177" s="2">
        <v>2</v>
      </c>
      <c r="C177" s="2" t="s">
        <v>53</v>
      </c>
      <c r="D177" s="2">
        <v>0</v>
      </c>
      <c r="E177" s="62" t="s">
        <v>26</v>
      </c>
    </row>
    <row r="178" spans="1:5" x14ac:dyDescent="0.25">
      <c r="A178" s="63" t="s">
        <v>23</v>
      </c>
      <c r="B178" s="2">
        <v>0</v>
      </c>
      <c r="C178" s="2" t="s">
        <v>53</v>
      </c>
      <c r="D178" s="2">
        <v>2</v>
      </c>
      <c r="E178" s="62" t="s">
        <v>15</v>
      </c>
    </row>
    <row r="179" spans="1:5" x14ac:dyDescent="0.25">
      <c r="A179" s="63" t="s">
        <v>27</v>
      </c>
      <c r="B179" s="2">
        <v>1</v>
      </c>
      <c r="C179" s="2" t="s">
        <v>53</v>
      </c>
      <c r="D179" s="2">
        <v>1</v>
      </c>
      <c r="E179" s="62" t="s">
        <v>30</v>
      </c>
    </row>
    <row r="181" spans="1:5" x14ac:dyDescent="0.25">
      <c r="A181" s="63" t="s">
        <v>161</v>
      </c>
    </row>
    <row r="182" spans="1:5" x14ac:dyDescent="0.25">
      <c r="A182" s="63" t="s">
        <v>19</v>
      </c>
      <c r="B182" s="2">
        <v>3</v>
      </c>
      <c r="C182" s="2" t="s">
        <v>53</v>
      </c>
      <c r="D182" s="2">
        <v>0</v>
      </c>
      <c r="E182" s="62" t="s">
        <v>166</v>
      </c>
    </row>
    <row r="183" spans="1:5" x14ac:dyDescent="0.25">
      <c r="A183" s="63" t="s">
        <v>5</v>
      </c>
      <c r="B183" s="2">
        <v>2</v>
      </c>
      <c r="C183" s="2" t="s">
        <v>53</v>
      </c>
      <c r="D183" s="2">
        <v>1</v>
      </c>
      <c r="E183" s="62" t="s">
        <v>6</v>
      </c>
    </row>
    <row r="184" spans="1:5" x14ac:dyDescent="0.25">
      <c r="A184" s="63" t="s">
        <v>22</v>
      </c>
      <c r="B184" s="2">
        <v>3</v>
      </c>
      <c r="C184" s="2" t="s">
        <v>53</v>
      </c>
      <c r="D184" s="2">
        <v>2</v>
      </c>
      <c r="E184" s="62" t="s">
        <v>12</v>
      </c>
    </row>
    <row r="185" spans="1:5" x14ac:dyDescent="0.25">
      <c r="A185" s="63" t="s">
        <v>8</v>
      </c>
      <c r="B185" s="2">
        <v>3</v>
      </c>
      <c r="C185" s="2" t="s">
        <v>53</v>
      </c>
      <c r="D185" s="2">
        <v>0</v>
      </c>
      <c r="E185" s="62" t="s">
        <v>167</v>
      </c>
    </row>
    <row r="186" spans="1:5" x14ac:dyDescent="0.25">
      <c r="A186" s="63" t="s">
        <v>20</v>
      </c>
      <c r="B186" s="2">
        <v>2</v>
      </c>
      <c r="C186" s="2" t="s">
        <v>53</v>
      </c>
      <c r="D186" s="2">
        <v>1</v>
      </c>
      <c r="E186" s="62" t="s">
        <v>28</v>
      </c>
    </row>
    <row r="187" spans="1:5" x14ac:dyDescent="0.25">
      <c r="A187" s="63" t="s">
        <v>17</v>
      </c>
      <c r="B187" s="2">
        <v>1</v>
      </c>
      <c r="C187" s="2" t="s">
        <v>53</v>
      </c>
      <c r="D187" s="2">
        <v>0</v>
      </c>
      <c r="E187" s="62" t="s">
        <v>26</v>
      </c>
    </row>
    <row r="188" spans="1:5" x14ac:dyDescent="0.25">
      <c r="A188" s="63" t="s">
        <v>23</v>
      </c>
      <c r="B188" s="2">
        <v>1</v>
      </c>
      <c r="C188" s="2" t="s">
        <v>53</v>
      </c>
      <c r="D188" s="2">
        <v>4</v>
      </c>
      <c r="E188" s="62" t="s">
        <v>15</v>
      </c>
    </row>
    <row r="189" spans="1:5" x14ac:dyDescent="0.25">
      <c r="A189" s="63" t="s">
        <v>27</v>
      </c>
      <c r="B189" s="2">
        <v>3</v>
      </c>
      <c r="C189" s="2" t="s">
        <v>53</v>
      </c>
      <c r="D189" s="2">
        <v>2</v>
      </c>
      <c r="E189" s="62" t="s">
        <v>30</v>
      </c>
    </row>
    <row r="191" spans="1:5" x14ac:dyDescent="0.25">
      <c r="A191" s="63" t="s">
        <v>162</v>
      </c>
    </row>
    <row r="192" spans="1:5" x14ac:dyDescent="0.25">
      <c r="A192" s="63" t="s">
        <v>19</v>
      </c>
      <c r="B192" s="2">
        <v>2</v>
      </c>
      <c r="C192" s="2" t="s">
        <v>53</v>
      </c>
      <c r="D192" s="2">
        <v>1</v>
      </c>
      <c r="E192" s="62" t="s">
        <v>166</v>
      </c>
    </row>
    <row r="193" spans="1:5" x14ac:dyDescent="0.25">
      <c r="A193" s="63" t="s">
        <v>5</v>
      </c>
      <c r="B193" s="2">
        <v>2</v>
      </c>
      <c r="C193" s="2" t="s">
        <v>53</v>
      </c>
      <c r="D193" s="2">
        <v>0</v>
      </c>
      <c r="E193" s="62" t="s">
        <v>6</v>
      </c>
    </row>
    <row r="194" spans="1:5" x14ac:dyDescent="0.25">
      <c r="A194" s="63" t="s">
        <v>22</v>
      </c>
      <c r="B194" s="2">
        <v>1</v>
      </c>
      <c r="C194" s="2" t="s">
        <v>53</v>
      </c>
      <c r="D194" s="2">
        <v>0</v>
      </c>
      <c r="E194" s="62" t="s">
        <v>12</v>
      </c>
    </row>
    <row r="195" spans="1:5" x14ac:dyDescent="0.25">
      <c r="A195" s="63" t="s">
        <v>8</v>
      </c>
      <c r="B195" s="2">
        <v>2</v>
      </c>
      <c r="C195" s="2" t="s">
        <v>53</v>
      </c>
      <c r="D195" s="2">
        <v>0</v>
      </c>
      <c r="E195" s="62" t="s">
        <v>167</v>
      </c>
    </row>
    <row r="196" spans="1:5" x14ac:dyDescent="0.25">
      <c r="A196" s="63" t="s">
        <v>20</v>
      </c>
      <c r="B196" s="2">
        <v>2</v>
      </c>
      <c r="C196" s="2" t="s">
        <v>53</v>
      </c>
      <c r="D196" s="2">
        <v>1</v>
      </c>
      <c r="E196" s="62" t="s">
        <v>28</v>
      </c>
    </row>
    <row r="197" spans="1:5" x14ac:dyDescent="0.25">
      <c r="A197" s="63" t="s">
        <v>17</v>
      </c>
      <c r="B197" s="2">
        <v>2</v>
      </c>
      <c r="C197" s="2" t="s">
        <v>53</v>
      </c>
      <c r="D197" s="2">
        <v>0</v>
      </c>
      <c r="E197" s="62" t="s">
        <v>26</v>
      </c>
    </row>
    <row r="198" spans="1:5" x14ac:dyDescent="0.25">
      <c r="A198" s="63" t="s">
        <v>23</v>
      </c>
      <c r="B198" s="2">
        <v>0</v>
      </c>
      <c r="C198" s="2" t="s">
        <v>53</v>
      </c>
      <c r="D198" s="2">
        <v>2</v>
      </c>
      <c r="E198" s="62" t="s">
        <v>15</v>
      </c>
    </row>
    <row r="199" spans="1:5" x14ac:dyDescent="0.25">
      <c r="A199" s="63" t="s">
        <v>27</v>
      </c>
      <c r="B199" s="2">
        <v>2</v>
      </c>
      <c r="C199" s="2" t="s">
        <v>53</v>
      </c>
      <c r="D199" s="2">
        <v>1</v>
      </c>
      <c r="E199" s="62" t="s">
        <v>30</v>
      </c>
    </row>
    <row r="201" spans="1:5" x14ac:dyDescent="0.25">
      <c r="A201" s="63" t="s">
        <v>163</v>
      </c>
    </row>
    <row r="202" spans="1:5" x14ac:dyDescent="0.25">
      <c r="A202" s="63" t="s">
        <v>19</v>
      </c>
      <c r="B202" s="2">
        <v>1</v>
      </c>
      <c r="C202" s="2" t="s">
        <v>53</v>
      </c>
      <c r="D202" s="2">
        <v>0</v>
      </c>
      <c r="E202" s="62" t="s">
        <v>166</v>
      </c>
    </row>
    <row r="203" spans="1:5" x14ac:dyDescent="0.25">
      <c r="A203" s="63" t="s">
        <v>5</v>
      </c>
      <c r="B203" s="2">
        <v>2</v>
      </c>
      <c r="C203" s="2" t="s">
        <v>53</v>
      </c>
      <c r="D203" s="2">
        <v>1</v>
      </c>
      <c r="E203" s="62" t="s">
        <v>6</v>
      </c>
    </row>
    <row r="204" spans="1:5" x14ac:dyDescent="0.25">
      <c r="A204" s="63" t="s">
        <v>22</v>
      </c>
      <c r="B204" s="2">
        <v>2</v>
      </c>
      <c r="C204" s="2" t="s">
        <v>53</v>
      </c>
      <c r="D204" s="2">
        <v>1</v>
      </c>
      <c r="E204" s="62" t="s">
        <v>12</v>
      </c>
    </row>
    <row r="205" spans="1:5" x14ac:dyDescent="0.25">
      <c r="A205" s="63" t="s">
        <v>8</v>
      </c>
      <c r="B205" s="2">
        <v>2</v>
      </c>
      <c r="C205" s="2" t="s">
        <v>53</v>
      </c>
      <c r="D205" s="2">
        <v>1</v>
      </c>
      <c r="E205" s="62" t="s">
        <v>167</v>
      </c>
    </row>
    <row r="206" spans="1:5" x14ac:dyDescent="0.25">
      <c r="A206" s="63" t="s">
        <v>20</v>
      </c>
      <c r="B206" s="2">
        <v>1</v>
      </c>
      <c r="C206" s="2" t="s">
        <v>53</v>
      </c>
      <c r="D206" s="2">
        <v>1</v>
      </c>
      <c r="E206" s="62" t="s">
        <v>28</v>
      </c>
    </row>
    <row r="207" spans="1:5" x14ac:dyDescent="0.25">
      <c r="A207" s="63" t="s">
        <v>17</v>
      </c>
      <c r="B207" s="2">
        <v>1</v>
      </c>
      <c r="C207" s="2" t="s">
        <v>53</v>
      </c>
      <c r="D207" s="2">
        <v>1</v>
      </c>
      <c r="E207" s="62" t="s">
        <v>26</v>
      </c>
    </row>
    <row r="208" spans="1:5" x14ac:dyDescent="0.25">
      <c r="A208" s="63" t="s">
        <v>23</v>
      </c>
      <c r="B208" s="2">
        <v>1</v>
      </c>
      <c r="C208" s="2" t="s">
        <v>53</v>
      </c>
      <c r="D208" s="2">
        <v>1</v>
      </c>
      <c r="E208" s="62" t="s">
        <v>15</v>
      </c>
    </row>
    <row r="209" spans="1:5" x14ac:dyDescent="0.25">
      <c r="A209" s="63" t="s">
        <v>27</v>
      </c>
      <c r="B209" s="2">
        <v>2</v>
      </c>
      <c r="C209" s="2" t="s">
        <v>53</v>
      </c>
      <c r="D209" s="2">
        <v>1</v>
      </c>
      <c r="E209" s="62" t="s">
        <v>30</v>
      </c>
    </row>
    <row r="211" spans="1:5" x14ac:dyDescent="0.25">
      <c r="A211" s="63" t="s">
        <v>164</v>
      </c>
    </row>
    <row r="212" spans="1:5" x14ac:dyDescent="0.25">
      <c r="A212" s="63" t="s">
        <v>19</v>
      </c>
      <c r="B212" s="2">
        <v>1</v>
      </c>
      <c r="C212" s="2" t="s">
        <v>53</v>
      </c>
      <c r="D212" s="2">
        <v>2</v>
      </c>
      <c r="E212" s="62" t="s">
        <v>166</v>
      </c>
    </row>
    <row r="213" spans="1:5" x14ac:dyDescent="0.25">
      <c r="A213" s="63" t="s">
        <v>5</v>
      </c>
      <c r="B213" s="2">
        <v>2</v>
      </c>
      <c r="C213" s="2" t="s">
        <v>53</v>
      </c>
      <c r="D213" s="2">
        <v>1</v>
      </c>
      <c r="E213" s="62" t="s">
        <v>6</v>
      </c>
    </row>
    <row r="214" spans="1:5" x14ac:dyDescent="0.25">
      <c r="A214" s="63" t="s">
        <v>22</v>
      </c>
      <c r="B214" s="2">
        <v>1</v>
      </c>
      <c r="C214" s="2" t="s">
        <v>53</v>
      </c>
      <c r="D214" s="2">
        <v>0</v>
      </c>
      <c r="E214" s="62" t="s">
        <v>12</v>
      </c>
    </row>
    <row r="215" spans="1:5" x14ac:dyDescent="0.25">
      <c r="A215" s="63" t="s">
        <v>8</v>
      </c>
      <c r="B215" s="2">
        <v>2</v>
      </c>
      <c r="C215" s="2" t="s">
        <v>53</v>
      </c>
      <c r="D215" s="2">
        <v>1</v>
      </c>
      <c r="E215" s="62" t="s">
        <v>167</v>
      </c>
    </row>
    <row r="216" spans="1:5" x14ac:dyDescent="0.25">
      <c r="A216" s="63" t="s">
        <v>20</v>
      </c>
      <c r="B216" s="2">
        <v>0</v>
      </c>
      <c r="C216" s="2" t="s">
        <v>53</v>
      </c>
      <c r="D216" s="2">
        <v>1</v>
      </c>
      <c r="E216" s="62" t="s">
        <v>28</v>
      </c>
    </row>
    <row r="217" spans="1:5" x14ac:dyDescent="0.25">
      <c r="A217" s="63" t="s">
        <v>17</v>
      </c>
      <c r="B217" s="2">
        <v>2</v>
      </c>
      <c r="C217" s="2" t="s">
        <v>53</v>
      </c>
      <c r="D217" s="2">
        <v>0</v>
      </c>
      <c r="E217" s="62" t="s">
        <v>26</v>
      </c>
    </row>
    <row r="218" spans="1:5" x14ac:dyDescent="0.25">
      <c r="A218" s="63" t="s">
        <v>23</v>
      </c>
      <c r="B218" s="2">
        <v>1</v>
      </c>
      <c r="C218" s="2" t="s">
        <v>53</v>
      </c>
      <c r="D218" s="2">
        <v>0</v>
      </c>
      <c r="E218" s="62" t="s">
        <v>15</v>
      </c>
    </row>
    <row r="219" spans="1:5" x14ac:dyDescent="0.25">
      <c r="A219" s="63" t="s">
        <v>27</v>
      </c>
      <c r="B219" s="2">
        <v>1</v>
      </c>
      <c r="C219" s="2" t="s">
        <v>53</v>
      </c>
      <c r="D219" s="2">
        <v>0</v>
      </c>
      <c r="E219" s="62" t="s">
        <v>30</v>
      </c>
    </row>
    <row r="221" spans="1:5" x14ac:dyDescent="0.25">
      <c r="A221" s="63" t="s">
        <v>165</v>
      </c>
    </row>
    <row r="222" spans="1:5" x14ac:dyDescent="0.25">
      <c r="A222" s="63" t="s">
        <v>19</v>
      </c>
      <c r="B222" s="2">
        <v>1</v>
      </c>
      <c r="C222" s="2" t="s">
        <v>53</v>
      </c>
      <c r="D222" s="2">
        <v>0</v>
      </c>
      <c r="E222" s="62" t="s">
        <v>166</v>
      </c>
    </row>
    <row r="223" spans="1:5" x14ac:dyDescent="0.25">
      <c r="A223" s="63" t="s">
        <v>5</v>
      </c>
      <c r="B223" s="2">
        <v>2</v>
      </c>
      <c r="C223" s="2" t="s">
        <v>53</v>
      </c>
      <c r="D223" s="2">
        <v>1</v>
      </c>
      <c r="E223" s="62" t="s">
        <v>6</v>
      </c>
    </row>
    <row r="224" spans="1:5" x14ac:dyDescent="0.25">
      <c r="A224" s="63" t="s">
        <v>22</v>
      </c>
      <c r="B224" s="2">
        <v>1</v>
      </c>
      <c r="C224" s="2" t="s">
        <v>53</v>
      </c>
      <c r="D224" s="2">
        <v>2</v>
      </c>
      <c r="E224" s="62" t="s">
        <v>12</v>
      </c>
    </row>
    <row r="225" spans="1:5" x14ac:dyDescent="0.25">
      <c r="A225" s="63" t="s">
        <v>8</v>
      </c>
      <c r="B225" s="2">
        <v>2</v>
      </c>
      <c r="C225" s="2" t="s">
        <v>53</v>
      </c>
      <c r="D225" s="2">
        <v>1</v>
      </c>
      <c r="E225" s="62" t="s">
        <v>167</v>
      </c>
    </row>
    <row r="226" spans="1:5" x14ac:dyDescent="0.25">
      <c r="A226" s="63" t="s">
        <v>20</v>
      </c>
      <c r="B226" s="2">
        <v>1</v>
      </c>
      <c r="C226" s="2" t="s">
        <v>53</v>
      </c>
      <c r="D226" s="2">
        <v>1</v>
      </c>
      <c r="E226" s="62" t="s">
        <v>28</v>
      </c>
    </row>
    <row r="227" spans="1:5" x14ac:dyDescent="0.25">
      <c r="A227" s="63" t="s">
        <v>17</v>
      </c>
      <c r="B227" s="2">
        <v>2</v>
      </c>
      <c r="C227" s="2" t="s">
        <v>53</v>
      </c>
      <c r="D227" s="2">
        <v>0</v>
      </c>
      <c r="E227" s="62" t="s">
        <v>26</v>
      </c>
    </row>
    <row r="228" spans="1:5" x14ac:dyDescent="0.25">
      <c r="A228" s="63" t="s">
        <v>23</v>
      </c>
      <c r="B228" s="2">
        <v>1</v>
      </c>
      <c r="C228" s="2" t="s">
        <v>53</v>
      </c>
      <c r="D228" s="2">
        <v>2</v>
      </c>
      <c r="E228" s="62" t="s">
        <v>15</v>
      </c>
    </row>
    <row r="229" spans="1:5" x14ac:dyDescent="0.25">
      <c r="A229" s="63" t="s">
        <v>27</v>
      </c>
      <c r="B229" s="2">
        <v>0</v>
      </c>
      <c r="C229" s="2" t="s">
        <v>53</v>
      </c>
      <c r="D229" s="2">
        <v>1</v>
      </c>
      <c r="E229" s="62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8" zoomScale="80" zoomScaleNormal="80" workbookViewId="0">
      <selection activeCell="L37" sqref="L37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0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0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88" t="s">
        <v>40</v>
      </c>
      <c r="B1" s="189"/>
      <c r="C1" s="189"/>
      <c r="D1" s="189"/>
      <c r="E1" s="189"/>
      <c r="F1" s="189"/>
      <c r="G1" s="189"/>
      <c r="H1" s="189"/>
      <c r="I1" s="189"/>
      <c r="J1" s="189"/>
      <c r="K1" s="190"/>
    </row>
    <row r="2" spans="1:24" ht="16.5" thickTop="1" x14ac:dyDescent="0.25">
      <c r="A2" s="135" t="s">
        <v>0</v>
      </c>
      <c r="B2" s="136"/>
      <c r="C2" s="136"/>
      <c r="D2" s="136"/>
      <c r="E2" s="136"/>
      <c r="F2" s="24"/>
      <c r="G2" s="136" t="s">
        <v>36</v>
      </c>
      <c r="H2" s="136"/>
      <c r="I2" s="136"/>
      <c r="J2" s="136"/>
      <c r="K2" s="148"/>
      <c r="O2" s="191" t="s">
        <v>35</v>
      </c>
      <c r="P2" s="192"/>
      <c r="R2" s="178" t="s">
        <v>44</v>
      </c>
      <c r="S2" s="179"/>
      <c r="T2" s="180"/>
      <c r="V2" s="160" t="s">
        <v>45</v>
      </c>
      <c r="W2" s="161"/>
      <c r="X2" s="162"/>
    </row>
    <row r="3" spans="1:24" ht="18" customHeight="1" x14ac:dyDescent="0.25">
      <c r="A3" s="68" t="s">
        <v>11</v>
      </c>
      <c r="B3" s="6">
        <v>0</v>
      </c>
      <c r="C3" s="6" t="s">
        <v>33</v>
      </c>
      <c r="D3" s="6">
        <v>2</v>
      </c>
      <c r="E3" s="66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1" t="s">
        <v>22</v>
      </c>
      <c r="O3" s="5" t="s">
        <v>4</v>
      </c>
      <c r="P3" s="9" t="s">
        <v>17</v>
      </c>
      <c r="R3" s="149">
        <v>50</v>
      </c>
      <c r="S3" s="150"/>
      <c r="T3" s="151"/>
      <c r="V3" s="181">
        <v>23</v>
      </c>
      <c r="W3" s="182"/>
      <c r="X3" s="183"/>
    </row>
    <row r="4" spans="1:24" ht="18" customHeight="1" x14ac:dyDescent="0.25">
      <c r="A4" s="68" t="s">
        <v>28</v>
      </c>
      <c r="B4" s="6">
        <v>0</v>
      </c>
      <c r="C4" s="6" t="s">
        <v>33</v>
      </c>
      <c r="D4" s="6">
        <v>2</v>
      </c>
      <c r="E4" s="66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1" t="s">
        <v>56</v>
      </c>
      <c r="O4" s="5" t="s">
        <v>55</v>
      </c>
      <c r="P4" s="9" t="s">
        <v>18</v>
      </c>
      <c r="R4" s="149"/>
      <c r="S4" s="150"/>
      <c r="T4" s="151"/>
      <c r="V4" s="181"/>
      <c r="W4" s="182"/>
      <c r="X4" s="183"/>
    </row>
    <row r="5" spans="1:24" ht="18" customHeight="1" x14ac:dyDescent="0.25">
      <c r="A5" s="68" t="s">
        <v>11</v>
      </c>
      <c r="B5" s="6">
        <v>1</v>
      </c>
      <c r="C5" s="6" t="s">
        <v>33</v>
      </c>
      <c r="D5" s="6">
        <v>3</v>
      </c>
      <c r="E5" s="66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1" t="s">
        <v>56</v>
      </c>
      <c r="O5" s="5" t="s">
        <v>5</v>
      </c>
      <c r="P5" s="9" t="s">
        <v>19</v>
      </c>
      <c r="R5" s="152"/>
      <c r="S5" s="153"/>
      <c r="T5" s="154"/>
      <c r="V5" s="184"/>
      <c r="W5" s="185"/>
      <c r="X5" s="186"/>
    </row>
    <row r="6" spans="1:24" x14ac:dyDescent="0.25">
      <c r="A6" s="68" t="s">
        <v>19</v>
      </c>
      <c r="B6" s="6">
        <v>1</v>
      </c>
      <c r="C6" s="6" t="s">
        <v>33</v>
      </c>
      <c r="D6" s="6">
        <v>1</v>
      </c>
      <c r="E6" s="66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1" t="s">
        <v>4</v>
      </c>
      <c r="O6" s="5" t="s">
        <v>6</v>
      </c>
      <c r="P6" s="9" t="s">
        <v>20</v>
      </c>
    </row>
    <row r="7" spans="1:24" x14ac:dyDescent="0.25">
      <c r="A7" s="68" t="s">
        <v>19</v>
      </c>
      <c r="B7" s="6">
        <v>2</v>
      </c>
      <c r="C7" s="6" t="s">
        <v>33</v>
      </c>
      <c r="D7" s="6">
        <v>0</v>
      </c>
      <c r="E7" s="66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1" t="s">
        <v>15</v>
      </c>
      <c r="O7" s="5" t="s">
        <v>7</v>
      </c>
      <c r="P7" s="9" t="s">
        <v>21</v>
      </c>
      <c r="R7" s="175" t="s">
        <v>48</v>
      </c>
      <c r="S7" s="176"/>
      <c r="T7" s="177"/>
      <c r="V7" s="160" t="s">
        <v>46</v>
      </c>
      <c r="W7" s="161"/>
      <c r="X7" s="162"/>
    </row>
    <row r="8" spans="1:24" x14ac:dyDescent="0.25">
      <c r="A8" s="68" t="s">
        <v>14</v>
      </c>
      <c r="B8" s="6">
        <v>1</v>
      </c>
      <c r="C8" s="6" t="s">
        <v>33</v>
      </c>
      <c r="D8" s="6">
        <v>2</v>
      </c>
      <c r="E8" s="66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1" t="s">
        <v>4</v>
      </c>
      <c r="O8" s="5" t="s">
        <v>8</v>
      </c>
      <c r="P8" s="9" t="s">
        <v>22</v>
      </c>
      <c r="R8" s="149">
        <f>V16*0.5</f>
        <v>90</v>
      </c>
      <c r="S8" s="150"/>
      <c r="T8" s="151"/>
      <c r="V8" s="163">
        <v>10</v>
      </c>
      <c r="W8" s="164"/>
      <c r="X8" s="165"/>
    </row>
    <row r="9" spans="1:24" x14ac:dyDescent="0.25">
      <c r="A9" s="135" t="s">
        <v>1</v>
      </c>
      <c r="B9" s="136"/>
      <c r="C9" s="136"/>
      <c r="D9" s="136"/>
      <c r="E9" s="136"/>
      <c r="F9" s="25"/>
      <c r="G9" s="136" t="s">
        <v>37</v>
      </c>
      <c r="H9" s="136"/>
      <c r="I9" s="136"/>
      <c r="J9" s="136"/>
      <c r="K9" s="148"/>
      <c r="O9" s="5" t="s">
        <v>9</v>
      </c>
      <c r="P9" s="9" t="s">
        <v>23</v>
      </c>
      <c r="R9" s="152"/>
      <c r="S9" s="153"/>
      <c r="T9" s="154"/>
      <c r="V9" s="166"/>
      <c r="W9" s="167"/>
      <c r="X9" s="168"/>
    </row>
    <row r="10" spans="1:24" x14ac:dyDescent="0.25">
      <c r="A10" s="68" t="s">
        <v>20</v>
      </c>
      <c r="B10" s="6">
        <v>6</v>
      </c>
      <c r="C10" s="6" t="s">
        <v>33</v>
      </c>
      <c r="D10" s="6">
        <v>2</v>
      </c>
      <c r="E10" s="66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1" t="s">
        <v>12</v>
      </c>
      <c r="O10" s="5" t="s">
        <v>10</v>
      </c>
      <c r="P10" s="9" t="s">
        <v>24</v>
      </c>
    </row>
    <row r="11" spans="1:24" x14ac:dyDescent="0.25">
      <c r="A11" s="68" t="s">
        <v>16</v>
      </c>
      <c r="B11" s="6">
        <v>1</v>
      </c>
      <c r="C11" s="6" t="s">
        <v>33</v>
      </c>
      <c r="D11" s="6">
        <v>1</v>
      </c>
      <c r="E11" s="66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1" t="s">
        <v>10</v>
      </c>
      <c r="O11" s="5" t="s">
        <v>11</v>
      </c>
      <c r="P11" s="9" t="s">
        <v>25</v>
      </c>
      <c r="R11" s="172" t="s">
        <v>49</v>
      </c>
      <c r="S11" s="173"/>
      <c r="T11" s="174"/>
      <c r="V11" s="160" t="s">
        <v>47</v>
      </c>
      <c r="W11" s="161"/>
      <c r="X11" s="162"/>
    </row>
    <row r="12" spans="1:24" ht="15.75" customHeight="1" x14ac:dyDescent="0.25">
      <c r="A12" s="68" t="s">
        <v>34</v>
      </c>
      <c r="B12" s="6">
        <v>0</v>
      </c>
      <c r="C12" s="6" t="s">
        <v>33</v>
      </c>
      <c r="D12" s="6">
        <v>2</v>
      </c>
      <c r="E12" s="66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1" t="s">
        <v>23</v>
      </c>
      <c r="O12" s="5" t="s">
        <v>67</v>
      </c>
      <c r="P12" s="9" t="s">
        <v>26</v>
      </c>
      <c r="R12" s="149">
        <f>V16*0.3</f>
        <v>54</v>
      </c>
      <c r="S12" s="150"/>
      <c r="T12" s="151"/>
      <c r="V12" s="139">
        <f>V3*V8</f>
        <v>230</v>
      </c>
      <c r="W12" s="140"/>
      <c r="X12" s="141"/>
    </row>
    <row r="13" spans="1:24" ht="15.75" customHeight="1" x14ac:dyDescent="0.25">
      <c r="A13" s="68" t="s">
        <v>20</v>
      </c>
      <c r="B13" s="6">
        <v>0</v>
      </c>
      <c r="C13" s="6" t="s">
        <v>33</v>
      </c>
      <c r="D13" s="6">
        <v>0</v>
      </c>
      <c r="E13" s="66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1" t="s">
        <v>10</v>
      </c>
      <c r="O13" s="5" t="s">
        <v>56</v>
      </c>
      <c r="P13" s="9" t="s">
        <v>27</v>
      </c>
      <c r="R13" s="152"/>
      <c r="S13" s="153"/>
      <c r="T13" s="154"/>
      <c r="V13" s="142"/>
      <c r="W13" s="143"/>
      <c r="X13" s="144"/>
    </row>
    <row r="14" spans="1:24" ht="15.75" customHeight="1" x14ac:dyDescent="0.25">
      <c r="A14" s="68" t="s">
        <v>21</v>
      </c>
      <c r="B14" s="6">
        <v>0</v>
      </c>
      <c r="C14" s="6" t="s">
        <v>33</v>
      </c>
      <c r="D14" s="6">
        <v>1</v>
      </c>
      <c r="E14" s="66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1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68" t="s">
        <v>34</v>
      </c>
      <c r="B15" s="6">
        <v>0</v>
      </c>
      <c r="C15" s="6" t="s">
        <v>33</v>
      </c>
      <c r="D15" s="6">
        <v>3</v>
      </c>
      <c r="E15" s="66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1" t="s">
        <v>23</v>
      </c>
      <c r="O15" s="5" t="s">
        <v>13</v>
      </c>
      <c r="P15" s="9" t="s">
        <v>29</v>
      </c>
      <c r="R15" s="169" t="s">
        <v>50</v>
      </c>
      <c r="S15" s="170"/>
      <c r="T15" s="171"/>
      <c r="V15" s="160" t="s">
        <v>51</v>
      </c>
      <c r="W15" s="161"/>
      <c r="X15" s="162"/>
    </row>
    <row r="16" spans="1:24" ht="21" customHeight="1" x14ac:dyDescent="0.25">
      <c r="A16" s="135" t="s">
        <v>2</v>
      </c>
      <c r="B16" s="136"/>
      <c r="C16" s="136"/>
      <c r="D16" s="136"/>
      <c r="E16" s="136"/>
      <c r="F16" s="25"/>
      <c r="G16" s="136" t="s">
        <v>38</v>
      </c>
      <c r="H16" s="136"/>
      <c r="I16" s="136"/>
      <c r="J16" s="136"/>
      <c r="K16" s="148"/>
      <c r="O16" s="5" t="s">
        <v>14</v>
      </c>
      <c r="P16" s="9" t="s">
        <v>30</v>
      </c>
      <c r="R16" s="149">
        <f>V16*0.2</f>
        <v>36</v>
      </c>
      <c r="S16" s="150"/>
      <c r="T16" s="151"/>
      <c r="V16" s="139">
        <f>V12-R3</f>
        <v>180</v>
      </c>
      <c r="W16" s="140"/>
      <c r="X16" s="141"/>
    </row>
    <row r="17" spans="1:24" ht="21" customHeight="1" x14ac:dyDescent="0.25">
      <c r="A17" s="68" t="s">
        <v>5</v>
      </c>
      <c r="B17" s="6">
        <v>1</v>
      </c>
      <c r="C17" s="6" t="s">
        <v>33</v>
      </c>
      <c r="D17" s="6">
        <v>2</v>
      </c>
      <c r="E17" s="66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1" t="s">
        <v>9</v>
      </c>
      <c r="O17" s="5" t="s">
        <v>15</v>
      </c>
      <c r="P17" s="9" t="s">
        <v>31</v>
      </c>
      <c r="R17" s="152"/>
      <c r="S17" s="153"/>
      <c r="T17" s="154"/>
      <c r="V17" s="142"/>
      <c r="W17" s="143"/>
      <c r="X17" s="144"/>
    </row>
    <row r="18" spans="1:24" ht="16.5" thickBot="1" x14ac:dyDescent="0.3">
      <c r="A18" s="68" t="s">
        <v>24</v>
      </c>
      <c r="B18" s="6">
        <v>0</v>
      </c>
      <c r="C18" s="6" t="s">
        <v>33</v>
      </c>
      <c r="D18" s="6">
        <v>0</v>
      </c>
      <c r="E18" s="66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1" t="s">
        <v>29</v>
      </c>
      <c r="O18" s="7" t="s">
        <v>16</v>
      </c>
      <c r="P18" s="11" t="s">
        <v>32</v>
      </c>
    </row>
    <row r="19" spans="1:24" ht="16.5" thickTop="1" x14ac:dyDescent="0.25">
      <c r="A19" s="68" t="s">
        <v>26</v>
      </c>
      <c r="B19" s="6">
        <v>2</v>
      </c>
      <c r="C19" s="6" t="s">
        <v>33</v>
      </c>
      <c r="D19" s="6">
        <v>0</v>
      </c>
      <c r="E19" s="66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1" t="s">
        <v>29</v>
      </c>
    </row>
    <row r="20" spans="1:24" ht="18.75" x14ac:dyDescent="0.25">
      <c r="A20" s="68" t="s">
        <v>5</v>
      </c>
      <c r="B20" s="6">
        <v>2</v>
      </c>
      <c r="C20" s="6" t="s">
        <v>33</v>
      </c>
      <c r="D20" s="6">
        <v>0</v>
      </c>
      <c r="E20" s="66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1" t="s">
        <v>30</v>
      </c>
      <c r="O20" s="146" t="s">
        <v>125</v>
      </c>
      <c r="P20" s="146"/>
      <c r="Q20" s="146"/>
      <c r="R20" s="145"/>
      <c r="S20" s="145"/>
      <c r="T20" s="145"/>
    </row>
    <row r="21" spans="1:24" ht="18.75" x14ac:dyDescent="0.25">
      <c r="A21" s="68" t="s">
        <v>26</v>
      </c>
      <c r="B21" s="6">
        <v>0</v>
      </c>
      <c r="C21" s="6" t="s">
        <v>33</v>
      </c>
      <c r="D21" s="6">
        <v>2</v>
      </c>
      <c r="E21" s="66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1" t="s">
        <v>8</v>
      </c>
      <c r="O21" s="146" t="s">
        <v>126</v>
      </c>
      <c r="P21" s="146"/>
      <c r="Q21" s="146"/>
      <c r="R21" s="147"/>
      <c r="S21" s="147"/>
      <c r="T21" s="147"/>
    </row>
    <row r="22" spans="1:24" x14ac:dyDescent="0.25">
      <c r="A22" s="68" t="s">
        <v>55</v>
      </c>
      <c r="B22" s="6">
        <v>1</v>
      </c>
      <c r="C22" s="6" t="s">
        <v>33</v>
      </c>
      <c r="D22" s="6">
        <v>2</v>
      </c>
      <c r="E22" s="66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1" t="s">
        <v>30</v>
      </c>
    </row>
    <row r="23" spans="1:24" x14ac:dyDescent="0.25">
      <c r="A23" s="135" t="s">
        <v>3</v>
      </c>
      <c r="B23" s="136"/>
      <c r="C23" s="136"/>
      <c r="D23" s="136"/>
      <c r="E23" s="136"/>
      <c r="F23" s="25"/>
      <c r="G23" s="136" t="s">
        <v>39</v>
      </c>
      <c r="H23" s="136"/>
      <c r="I23" s="136"/>
      <c r="J23" s="136"/>
      <c r="K23" s="148"/>
    </row>
    <row r="24" spans="1:24" x14ac:dyDescent="0.25">
      <c r="A24" s="68" t="s">
        <v>13</v>
      </c>
      <c r="B24" s="6">
        <v>0</v>
      </c>
      <c r="C24" s="6" t="s">
        <v>33</v>
      </c>
      <c r="D24" s="6">
        <v>0</v>
      </c>
      <c r="E24" s="66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1" t="s">
        <v>67</v>
      </c>
    </row>
    <row r="25" spans="1:24" x14ac:dyDescent="0.25">
      <c r="A25" s="68" t="s">
        <v>17</v>
      </c>
      <c r="B25" s="6">
        <v>4</v>
      </c>
      <c r="C25" s="6" t="s">
        <v>33</v>
      </c>
      <c r="D25" s="6">
        <v>1</v>
      </c>
      <c r="E25" s="66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1" t="s">
        <v>18</v>
      </c>
    </row>
    <row r="26" spans="1:24" x14ac:dyDescent="0.25">
      <c r="A26" s="68" t="s">
        <v>31</v>
      </c>
      <c r="B26" s="6">
        <v>0</v>
      </c>
      <c r="C26" s="6" t="s">
        <v>33</v>
      </c>
      <c r="D26" s="6">
        <v>1</v>
      </c>
      <c r="E26" s="66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1" t="s">
        <v>18</v>
      </c>
    </row>
    <row r="27" spans="1:24" x14ac:dyDescent="0.25">
      <c r="A27" s="68" t="s">
        <v>17</v>
      </c>
      <c r="B27" s="6">
        <v>2</v>
      </c>
      <c r="C27" s="6" t="s">
        <v>33</v>
      </c>
      <c r="D27" s="6">
        <v>1</v>
      </c>
      <c r="E27" s="66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1" t="s">
        <v>32</v>
      </c>
    </row>
    <row r="28" spans="1:24" x14ac:dyDescent="0.25">
      <c r="A28" s="68" t="s">
        <v>31</v>
      </c>
      <c r="B28" s="6">
        <v>1</v>
      </c>
      <c r="C28" s="6" t="s">
        <v>33</v>
      </c>
      <c r="D28" s="6">
        <v>0</v>
      </c>
      <c r="E28" s="66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1" t="s">
        <v>27</v>
      </c>
    </row>
    <row r="29" spans="1:24" ht="16.5" thickBot="1" x14ac:dyDescent="0.3">
      <c r="A29" s="69" t="s">
        <v>6</v>
      </c>
      <c r="B29" s="8">
        <v>1</v>
      </c>
      <c r="C29" s="8" t="s">
        <v>33</v>
      </c>
      <c r="D29" s="8">
        <v>0</v>
      </c>
      <c r="E29" s="67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2" t="s">
        <v>32</v>
      </c>
    </row>
    <row r="30" spans="1:24" ht="17.25" thickTop="1" thickBot="1" x14ac:dyDescent="0.3"/>
    <row r="31" spans="1:24" ht="16.5" thickTop="1" x14ac:dyDescent="0.25">
      <c r="A31" s="132" t="s">
        <v>53</v>
      </c>
      <c r="B31" s="133"/>
      <c r="C31" s="133"/>
      <c r="D31" s="133"/>
      <c r="E31" s="134"/>
      <c r="G31" s="135" t="s">
        <v>175</v>
      </c>
      <c r="H31" s="136"/>
      <c r="I31" s="136"/>
      <c r="J31" s="136"/>
      <c r="K31" s="136"/>
    </row>
    <row r="32" spans="1:24" x14ac:dyDescent="0.25">
      <c r="A32" s="68" t="s">
        <v>19</v>
      </c>
      <c r="B32" s="6">
        <v>3</v>
      </c>
      <c r="C32" s="6" t="s">
        <v>53</v>
      </c>
      <c r="D32" s="6">
        <v>1</v>
      </c>
      <c r="E32" s="71" t="s">
        <v>166</v>
      </c>
      <c r="G32" s="155" t="s">
        <v>17</v>
      </c>
      <c r="H32" s="156"/>
      <c r="I32" s="156"/>
      <c r="J32" s="156"/>
      <c r="K32" s="157"/>
      <c r="L32" s="23" t="s">
        <v>68</v>
      </c>
    </row>
    <row r="33" spans="1:12" x14ac:dyDescent="0.25">
      <c r="A33" s="68" t="s">
        <v>5</v>
      </c>
      <c r="B33" s="6">
        <v>2</v>
      </c>
      <c r="C33" s="6" t="s">
        <v>53</v>
      </c>
      <c r="D33" s="6">
        <v>1</v>
      </c>
      <c r="E33" s="71" t="s">
        <v>6</v>
      </c>
    </row>
    <row r="34" spans="1:12" x14ac:dyDescent="0.25">
      <c r="A34" s="68" t="s">
        <v>22</v>
      </c>
      <c r="B34" s="6">
        <v>1</v>
      </c>
      <c r="C34" s="6" t="s">
        <v>53</v>
      </c>
      <c r="D34" s="6">
        <v>1</v>
      </c>
      <c r="E34" s="71" t="s">
        <v>12</v>
      </c>
      <c r="G34" s="158" t="s">
        <v>126</v>
      </c>
      <c r="H34" s="159"/>
      <c r="I34" s="159"/>
      <c r="J34" s="159"/>
      <c r="K34" s="159"/>
    </row>
    <row r="35" spans="1:12" x14ac:dyDescent="0.25">
      <c r="A35" s="68" t="s">
        <v>8</v>
      </c>
      <c r="B35" s="6">
        <v>4</v>
      </c>
      <c r="C35" s="6" t="s">
        <v>53</v>
      </c>
      <c r="D35" s="6">
        <v>1</v>
      </c>
      <c r="E35" s="71" t="s">
        <v>167</v>
      </c>
      <c r="G35" s="187" t="s">
        <v>128</v>
      </c>
      <c r="H35" s="187"/>
      <c r="I35" s="187"/>
      <c r="J35" s="187"/>
      <c r="K35" s="187"/>
      <c r="L35" s="23" t="s">
        <v>68</v>
      </c>
    </row>
    <row r="36" spans="1:12" x14ac:dyDescent="0.25">
      <c r="A36" s="68" t="s">
        <v>20</v>
      </c>
      <c r="B36" s="6">
        <v>3</v>
      </c>
      <c r="C36" s="6" t="s">
        <v>53</v>
      </c>
      <c r="D36" s="6">
        <v>0</v>
      </c>
      <c r="E36" s="71" t="s">
        <v>28</v>
      </c>
      <c r="G36" s="187" t="s">
        <v>130</v>
      </c>
      <c r="H36" s="187"/>
      <c r="I36" s="187"/>
      <c r="J36" s="187"/>
      <c r="K36" s="187"/>
      <c r="L36" s="23" t="s">
        <v>68</v>
      </c>
    </row>
    <row r="37" spans="1:12" x14ac:dyDescent="0.25">
      <c r="A37" s="68" t="s">
        <v>17</v>
      </c>
      <c r="B37" s="6">
        <v>3</v>
      </c>
      <c r="C37" s="6" t="s">
        <v>53</v>
      </c>
      <c r="D37" s="6">
        <v>1</v>
      </c>
      <c r="E37" s="71" t="s">
        <v>26</v>
      </c>
    </row>
    <row r="38" spans="1:12" x14ac:dyDescent="0.25">
      <c r="A38" s="68" t="s">
        <v>23</v>
      </c>
      <c r="B38" s="6">
        <v>0</v>
      </c>
      <c r="C38" s="6" t="s">
        <v>53</v>
      </c>
      <c r="D38" s="6">
        <v>0</v>
      </c>
      <c r="E38" s="71" t="s">
        <v>15</v>
      </c>
    </row>
    <row r="39" spans="1:12" ht="16.5" thickBot="1" x14ac:dyDescent="0.3">
      <c r="A39" s="69" t="s">
        <v>27</v>
      </c>
      <c r="B39" s="8">
        <v>6</v>
      </c>
      <c r="C39" s="8" t="s">
        <v>53</v>
      </c>
      <c r="D39" s="8">
        <v>1</v>
      </c>
      <c r="E39" s="72" t="s">
        <v>30</v>
      </c>
    </row>
    <row r="40" spans="1:12" ht="17.25" thickTop="1" thickBot="1" x14ac:dyDescent="0.3"/>
    <row r="41" spans="1:12" ht="16.5" thickTop="1" x14ac:dyDescent="0.25">
      <c r="A41" s="132" t="s">
        <v>139</v>
      </c>
      <c r="B41" s="133"/>
      <c r="C41" s="133"/>
      <c r="D41" s="133"/>
      <c r="E41" s="134"/>
    </row>
    <row r="42" spans="1:12" x14ac:dyDescent="0.25">
      <c r="A42" s="68" t="s">
        <v>19</v>
      </c>
      <c r="B42" s="6">
        <v>2</v>
      </c>
      <c r="C42" s="6" t="s">
        <v>53</v>
      </c>
      <c r="D42" s="6">
        <v>2</v>
      </c>
      <c r="E42" s="71" t="s">
        <v>5</v>
      </c>
    </row>
    <row r="43" spans="1:12" x14ac:dyDescent="0.25">
      <c r="A43" s="68" t="s">
        <v>12</v>
      </c>
      <c r="B43" s="6">
        <v>1</v>
      </c>
      <c r="C43" s="6" t="s">
        <v>53</v>
      </c>
      <c r="D43" s="6">
        <v>1</v>
      </c>
      <c r="E43" s="71" t="s">
        <v>8</v>
      </c>
    </row>
    <row r="44" spans="1:12" x14ac:dyDescent="0.25">
      <c r="A44" s="68" t="s">
        <v>20</v>
      </c>
      <c r="B44" s="6">
        <v>1</v>
      </c>
      <c r="C44" s="6" t="s">
        <v>53</v>
      </c>
      <c r="D44" s="6">
        <v>2</v>
      </c>
      <c r="E44" s="71" t="s">
        <v>17</v>
      </c>
    </row>
    <row r="45" spans="1:12" ht="16.5" thickBot="1" x14ac:dyDescent="0.3">
      <c r="A45" s="69" t="s">
        <v>23</v>
      </c>
      <c r="B45" s="8">
        <v>1</v>
      </c>
      <c r="C45" s="8" t="s">
        <v>53</v>
      </c>
      <c r="D45" s="8">
        <v>0</v>
      </c>
      <c r="E45" s="72" t="s">
        <v>27</v>
      </c>
    </row>
    <row r="46" spans="1:12" ht="16.5" thickTop="1" x14ac:dyDescent="0.25"/>
    <row r="47" spans="1:12" x14ac:dyDescent="0.25">
      <c r="A47" s="135" t="s">
        <v>140</v>
      </c>
      <c r="B47" s="136"/>
      <c r="C47" s="136"/>
      <c r="D47" s="136"/>
      <c r="E47" s="136"/>
    </row>
    <row r="48" spans="1:12" x14ac:dyDescent="0.25">
      <c r="A48" s="68" t="s">
        <v>5</v>
      </c>
      <c r="B48" s="6">
        <v>3</v>
      </c>
      <c r="C48" s="6" t="s">
        <v>53</v>
      </c>
      <c r="D48" s="6">
        <v>0</v>
      </c>
      <c r="E48" s="66" t="s">
        <v>12</v>
      </c>
    </row>
    <row r="49" spans="1:6" x14ac:dyDescent="0.25">
      <c r="A49" s="68" t="s">
        <v>17</v>
      </c>
      <c r="B49" s="6">
        <v>2</v>
      </c>
      <c r="C49" s="6" t="s">
        <v>53</v>
      </c>
      <c r="D49" s="6">
        <v>0</v>
      </c>
      <c r="E49" s="66" t="s">
        <v>23</v>
      </c>
    </row>
    <row r="51" spans="1:6" x14ac:dyDescent="0.25">
      <c r="A51" s="135" t="s">
        <v>141</v>
      </c>
      <c r="B51" s="136"/>
      <c r="C51" s="136"/>
      <c r="D51" s="136"/>
      <c r="E51" s="136"/>
    </row>
    <row r="52" spans="1:6" x14ac:dyDescent="0.25">
      <c r="A52" s="68" t="s">
        <v>12</v>
      </c>
      <c r="B52" s="6"/>
      <c r="C52" s="6" t="s">
        <v>53</v>
      </c>
      <c r="D52" s="6"/>
      <c r="E52" s="66" t="s">
        <v>23</v>
      </c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37" t="s">
        <v>142</v>
      </c>
      <c r="B54" s="138"/>
      <c r="C54" s="138"/>
      <c r="D54" s="138"/>
      <c r="E54" s="138"/>
    </row>
    <row r="55" spans="1:6" x14ac:dyDescent="0.25">
      <c r="A55" s="68" t="s">
        <v>5</v>
      </c>
      <c r="B55" s="6"/>
      <c r="C55" s="6" t="s">
        <v>53</v>
      </c>
      <c r="D55" s="6"/>
      <c r="E55" s="66" t="s">
        <v>17</v>
      </c>
      <c r="F55" s="23" t="s">
        <v>68</v>
      </c>
    </row>
  </sheetData>
  <mergeCells count="40">
    <mergeCell ref="G36:K36"/>
    <mergeCell ref="A1:K1"/>
    <mergeCell ref="O2:P2"/>
    <mergeCell ref="A2:E2"/>
    <mergeCell ref="A9:E9"/>
    <mergeCell ref="A16:E16"/>
    <mergeCell ref="G2:K2"/>
    <mergeCell ref="G9:K9"/>
    <mergeCell ref="G16:K16"/>
    <mergeCell ref="G35:K35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F84"/>
  <sheetViews>
    <sheetView workbookViewId="0">
      <selection activeCell="E16" sqref="E16"/>
    </sheetView>
  </sheetViews>
  <sheetFormatPr defaultColWidth="10" defaultRowHeight="15" x14ac:dyDescent="0.25"/>
  <cols>
    <col min="1" max="1" width="12.7109375" style="1" customWidth="1"/>
    <col min="2" max="3" width="10" style="1" customWidth="1"/>
    <col min="4" max="4" width="10.28515625" style="1" customWidth="1"/>
    <col min="5" max="5" width="10" style="1" customWidth="1"/>
    <col min="6" max="6" width="3.7109375" style="120" customWidth="1"/>
    <col min="7" max="7" width="12.42578125" style="1" customWidth="1"/>
    <col min="8" max="10" width="3" style="2" customWidth="1"/>
    <col min="11" max="11" width="12.42578125" style="1" customWidth="1"/>
    <col min="12" max="12" width="3.7109375" style="120" customWidth="1"/>
    <col min="13" max="13" width="12.42578125" style="1" customWidth="1"/>
    <col min="14" max="16" width="3" style="1" customWidth="1"/>
    <col min="17" max="17" width="12.42578125" style="1" customWidth="1"/>
    <col min="18" max="18" width="3.7109375" style="120" customWidth="1"/>
    <col min="19" max="19" width="12.42578125" style="1" customWidth="1"/>
    <col min="20" max="22" width="3" style="1" customWidth="1"/>
    <col min="23" max="23" width="12.42578125" style="1" customWidth="1"/>
    <col min="24" max="24" width="3.7109375" style="120" customWidth="1"/>
    <col min="25" max="25" width="12.42578125" style="1" customWidth="1"/>
    <col min="26" max="28" width="3" style="1" customWidth="1"/>
    <col min="29" max="29" width="12.42578125" style="1" customWidth="1"/>
    <col min="30" max="30" width="3.7109375" style="120" customWidth="1"/>
    <col min="31" max="16384" width="10" style="1"/>
  </cols>
  <sheetData>
    <row r="1" spans="1:32" ht="30.75" customHeight="1" x14ac:dyDescent="0.25">
      <c r="A1" s="101" t="s">
        <v>183</v>
      </c>
      <c r="B1" s="102" t="s">
        <v>184</v>
      </c>
      <c r="C1" s="102" t="s">
        <v>176</v>
      </c>
      <c r="D1" s="103" t="s">
        <v>177</v>
      </c>
      <c r="E1" s="104" t="s">
        <v>178</v>
      </c>
      <c r="G1" s="120"/>
      <c r="H1" s="121"/>
      <c r="I1" s="121"/>
      <c r="J1" s="121"/>
      <c r="K1" s="120"/>
      <c r="M1" s="120"/>
      <c r="N1" s="120"/>
      <c r="O1" s="120"/>
      <c r="P1" s="120"/>
      <c r="Q1" s="120"/>
      <c r="S1" s="120"/>
      <c r="T1" s="120"/>
      <c r="U1" s="120"/>
      <c r="V1" s="120"/>
      <c r="W1" s="120"/>
      <c r="Y1" s="120"/>
      <c r="Z1" s="120"/>
      <c r="AA1" s="120"/>
      <c r="AB1" s="120"/>
      <c r="AC1" s="120"/>
      <c r="AE1" s="120"/>
      <c r="AF1" s="120"/>
    </row>
    <row r="2" spans="1:32" x14ac:dyDescent="0.25">
      <c r="A2" s="105" t="s">
        <v>89</v>
      </c>
      <c r="B2" s="99" t="s">
        <v>8</v>
      </c>
      <c r="C2" s="99" t="s">
        <v>15</v>
      </c>
      <c r="D2" s="99" t="s">
        <v>129</v>
      </c>
      <c r="E2" s="106" t="s">
        <v>130</v>
      </c>
      <c r="G2" s="193" t="s">
        <v>207</v>
      </c>
      <c r="H2" s="193"/>
      <c r="I2" s="193"/>
      <c r="J2" s="193"/>
      <c r="K2" s="193"/>
      <c r="M2" s="194" t="s">
        <v>201</v>
      </c>
      <c r="N2" s="194"/>
      <c r="O2" s="194"/>
      <c r="P2" s="194"/>
      <c r="Q2" s="194"/>
      <c r="S2" s="193" t="s">
        <v>195</v>
      </c>
      <c r="T2" s="193"/>
      <c r="U2" s="193"/>
      <c r="V2" s="193"/>
      <c r="W2" s="193"/>
      <c r="Y2" s="194" t="s">
        <v>189</v>
      </c>
      <c r="Z2" s="194"/>
      <c r="AA2" s="194"/>
      <c r="AB2" s="194"/>
      <c r="AC2" s="194"/>
    </row>
    <row r="3" spans="1:32" x14ac:dyDescent="0.25">
      <c r="A3" s="107" t="s">
        <v>88</v>
      </c>
      <c r="B3" s="99" t="s">
        <v>8</v>
      </c>
      <c r="C3" s="108" t="s">
        <v>17</v>
      </c>
      <c r="D3" s="108" t="s">
        <v>128</v>
      </c>
      <c r="E3" s="109" t="s">
        <v>130</v>
      </c>
      <c r="G3" s="1" t="s">
        <v>5</v>
      </c>
      <c r="H3" s="2">
        <v>0</v>
      </c>
      <c r="I3" s="2" t="s">
        <v>53</v>
      </c>
      <c r="J3" s="2">
        <v>1</v>
      </c>
      <c r="K3" s="1" t="s">
        <v>12</v>
      </c>
      <c r="M3" s="1" t="s">
        <v>5</v>
      </c>
      <c r="N3" s="2">
        <v>0</v>
      </c>
      <c r="O3" s="2" t="s">
        <v>53</v>
      </c>
      <c r="P3" s="2">
        <v>1</v>
      </c>
      <c r="Q3" s="1" t="s">
        <v>12</v>
      </c>
      <c r="S3" s="1" t="s">
        <v>5</v>
      </c>
      <c r="T3" s="2">
        <v>1</v>
      </c>
      <c r="U3" s="2" t="s">
        <v>53</v>
      </c>
      <c r="V3" s="2">
        <v>2</v>
      </c>
      <c r="W3" s="1" t="s">
        <v>12</v>
      </c>
      <c r="Y3" s="1" t="s">
        <v>5</v>
      </c>
      <c r="Z3" s="2">
        <v>1</v>
      </c>
      <c r="AA3" s="2" t="s">
        <v>53</v>
      </c>
      <c r="AB3" s="2">
        <v>1</v>
      </c>
      <c r="AC3" s="1" t="s">
        <v>12</v>
      </c>
    </row>
    <row r="4" spans="1:32" x14ac:dyDescent="0.25">
      <c r="A4" s="105" t="s">
        <v>87</v>
      </c>
      <c r="B4" s="99" t="s">
        <v>8</v>
      </c>
      <c r="C4" s="99" t="s">
        <v>27</v>
      </c>
      <c r="D4" s="99" t="s">
        <v>131</v>
      </c>
      <c r="E4" s="106" t="s">
        <v>128</v>
      </c>
      <c r="G4" s="1" t="s">
        <v>17</v>
      </c>
      <c r="H4" s="2">
        <v>2</v>
      </c>
      <c r="I4" s="2" t="s">
        <v>53</v>
      </c>
      <c r="J4" s="2">
        <v>0</v>
      </c>
      <c r="K4" s="1" t="s">
        <v>23</v>
      </c>
      <c r="M4" s="1" t="s">
        <v>17</v>
      </c>
      <c r="N4" s="2">
        <v>0</v>
      </c>
      <c r="O4" s="2" t="s">
        <v>53</v>
      </c>
      <c r="P4" s="2">
        <v>1</v>
      </c>
      <c r="Q4" s="1" t="s">
        <v>23</v>
      </c>
      <c r="S4" s="1" t="s">
        <v>17</v>
      </c>
      <c r="T4" s="2">
        <v>0</v>
      </c>
      <c r="U4" s="2" t="s">
        <v>53</v>
      </c>
      <c r="V4" s="2">
        <v>1</v>
      </c>
      <c r="W4" s="1" t="s">
        <v>23</v>
      </c>
      <c r="Y4" s="1" t="s">
        <v>17</v>
      </c>
      <c r="Z4" s="2">
        <v>1</v>
      </c>
      <c r="AA4" s="2" t="s">
        <v>53</v>
      </c>
      <c r="AB4" s="2">
        <v>1</v>
      </c>
      <c r="AC4" s="1" t="s">
        <v>23</v>
      </c>
    </row>
    <row r="5" spans="1:32" x14ac:dyDescent="0.25">
      <c r="A5" s="107" t="s">
        <v>86</v>
      </c>
      <c r="B5" s="99" t="s">
        <v>8</v>
      </c>
      <c r="C5" s="108" t="s">
        <v>17</v>
      </c>
      <c r="D5" s="99" t="s">
        <v>127</v>
      </c>
      <c r="E5" s="109" t="s">
        <v>128</v>
      </c>
      <c r="G5" s="120"/>
      <c r="H5" s="121"/>
      <c r="I5" s="121"/>
      <c r="J5" s="121"/>
      <c r="K5" s="120"/>
      <c r="M5" s="120"/>
      <c r="N5" s="121"/>
      <c r="O5" s="121"/>
      <c r="P5" s="121"/>
      <c r="Q5" s="120"/>
      <c r="S5" s="120"/>
      <c r="T5" s="121"/>
      <c r="U5" s="121"/>
      <c r="V5" s="121"/>
      <c r="W5" s="120"/>
      <c r="Y5" s="120"/>
      <c r="Z5" s="120"/>
      <c r="AA5" s="120"/>
      <c r="AB5" s="120"/>
      <c r="AC5" s="120"/>
    </row>
    <row r="6" spans="1:32" x14ac:dyDescent="0.25">
      <c r="A6" s="105" t="s">
        <v>93</v>
      </c>
      <c r="B6" s="99" t="s">
        <v>8</v>
      </c>
      <c r="C6" s="99" t="s">
        <v>19</v>
      </c>
      <c r="D6" s="99" t="s">
        <v>127</v>
      </c>
      <c r="E6" s="106" t="s">
        <v>130</v>
      </c>
      <c r="G6" s="194" t="s">
        <v>206</v>
      </c>
      <c r="H6" s="194"/>
      <c r="I6" s="194"/>
      <c r="J6" s="194"/>
      <c r="K6" s="194"/>
      <c r="M6" s="193" t="s">
        <v>200</v>
      </c>
      <c r="N6" s="193"/>
      <c r="O6" s="193"/>
      <c r="P6" s="193"/>
      <c r="Q6" s="193"/>
      <c r="S6" s="194" t="s">
        <v>194</v>
      </c>
      <c r="T6" s="194"/>
      <c r="U6" s="194"/>
      <c r="V6" s="194"/>
      <c r="W6" s="194"/>
      <c r="Y6" s="193" t="s">
        <v>188</v>
      </c>
      <c r="Z6" s="193"/>
      <c r="AA6" s="193"/>
      <c r="AB6" s="193"/>
      <c r="AC6" s="193"/>
    </row>
    <row r="7" spans="1:32" x14ac:dyDescent="0.25">
      <c r="A7" s="110" t="s">
        <v>84</v>
      </c>
      <c r="B7" s="99" t="s">
        <v>8</v>
      </c>
      <c r="C7" s="99" t="s">
        <v>54</v>
      </c>
      <c r="D7" s="99" t="s">
        <v>127</v>
      </c>
      <c r="E7" s="111" t="s">
        <v>135</v>
      </c>
      <c r="G7" s="1" t="s">
        <v>5</v>
      </c>
      <c r="H7" s="2">
        <v>1</v>
      </c>
      <c r="I7" s="2" t="s">
        <v>53</v>
      </c>
      <c r="J7" s="2">
        <v>0</v>
      </c>
      <c r="K7" s="1" t="s">
        <v>12</v>
      </c>
      <c r="M7" s="1" t="s">
        <v>5</v>
      </c>
      <c r="N7" s="2">
        <v>1</v>
      </c>
      <c r="O7" s="2" t="s">
        <v>53</v>
      </c>
      <c r="P7" s="2">
        <v>0</v>
      </c>
      <c r="Q7" s="1" t="s">
        <v>12</v>
      </c>
      <c r="S7" s="1" t="s">
        <v>5</v>
      </c>
      <c r="T7" s="2">
        <v>1</v>
      </c>
      <c r="U7" s="2" t="s">
        <v>53</v>
      </c>
      <c r="V7" s="2">
        <v>0</v>
      </c>
      <c r="W7" s="1" t="s">
        <v>12</v>
      </c>
      <c r="Y7" s="1" t="s">
        <v>5</v>
      </c>
      <c r="Z7" s="2">
        <v>3</v>
      </c>
      <c r="AA7" s="2" t="s">
        <v>53</v>
      </c>
      <c r="AB7" s="2">
        <v>0</v>
      </c>
      <c r="AC7" s="1" t="s">
        <v>12</v>
      </c>
    </row>
    <row r="8" spans="1:32" x14ac:dyDescent="0.25">
      <c r="A8" s="105" t="s">
        <v>83</v>
      </c>
      <c r="B8" s="99" t="s">
        <v>8</v>
      </c>
      <c r="C8" s="99" t="s">
        <v>19</v>
      </c>
      <c r="D8" s="99" t="s">
        <v>133</v>
      </c>
      <c r="E8" s="106" t="s">
        <v>130</v>
      </c>
      <c r="G8" s="1" t="s">
        <v>17</v>
      </c>
      <c r="H8" s="2">
        <v>2</v>
      </c>
      <c r="I8" s="2" t="s">
        <v>53</v>
      </c>
      <c r="J8" s="2">
        <v>0</v>
      </c>
      <c r="K8" s="1" t="s">
        <v>23</v>
      </c>
      <c r="M8" s="1" t="s">
        <v>17</v>
      </c>
      <c r="N8" s="2">
        <v>1</v>
      </c>
      <c r="O8" s="2" t="s">
        <v>53</v>
      </c>
      <c r="P8" s="2">
        <v>0</v>
      </c>
      <c r="Q8" s="1" t="s">
        <v>23</v>
      </c>
      <c r="S8" s="1" t="s">
        <v>17</v>
      </c>
      <c r="T8" s="2">
        <v>1</v>
      </c>
      <c r="U8" s="2" t="s">
        <v>53</v>
      </c>
      <c r="V8" s="2">
        <v>0</v>
      </c>
      <c r="W8" s="1" t="s">
        <v>23</v>
      </c>
      <c r="Y8" s="1" t="s">
        <v>17</v>
      </c>
      <c r="Z8" s="2">
        <v>1</v>
      </c>
      <c r="AA8" s="2" t="s">
        <v>53</v>
      </c>
      <c r="AB8" s="2">
        <v>0</v>
      </c>
      <c r="AC8" s="1" t="s">
        <v>23</v>
      </c>
    </row>
    <row r="9" spans="1:32" x14ac:dyDescent="0.25">
      <c r="A9" s="110" t="s">
        <v>82</v>
      </c>
      <c r="B9" s="99" t="s">
        <v>15</v>
      </c>
      <c r="C9" s="99" t="s">
        <v>6</v>
      </c>
      <c r="D9" s="99" t="s">
        <v>127</v>
      </c>
      <c r="E9" s="111" t="s">
        <v>132</v>
      </c>
      <c r="G9" s="120"/>
      <c r="H9" s="121"/>
      <c r="I9" s="121"/>
      <c r="J9" s="121"/>
      <c r="K9" s="120"/>
      <c r="M9" s="120"/>
      <c r="N9" s="121"/>
      <c r="O9" s="121"/>
      <c r="P9" s="121"/>
      <c r="Q9" s="120"/>
      <c r="S9" s="120"/>
      <c r="T9" s="121"/>
      <c r="U9" s="121"/>
      <c r="V9" s="121"/>
      <c r="W9" s="120"/>
      <c r="Y9" s="120"/>
      <c r="Z9" s="120"/>
      <c r="AA9" s="120"/>
      <c r="AB9" s="120"/>
      <c r="AC9" s="120"/>
    </row>
    <row r="10" spans="1:32" x14ac:dyDescent="0.25">
      <c r="A10" s="105" t="s">
        <v>81</v>
      </c>
      <c r="B10" s="99" t="s">
        <v>8</v>
      </c>
      <c r="C10" s="91" t="s">
        <v>5</v>
      </c>
      <c r="D10" s="99" t="s">
        <v>127</v>
      </c>
      <c r="E10" s="111" t="s">
        <v>131</v>
      </c>
      <c r="G10" s="193" t="s">
        <v>205</v>
      </c>
      <c r="H10" s="193"/>
      <c r="I10" s="193"/>
      <c r="J10" s="193"/>
      <c r="K10" s="193"/>
      <c r="M10" s="194" t="s">
        <v>199</v>
      </c>
      <c r="N10" s="194"/>
      <c r="O10" s="194"/>
      <c r="P10" s="194"/>
      <c r="Q10" s="194"/>
      <c r="S10" s="193" t="s">
        <v>193</v>
      </c>
      <c r="T10" s="193"/>
      <c r="U10" s="193"/>
      <c r="V10" s="193"/>
      <c r="W10" s="193"/>
      <c r="Y10" s="194" t="s">
        <v>187</v>
      </c>
      <c r="Z10" s="194"/>
      <c r="AA10" s="194"/>
      <c r="AB10" s="194"/>
      <c r="AC10" s="194"/>
    </row>
    <row r="11" spans="1:32" x14ac:dyDescent="0.25">
      <c r="A11" s="107" t="s">
        <v>80</v>
      </c>
      <c r="B11" s="99" t="s">
        <v>8</v>
      </c>
      <c r="C11" s="99" t="s">
        <v>19</v>
      </c>
      <c r="D11" s="99" t="s">
        <v>127</v>
      </c>
      <c r="E11" s="106" t="s">
        <v>130</v>
      </c>
      <c r="G11" s="1" t="s">
        <v>5</v>
      </c>
      <c r="H11" s="2">
        <v>0</v>
      </c>
      <c r="I11" s="2" t="s">
        <v>53</v>
      </c>
      <c r="J11" s="2">
        <v>1</v>
      </c>
      <c r="K11" s="1" t="s">
        <v>12</v>
      </c>
      <c r="M11" s="1" t="s">
        <v>5</v>
      </c>
      <c r="N11" s="2">
        <v>1</v>
      </c>
      <c r="O11" s="2" t="s">
        <v>53</v>
      </c>
      <c r="P11" s="2">
        <v>1</v>
      </c>
      <c r="Q11" s="1" t="s">
        <v>12</v>
      </c>
      <c r="S11" s="1" t="s">
        <v>5</v>
      </c>
      <c r="T11" s="2">
        <v>1</v>
      </c>
      <c r="U11" s="2" t="s">
        <v>53</v>
      </c>
      <c r="V11" s="2">
        <v>0</v>
      </c>
      <c r="W11" s="1" t="s">
        <v>12</v>
      </c>
      <c r="Y11" s="1" t="s">
        <v>5</v>
      </c>
      <c r="Z11" s="2">
        <v>1</v>
      </c>
      <c r="AA11" s="2" t="s">
        <v>53</v>
      </c>
      <c r="AB11" s="2">
        <v>0</v>
      </c>
      <c r="AC11" s="1" t="s">
        <v>12</v>
      </c>
    </row>
    <row r="12" spans="1:32" x14ac:dyDescent="0.25">
      <c r="A12" s="105" t="s">
        <v>79</v>
      </c>
      <c r="B12" s="99" t="s">
        <v>8</v>
      </c>
      <c r="C12" s="91" t="s">
        <v>5</v>
      </c>
      <c r="D12" s="99" t="s">
        <v>127</v>
      </c>
      <c r="E12" s="111" t="s">
        <v>131</v>
      </c>
      <c r="G12" s="1" t="s">
        <v>17</v>
      </c>
      <c r="H12" s="2">
        <v>1</v>
      </c>
      <c r="I12" s="2" t="s">
        <v>53</v>
      </c>
      <c r="J12" s="2">
        <v>1</v>
      </c>
      <c r="K12" s="1" t="s">
        <v>23</v>
      </c>
      <c r="M12" s="1" t="s">
        <v>17</v>
      </c>
      <c r="N12" s="2">
        <v>2</v>
      </c>
      <c r="O12" s="2" t="s">
        <v>53</v>
      </c>
      <c r="P12" s="2">
        <v>1</v>
      </c>
      <c r="Q12" s="1" t="s">
        <v>23</v>
      </c>
      <c r="S12" s="1" t="s">
        <v>17</v>
      </c>
      <c r="T12" s="2">
        <v>0</v>
      </c>
      <c r="U12" s="2" t="s">
        <v>53</v>
      </c>
      <c r="V12" s="2">
        <v>1</v>
      </c>
      <c r="W12" s="1" t="s">
        <v>23</v>
      </c>
      <c r="Y12" s="1" t="s">
        <v>17</v>
      </c>
      <c r="Z12" s="2">
        <v>2</v>
      </c>
      <c r="AA12" s="2" t="s">
        <v>53</v>
      </c>
      <c r="AB12" s="2">
        <v>0</v>
      </c>
      <c r="AC12" s="1" t="s">
        <v>23</v>
      </c>
    </row>
    <row r="13" spans="1:32" x14ac:dyDescent="0.25">
      <c r="A13" s="107" t="s">
        <v>78</v>
      </c>
      <c r="B13" s="99" t="s">
        <v>8</v>
      </c>
      <c r="C13" s="99" t="s">
        <v>4</v>
      </c>
      <c r="D13" s="108" t="s">
        <v>128</v>
      </c>
      <c r="E13" s="111" t="s">
        <v>133</v>
      </c>
      <c r="G13" s="120"/>
      <c r="H13" s="121"/>
      <c r="I13" s="121"/>
      <c r="J13" s="121"/>
      <c r="K13" s="120"/>
      <c r="M13" s="120"/>
      <c r="N13" s="121"/>
      <c r="O13" s="121"/>
      <c r="P13" s="121"/>
      <c r="Q13" s="120"/>
      <c r="S13" s="120"/>
      <c r="T13" s="121"/>
      <c r="U13" s="121"/>
      <c r="V13" s="121"/>
      <c r="W13" s="120"/>
      <c r="Y13" s="120"/>
      <c r="Z13" s="120"/>
      <c r="AA13" s="120"/>
      <c r="AB13" s="120"/>
      <c r="AC13" s="120"/>
    </row>
    <row r="14" spans="1:32" x14ac:dyDescent="0.25">
      <c r="A14" s="105" t="s">
        <v>94</v>
      </c>
      <c r="B14" s="99" t="s">
        <v>8</v>
      </c>
      <c r="C14" s="91" t="s">
        <v>17</v>
      </c>
      <c r="D14" s="99" t="s">
        <v>127</v>
      </c>
      <c r="E14" s="106" t="s">
        <v>130</v>
      </c>
      <c r="G14" s="194" t="s">
        <v>204</v>
      </c>
      <c r="H14" s="194"/>
      <c r="I14" s="194"/>
      <c r="J14" s="194"/>
      <c r="K14" s="194"/>
      <c r="M14" s="193" t="s">
        <v>198</v>
      </c>
      <c r="N14" s="193"/>
      <c r="O14" s="193"/>
      <c r="P14" s="193"/>
      <c r="Q14" s="193"/>
      <c r="S14" s="194" t="s">
        <v>192</v>
      </c>
      <c r="T14" s="194"/>
      <c r="U14" s="194"/>
      <c r="V14" s="194"/>
      <c r="W14" s="194"/>
      <c r="Y14" s="193" t="s">
        <v>186</v>
      </c>
      <c r="Z14" s="193"/>
      <c r="AA14" s="193"/>
      <c r="AB14" s="193"/>
      <c r="AC14" s="193"/>
    </row>
    <row r="15" spans="1:32" x14ac:dyDescent="0.25">
      <c r="A15" s="107" t="s">
        <v>76</v>
      </c>
      <c r="B15" s="99" t="s">
        <v>8</v>
      </c>
      <c r="C15" s="108" t="s">
        <v>5</v>
      </c>
      <c r="D15" s="99" t="s">
        <v>133</v>
      </c>
      <c r="E15" s="109" t="s">
        <v>130</v>
      </c>
      <c r="G15" s="1" t="s">
        <v>5</v>
      </c>
      <c r="H15" s="2">
        <v>2</v>
      </c>
      <c r="I15" s="2" t="s">
        <v>53</v>
      </c>
      <c r="J15" s="2">
        <v>1</v>
      </c>
      <c r="K15" s="1" t="s">
        <v>12</v>
      </c>
      <c r="M15" s="1" t="s">
        <v>5</v>
      </c>
      <c r="N15" s="2">
        <v>0</v>
      </c>
      <c r="O15" s="2" t="s">
        <v>53</v>
      </c>
      <c r="P15" s="2">
        <v>2</v>
      </c>
      <c r="Q15" s="1" t="s">
        <v>12</v>
      </c>
      <c r="S15" s="1" t="s">
        <v>5</v>
      </c>
      <c r="T15" s="2">
        <v>1</v>
      </c>
      <c r="U15" s="2" t="s">
        <v>53</v>
      </c>
      <c r="V15" s="2">
        <v>0</v>
      </c>
      <c r="W15" s="1" t="s">
        <v>12</v>
      </c>
      <c r="Y15" s="1" t="s">
        <v>5</v>
      </c>
      <c r="Z15" s="2">
        <v>1</v>
      </c>
      <c r="AA15" s="2" t="s">
        <v>53</v>
      </c>
      <c r="AB15" s="2">
        <v>1</v>
      </c>
      <c r="AC15" s="1" t="s">
        <v>12</v>
      </c>
    </row>
    <row r="16" spans="1:32" x14ac:dyDescent="0.25">
      <c r="A16" s="105" t="s">
        <v>75</v>
      </c>
      <c r="B16" s="99" t="s">
        <v>8</v>
      </c>
      <c r="C16" s="91" t="s">
        <v>5</v>
      </c>
      <c r="D16" s="91" t="s">
        <v>130</v>
      </c>
      <c r="E16" s="111" t="s">
        <v>136</v>
      </c>
      <c r="G16" s="1" t="s">
        <v>17</v>
      </c>
      <c r="H16" s="2">
        <v>2</v>
      </c>
      <c r="I16" s="2" t="s">
        <v>53</v>
      </c>
      <c r="J16" s="2">
        <v>1</v>
      </c>
      <c r="K16" s="1" t="s">
        <v>23</v>
      </c>
      <c r="M16" s="1" t="s">
        <v>17</v>
      </c>
      <c r="N16" s="2">
        <v>1</v>
      </c>
      <c r="O16" s="2" t="s">
        <v>53</v>
      </c>
      <c r="P16" s="2">
        <v>0</v>
      </c>
      <c r="Q16" s="1" t="s">
        <v>23</v>
      </c>
      <c r="S16" s="1" t="s">
        <v>17</v>
      </c>
      <c r="T16" s="2">
        <v>2</v>
      </c>
      <c r="U16" s="2" t="s">
        <v>53</v>
      </c>
      <c r="V16" s="2">
        <v>0</v>
      </c>
      <c r="W16" s="1" t="s">
        <v>23</v>
      </c>
      <c r="Y16" s="1" t="s">
        <v>17</v>
      </c>
      <c r="Z16" s="2">
        <v>2</v>
      </c>
      <c r="AA16" s="2" t="s">
        <v>53</v>
      </c>
      <c r="AB16" s="2">
        <v>0</v>
      </c>
      <c r="AC16" s="1" t="s">
        <v>23</v>
      </c>
    </row>
    <row r="17" spans="1:29" x14ac:dyDescent="0.25">
      <c r="A17" s="110" t="s">
        <v>74</v>
      </c>
      <c r="B17" s="99" t="s">
        <v>8</v>
      </c>
      <c r="C17" s="99" t="s">
        <v>15</v>
      </c>
      <c r="D17" s="99" t="s">
        <v>138</v>
      </c>
      <c r="E17" s="111" t="s">
        <v>137</v>
      </c>
      <c r="G17" s="120"/>
      <c r="H17" s="121"/>
      <c r="I17" s="121"/>
      <c r="J17" s="121"/>
      <c r="K17" s="120"/>
      <c r="M17" s="120"/>
      <c r="N17" s="121"/>
      <c r="O17" s="121"/>
      <c r="P17" s="121"/>
      <c r="Q17" s="120"/>
      <c r="S17" s="120"/>
      <c r="T17" s="121"/>
      <c r="U17" s="121"/>
      <c r="V17" s="121"/>
      <c r="W17" s="120"/>
      <c r="Y17" s="120"/>
      <c r="Z17" s="120"/>
      <c r="AA17" s="120"/>
      <c r="AB17" s="120"/>
      <c r="AC17" s="120"/>
    </row>
    <row r="18" spans="1:29" x14ac:dyDescent="0.25">
      <c r="A18" s="105" t="s">
        <v>73</v>
      </c>
      <c r="B18" s="99" t="s">
        <v>8</v>
      </c>
      <c r="C18" s="91" t="s">
        <v>17</v>
      </c>
      <c r="D18" s="99" t="s">
        <v>137</v>
      </c>
      <c r="E18" s="111" t="s">
        <v>138</v>
      </c>
      <c r="G18" s="193" t="s">
        <v>203</v>
      </c>
      <c r="H18" s="193"/>
      <c r="I18" s="193"/>
      <c r="J18" s="193"/>
      <c r="K18" s="193"/>
      <c r="M18" s="194" t="s">
        <v>197</v>
      </c>
      <c r="N18" s="194"/>
      <c r="O18" s="194"/>
      <c r="P18" s="194"/>
      <c r="Q18" s="194"/>
      <c r="S18" s="193" t="s">
        <v>191</v>
      </c>
      <c r="T18" s="193"/>
      <c r="U18" s="193"/>
      <c r="V18" s="193"/>
      <c r="W18" s="193"/>
      <c r="Y18" s="194" t="s">
        <v>185</v>
      </c>
      <c r="Z18" s="194"/>
      <c r="AA18" s="194"/>
      <c r="AB18" s="194"/>
      <c r="AC18" s="194"/>
    </row>
    <row r="19" spans="1:29" x14ac:dyDescent="0.25">
      <c r="A19" s="107" t="s">
        <v>71</v>
      </c>
      <c r="B19" s="99" t="s">
        <v>8</v>
      </c>
      <c r="C19" s="108" t="s">
        <v>5</v>
      </c>
      <c r="D19" s="99" t="s">
        <v>127</v>
      </c>
      <c r="E19" s="109" t="s">
        <v>128</v>
      </c>
      <c r="G19" s="1" t="s">
        <v>5</v>
      </c>
      <c r="H19" s="2">
        <v>2</v>
      </c>
      <c r="I19" s="2" t="s">
        <v>53</v>
      </c>
      <c r="J19" s="2">
        <v>2</v>
      </c>
      <c r="K19" s="1" t="s">
        <v>12</v>
      </c>
      <c r="M19" s="1" t="s">
        <v>5</v>
      </c>
      <c r="N19" s="2">
        <v>1</v>
      </c>
      <c r="O19" s="2" t="s">
        <v>53</v>
      </c>
      <c r="P19" s="2">
        <v>0</v>
      </c>
      <c r="Q19" s="1" t="s">
        <v>12</v>
      </c>
      <c r="S19" s="1" t="s">
        <v>5</v>
      </c>
      <c r="T19" s="2">
        <v>2</v>
      </c>
      <c r="U19" s="2" t="s">
        <v>53</v>
      </c>
      <c r="V19" s="2">
        <v>1</v>
      </c>
      <c r="W19" s="1" t="s">
        <v>12</v>
      </c>
      <c r="Y19" s="1" t="s">
        <v>5</v>
      </c>
      <c r="Z19" s="2">
        <v>2</v>
      </c>
      <c r="AA19" s="2" t="s">
        <v>53</v>
      </c>
      <c r="AB19" s="2">
        <v>0</v>
      </c>
      <c r="AC19" s="1" t="s">
        <v>12</v>
      </c>
    </row>
    <row r="20" spans="1:29" x14ac:dyDescent="0.25">
      <c r="A20" s="105" t="s">
        <v>72</v>
      </c>
      <c r="B20" s="99" t="s">
        <v>8</v>
      </c>
      <c r="C20" s="91" t="s">
        <v>5</v>
      </c>
      <c r="D20" s="91" t="s">
        <v>128</v>
      </c>
      <c r="E20" s="111" t="s">
        <v>136</v>
      </c>
      <c r="G20" s="1" t="s">
        <v>17</v>
      </c>
      <c r="H20" s="2">
        <v>1</v>
      </c>
      <c r="I20" s="2" t="s">
        <v>53</v>
      </c>
      <c r="J20" s="2">
        <v>2</v>
      </c>
      <c r="K20" s="1" t="s">
        <v>23</v>
      </c>
      <c r="M20" s="1" t="s">
        <v>17</v>
      </c>
      <c r="N20" s="2">
        <v>2</v>
      </c>
      <c r="O20" s="2" t="s">
        <v>53</v>
      </c>
      <c r="P20" s="2">
        <v>1</v>
      </c>
      <c r="Q20" s="1" t="s">
        <v>23</v>
      </c>
      <c r="S20" s="1" t="s">
        <v>17</v>
      </c>
      <c r="T20" s="2">
        <v>1</v>
      </c>
      <c r="U20" s="2" t="s">
        <v>53</v>
      </c>
      <c r="V20" s="2">
        <v>0</v>
      </c>
      <c r="W20" s="1" t="s">
        <v>23</v>
      </c>
      <c r="Y20" s="1" t="s">
        <v>17</v>
      </c>
      <c r="Z20" s="2">
        <v>3</v>
      </c>
      <c r="AA20" s="2" t="s">
        <v>53</v>
      </c>
      <c r="AB20" s="2">
        <v>0</v>
      </c>
      <c r="AC20" s="1" t="s">
        <v>23</v>
      </c>
    </row>
    <row r="21" spans="1:29" x14ac:dyDescent="0.25">
      <c r="A21" s="107" t="s">
        <v>69</v>
      </c>
      <c r="B21" s="108" t="s">
        <v>17</v>
      </c>
      <c r="C21" s="99" t="s">
        <v>7</v>
      </c>
      <c r="D21" s="108" t="s">
        <v>128</v>
      </c>
      <c r="E21" s="109" t="s">
        <v>130</v>
      </c>
      <c r="G21" s="120"/>
      <c r="H21" s="121"/>
      <c r="I21" s="121"/>
      <c r="J21" s="121"/>
      <c r="K21" s="120"/>
      <c r="M21" s="120"/>
      <c r="N21" s="121"/>
      <c r="O21" s="121"/>
      <c r="P21" s="121"/>
      <c r="Q21" s="120"/>
      <c r="S21" s="120"/>
      <c r="T21" s="121"/>
      <c r="U21" s="121"/>
      <c r="V21" s="121"/>
      <c r="W21" s="120"/>
      <c r="Y21" s="120"/>
      <c r="Z21" s="120"/>
      <c r="AA21" s="120"/>
      <c r="AB21" s="120"/>
      <c r="AC21" s="120"/>
    </row>
    <row r="22" spans="1:29" x14ac:dyDescent="0.25">
      <c r="A22" s="110" t="s">
        <v>92</v>
      </c>
      <c r="B22" s="99" t="s">
        <v>20</v>
      </c>
      <c r="C22" s="99" t="s">
        <v>8</v>
      </c>
      <c r="D22" s="99" t="s">
        <v>137</v>
      </c>
      <c r="E22" s="111" t="s">
        <v>127</v>
      </c>
      <c r="G22" s="194" t="s">
        <v>202</v>
      </c>
      <c r="H22" s="194"/>
      <c r="I22" s="194"/>
      <c r="J22" s="194"/>
      <c r="K22" s="194"/>
      <c r="M22" s="193" t="s">
        <v>196</v>
      </c>
      <c r="N22" s="193"/>
      <c r="O22" s="193"/>
      <c r="P22" s="193"/>
      <c r="Q22" s="193"/>
      <c r="S22" s="194" t="s">
        <v>190</v>
      </c>
      <c r="T22" s="194"/>
      <c r="U22" s="194"/>
      <c r="V22" s="194"/>
      <c r="W22" s="194"/>
      <c r="Y22" s="120"/>
      <c r="Z22" s="120"/>
      <c r="AA22" s="120"/>
      <c r="AB22" s="120"/>
      <c r="AC22" s="120"/>
    </row>
    <row r="23" spans="1:29" x14ac:dyDescent="0.25">
      <c r="A23" s="107" t="s">
        <v>91</v>
      </c>
      <c r="B23" s="99" t="s">
        <v>8</v>
      </c>
      <c r="C23" s="99" t="s">
        <v>7</v>
      </c>
      <c r="D23" s="99" t="s">
        <v>127</v>
      </c>
      <c r="E23" s="109" t="s">
        <v>128</v>
      </c>
      <c r="G23" s="1" t="s">
        <v>5</v>
      </c>
      <c r="H23" s="2">
        <v>2</v>
      </c>
      <c r="J23" s="2">
        <v>2</v>
      </c>
      <c r="K23" s="1" t="s">
        <v>12</v>
      </c>
      <c r="M23" s="1" t="s">
        <v>5</v>
      </c>
      <c r="N23" s="2">
        <v>2</v>
      </c>
      <c r="O23" s="2" t="s">
        <v>53</v>
      </c>
      <c r="P23" s="2">
        <v>0</v>
      </c>
      <c r="Q23" s="1" t="s">
        <v>12</v>
      </c>
      <c r="S23" s="1" t="s">
        <v>5</v>
      </c>
      <c r="T23" s="2">
        <v>1</v>
      </c>
      <c r="U23" s="2" t="s">
        <v>53</v>
      </c>
      <c r="V23" s="2">
        <v>0</v>
      </c>
      <c r="W23" s="1" t="s">
        <v>12</v>
      </c>
      <c r="Y23" s="120"/>
      <c r="Z23" s="120"/>
      <c r="AA23" s="120"/>
      <c r="AB23" s="120"/>
      <c r="AC23" s="120"/>
    </row>
    <row r="24" spans="1:29" x14ac:dyDescent="0.25">
      <c r="A24" s="112" t="s">
        <v>70</v>
      </c>
      <c r="B24" s="113" t="s">
        <v>8</v>
      </c>
      <c r="C24" s="114" t="s">
        <v>5</v>
      </c>
      <c r="D24" s="113" t="s">
        <v>127</v>
      </c>
      <c r="E24" s="115" t="s">
        <v>136</v>
      </c>
      <c r="G24" s="1" t="s">
        <v>17</v>
      </c>
      <c r="H24" s="2">
        <v>2</v>
      </c>
      <c r="J24" s="2">
        <v>1</v>
      </c>
      <c r="K24" s="1" t="s">
        <v>23</v>
      </c>
      <c r="M24" s="1" t="s">
        <v>17</v>
      </c>
      <c r="N24" s="2">
        <v>0</v>
      </c>
      <c r="O24" s="2" t="s">
        <v>53</v>
      </c>
      <c r="P24" s="2">
        <v>1</v>
      </c>
      <c r="Q24" s="1" t="s">
        <v>23</v>
      </c>
      <c r="S24" s="1" t="s">
        <v>17</v>
      </c>
      <c r="T24" s="2">
        <v>2</v>
      </c>
      <c r="U24" s="2" t="s">
        <v>53</v>
      </c>
      <c r="V24" s="2">
        <v>1</v>
      </c>
      <c r="W24" s="1" t="s">
        <v>23</v>
      </c>
      <c r="Y24" s="120"/>
      <c r="Z24" s="120"/>
      <c r="AA24" s="120"/>
      <c r="AB24" s="120"/>
      <c r="AC24" s="120"/>
    </row>
    <row r="25" spans="1:29" x14ac:dyDescent="0.25">
      <c r="G25" s="120"/>
      <c r="H25" s="121"/>
      <c r="I25" s="121"/>
      <c r="J25" s="121"/>
      <c r="K25" s="120"/>
      <c r="M25" s="120"/>
      <c r="N25" s="120"/>
      <c r="O25" s="120"/>
      <c r="P25" s="120"/>
      <c r="Q25" s="120"/>
      <c r="S25" s="120"/>
      <c r="T25" s="120"/>
      <c r="U25" s="120"/>
      <c r="V25" s="120"/>
      <c r="W25" s="120"/>
    </row>
    <row r="84" spans="7:11" x14ac:dyDescent="0.25">
      <c r="G84" s="36"/>
      <c r="H84" s="118"/>
      <c r="I84" s="118"/>
      <c r="J84" s="118"/>
      <c r="K84" s="36"/>
    </row>
  </sheetData>
  <mergeCells count="23">
    <mergeCell ref="S22:W22"/>
    <mergeCell ref="S18:W18"/>
    <mergeCell ref="S14:W14"/>
    <mergeCell ref="Y18:AC18"/>
    <mergeCell ref="Y14:AC14"/>
    <mergeCell ref="Y10:AC10"/>
    <mergeCell ref="Y6:AC6"/>
    <mergeCell ref="Y2:AC2"/>
    <mergeCell ref="S10:W10"/>
    <mergeCell ref="S6:W6"/>
    <mergeCell ref="G10:K10"/>
    <mergeCell ref="G6:K6"/>
    <mergeCell ref="S2:W2"/>
    <mergeCell ref="G2:K2"/>
    <mergeCell ref="M10:Q10"/>
    <mergeCell ref="M6:Q6"/>
    <mergeCell ref="M2:Q2"/>
    <mergeCell ref="G22:K22"/>
    <mergeCell ref="G18:K18"/>
    <mergeCell ref="G14:K14"/>
    <mergeCell ref="M22:Q22"/>
    <mergeCell ref="M18:Q18"/>
    <mergeCell ref="M14:Q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140625" style="51" customWidth="1"/>
    <col min="32" max="42" width="5.140625" style="17" customWidth="1"/>
    <col min="43" max="16384" width="9.140625" style="17"/>
  </cols>
  <sheetData>
    <row r="1" spans="1:31" x14ac:dyDescent="0.25">
      <c r="A1" s="197" t="s">
        <v>58</v>
      </c>
      <c r="B1" s="197"/>
      <c r="C1" s="197"/>
      <c r="D1" s="197"/>
      <c r="E1" s="19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76">
        <v>1</v>
      </c>
      <c r="C2" s="76" t="s">
        <v>53</v>
      </c>
      <c r="D2" s="76">
        <v>1</v>
      </c>
      <c r="E2" s="19" t="s">
        <v>14</v>
      </c>
      <c r="H2" s="116">
        <v>0</v>
      </c>
      <c r="I2" s="116"/>
      <c r="J2" s="119" t="str">
        <f>IF(Tabela!F3="","",Tabela!F3)</f>
        <v/>
      </c>
      <c r="K2" s="116" t="str">
        <f>Tabela!A3</f>
        <v>Catar</v>
      </c>
      <c r="L2" s="116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70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76">
        <v>1</v>
      </c>
      <c r="C3" s="76" t="s">
        <v>53</v>
      </c>
      <c r="D3" s="76">
        <v>2</v>
      </c>
      <c r="E3" s="19" t="s">
        <v>19</v>
      </c>
      <c r="H3" s="16">
        <v>15</v>
      </c>
      <c r="J3" s="21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76">
        <v>1</v>
      </c>
      <c r="C4" s="76" t="s">
        <v>53</v>
      </c>
      <c r="D4" s="76">
        <v>1</v>
      </c>
      <c r="E4" s="19" t="s">
        <v>28</v>
      </c>
      <c r="H4" s="16">
        <v>5</v>
      </c>
      <c r="J4" s="21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76">
        <v>2</v>
      </c>
      <c r="C5" s="76" t="s">
        <v>53</v>
      </c>
      <c r="D5" s="76">
        <v>1</v>
      </c>
      <c r="E5" s="19" t="s">
        <v>14</v>
      </c>
      <c r="H5" s="16">
        <v>5</v>
      </c>
      <c r="J5" s="21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76">
        <v>2</v>
      </c>
      <c r="C6" s="76" t="s">
        <v>53</v>
      </c>
      <c r="D6" s="76">
        <v>1</v>
      </c>
      <c r="E6" s="19" t="s">
        <v>11</v>
      </c>
      <c r="H6" s="16">
        <v>15</v>
      </c>
      <c r="J6" s="21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76">
        <v>1</v>
      </c>
      <c r="C7" s="76" t="s">
        <v>53</v>
      </c>
      <c r="D7" s="76">
        <v>2</v>
      </c>
      <c r="E7" s="19" t="s">
        <v>28</v>
      </c>
      <c r="H7" s="16">
        <v>25</v>
      </c>
      <c r="J7" s="21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7" t="s">
        <v>65</v>
      </c>
      <c r="B8" s="197"/>
      <c r="C8" s="197"/>
      <c r="D8" s="197"/>
      <c r="E8" s="197"/>
      <c r="J8" s="21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76">
        <v>2</v>
      </c>
      <c r="C9" s="76" t="s">
        <v>53</v>
      </c>
      <c r="D9" s="76">
        <v>1</v>
      </c>
      <c r="E9" s="19" t="s">
        <v>21</v>
      </c>
      <c r="H9" s="16">
        <v>10</v>
      </c>
      <c r="J9" s="21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76">
        <v>1</v>
      </c>
      <c r="C10" s="76" t="s">
        <v>53</v>
      </c>
      <c r="D10" s="76">
        <v>1</v>
      </c>
      <c r="E10" s="19" t="s">
        <v>34</v>
      </c>
      <c r="H10" s="16">
        <v>25</v>
      </c>
      <c r="J10" s="21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14</v>
      </c>
      <c r="X10" s="126"/>
      <c r="Y10" s="126"/>
      <c r="Z10" s="51">
        <v>1</v>
      </c>
      <c r="AB10" s="51">
        <v>2</v>
      </c>
      <c r="AC10" s="126" t="s">
        <v>28</v>
      </c>
      <c r="AD10" s="126"/>
      <c r="AE10" s="126"/>
    </row>
    <row r="11" spans="1:31" ht="15" customHeight="1" x14ac:dyDescent="0.25">
      <c r="A11" s="18" t="s">
        <v>34</v>
      </c>
      <c r="B11" s="76">
        <v>0</v>
      </c>
      <c r="C11" s="76" t="s">
        <v>53</v>
      </c>
      <c r="D11" s="76">
        <v>0</v>
      </c>
      <c r="E11" s="19" t="s">
        <v>21</v>
      </c>
      <c r="H11" s="16">
        <v>5</v>
      </c>
      <c r="J11" s="21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600</v>
      </c>
      <c r="R11" s="203"/>
      <c r="S11" s="203"/>
      <c r="T11" s="203"/>
      <c r="U11" s="203"/>
      <c r="W11" s="126" t="s">
        <v>16</v>
      </c>
      <c r="X11" s="126"/>
      <c r="Y11" s="126"/>
      <c r="Z11" s="51">
        <v>1</v>
      </c>
      <c r="AB11" s="51">
        <v>1</v>
      </c>
      <c r="AC11" s="126" t="s">
        <v>34</v>
      </c>
      <c r="AD11" s="126"/>
      <c r="AE11" s="126"/>
    </row>
    <row r="12" spans="1:31" ht="15" customHeight="1" x14ac:dyDescent="0.25">
      <c r="A12" s="18" t="s">
        <v>20</v>
      </c>
      <c r="B12" s="76">
        <v>2</v>
      </c>
      <c r="C12" s="76" t="s">
        <v>53</v>
      </c>
      <c r="D12" s="76">
        <v>0</v>
      </c>
      <c r="E12" s="19" t="s">
        <v>54</v>
      </c>
      <c r="H12" s="16">
        <v>5</v>
      </c>
      <c r="J12" s="21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5</v>
      </c>
      <c r="X12" s="126"/>
      <c r="Y12" s="126"/>
      <c r="Z12" s="51">
        <v>2</v>
      </c>
      <c r="AB12" s="51">
        <v>0</v>
      </c>
      <c r="AC12" s="126" t="s">
        <v>24</v>
      </c>
      <c r="AD12" s="126"/>
      <c r="AE12" s="126"/>
    </row>
    <row r="13" spans="1:31" ht="15" customHeight="1" x14ac:dyDescent="0.25">
      <c r="A13" s="18" t="s">
        <v>21</v>
      </c>
      <c r="B13" s="76">
        <v>1</v>
      </c>
      <c r="C13" s="76" t="s">
        <v>53</v>
      </c>
      <c r="D13" s="76">
        <v>1</v>
      </c>
      <c r="E13" s="19" t="s">
        <v>54</v>
      </c>
      <c r="H13" s="16">
        <v>5</v>
      </c>
      <c r="J13" s="21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55</v>
      </c>
      <c r="X13" s="126"/>
      <c r="Y13" s="126"/>
      <c r="Z13" s="51">
        <v>1</v>
      </c>
      <c r="AB13" s="51">
        <v>2</v>
      </c>
      <c r="AC13" s="126" t="s">
        <v>24</v>
      </c>
      <c r="AD13" s="126"/>
      <c r="AE13" s="126"/>
    </row>
    <row r="14" spans="1:31" ht="15" customHeight="1" x14ac:dyDescent="0.25">
      <c r="A14" s="18" t="s">
        <v>34</v>
      </c>
      <c r="B14" s="76">
        <v>1</v>
      </c>
      <c r="C14" s="76" t="s">
        <v>53</v>
      </c>
      <c r="D14" s="76">
        <v>2</v>
      </c>
      <c r="E14" s="19" t="s">
        <v>20</v>
      </c>
      <c r="H14" s="16">
        <v>10</v>
      </c>
      <c r="J14" s="21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15</v>
      </c>
      <c r="X14" s="126"/>
      <c r="Y14" s="126"/>
      <c r="Z14" s="51">
        <v>1</v>
      </c>
      <c r="AB14" s="51">
        <v>1</v>
      </c>
      <c r="AC14" s="126" t="s">
        <v>4</v>
      </c>
      <c r="AD14" s="126"/>
      <c r="AE14" s="126"/>
    </row>
    <row r="15" spans="1:31" ht="15" customHeight="1" x14ac:dyDescent="0.25">
      <c r="A15" s="197" t="s">
        <v>64</v>
      </c>
      <c r="B15" s="197"/>
      <c r="C15" s="197"/>
      <c r="D15" s="197"/>
      <c r="E15" s="197"/>
      <c r="J15" s="21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10</v>
      </c>
      <c r="X15" s="126"/>
      <c r="Y15" s="126"/>
      <c r="Z15" s="51">
        <v>1</v>
      </c>
      <c r="AB15" s="51">
        <v>2</v>
      </c>
      <c r="AC15" s="126" t="s">
        <v>23</v>
      </c>
      <c r="AD15" s="126"/>
      <c r="AE15" s="126"/>
    </row>
    <row r="16" spans="1:31" x14ac:dyDescent="0.25">
      <c r="A16" s="18" t="s">
        <v>5</v>
      </c>
      <c r="B16" s="76">
        <v>3</v>
      </c>
      <c r="C16" s="76" t="s">
        <v>53</v>
      </c>
      <c r="D16" s="76">
        <v>1</v>
      </c>
      <c r="E16" s="19" t="s">
        <v>55</v>
      </c>
      <c r="H16" s="16">
        <v>0</v>
      </c>
      <c r="J16" s="21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8</v>
      </c>
      <c r="X16" s="126"/>
      <c r="Y16" s="126"/>
      <c r="Z16" s="51">
        <v>2</v>
      </c>
      <c r="AB16" s="51">
        <v>0</v>
      </c>
      <c r="AC16" s="126" t="s">
        <v>29</v>
      </c>
      <c r="AD16" s="126"/>
      <c r="AE16" s="126"/>
    </row>
    <row r="17" spans="1:31" x14ac:dyDescent="0.25">
      <c r="A17" s="18" t="s">
        <v>24</v>
      </c>
      <c r="B17" s="76">
        <v>1</v>
      </c>
      <c r="C17" s="76" t="s">
        <v>53</v>
      </c>
      <c r="D17" s="76">
        <v>1</v>
      </c>
      <c r="E17" s="19" t="s">
        <v>26</v>
      </c>
      <c r="H17" s="16">
        <v>10</v>
      </c>
      <c r="J17" s="21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 t="s">
        <v>22</v>
      </c>
      <c r="X17" s="126"/>
      <c r="Y17" s="126"/>
      <c r="Z17" s="51">
        <v>1</v>
      </c>
      <c r="AB17" s="51">
        <v>1</v>
      </c>
      <c r="AC17" s="126" t="s">
        <v>12</v>
      </c>
      <c r="AD17" s="126"/>
      <c r="AE17" s="126"/>
    </row>
    <row r="18" spans="1:31" x14ac:dyDescent="0.25">
      <c r="A18" s="18" t="s">
        <v>26</v>
      </c>
      <c r="B18" s="76">
        <v>2</v>
      </c>
      <c r="C18" s="76" t="s">
        <v>53</v>
      </c>
      <c r="D18" s="76">
        <v>1</v>
      </c>
      <c r="E18" s="19" t="s">
        <v>55</v>
      </c>
      <c r="H18" s="16">
        <v>15</v>
      </c>
      <c r="J18" s="21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76">
        <v>2</v>
      </c>
      <c r="C19" s="76" t="s">
        <v>53</v>
      </c>
      <c r="D19" s="76">
        <v>0</v>
      </c>
      <c r="E19" s="19" t="s">
        <v>24</v>
      </c>
      <c r="H19" s="16">
        <v>25</v>
      </c>
      <c r="J19" s="21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12</v>
      </c>
      <c r="S19" s="22">
        <v>14</v>
      </c>
      <c r="T19" s="22">
        <v>16</v>
      </c>
      <c r="U19" s="22">
        <v>12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76">
        <v>1</v>
      </c>
      <c r="C20" s="76" t="s">
        <v>53</v>
      </c>
      <c r="D20" s="76">
        <v>2</v>
      </c>
      <c r="E20" s="19" t="s">
        <v>5</v>
      </c>
      <c r="H20" s="16">
        <v>15</v>
      </c>
      <c r="J20" s="21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76">
        <v>1</v>
      </c>
      <c r="C21" s="76" t="s">
        <v>53</v>
      </c>
      <c r="D21" s="76">
        <v>2</v>
      </c>
      <c r="E21" s="19" t="s">
        <v>24</v>
      </c>
      <c r="H21" s="16">
        <v>25</v>
      </c>
      <c r="J21" s="21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197" t="s">
        <v>63</v>
      </c>
      <c r="B22" s="197"/>
      <c r="C22" s="197"/>
      <c r="D22" s="197"/>
      <c r="E22" s="197"/>
      <c r="J22" s="21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136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76">
        <v>2</v>
      </c>
      <c r="C23" s="76" t="s">
        <v>53</v>
      </c>
      <c r="D23" s="76">
        <v>0</v>
      </c>
      <c r="E23" s="19" t="s">
        <v>31</v>
      </c>
      <c r="H23" s="16">
        <v>5</v>
      </c>
      <c r="J23" s="21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76">
        <v>2</v>
      </c>
      <c r="C24" s="76" t="s">
        <v>53</v>
      </c>
      <c r="D24" s="76">
        <v>1</v>
      </c>
      <c r="E24" s="19" t="s">
        <v>6</v>
      </c>
      <c r="H24" s="16">
        <v>15</v>
      </c>
      <c r="J24" s="21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76">
        <v>1</v>
      </c>
      <c r="C25" s="76" t="s">
        <v>53</v>
      </c>
      <c r="D25" s="76">
        <v>1</v>
      </c>
      <c r="E25" s="19" t="s">
        <v>6</v>
      </c>
      <c r="H25" s="16">
        <v>5</v>
      </c>
      <c r="J25" s="21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76">
        <v>1</v>
      </c>
      <c r="C26" s="76" t="s">
        <v>53</v>
      </c>
      <c r="D26" s="76">
        <v>1</v>
      </c>
      <c r="E26" s="19" t="s">
        <v>13</v>
      </c>
      <c r="H26" s="16">
        <v>5</v>
      </c>
      <c r="J26" s="21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76">
        <v>0</v>
      </c>
      <c r="C27" s="76" t="s">
        <v>53</v>
      </c>
      <c r="D27" s="76">
        <v>1</v>
      </c>
      <c r="E27" s="19" t="s">
        <v>17</v>
      </c>
      <c r="H27" s="16">
        <v>0</v>
      </c>
      <c r="J27" s="21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76">
        <v>1</v>
      </c>
      <c r="C28" s="76" t="s">
        <v>53</v>
      </c>
      <c r="D28" s="76">
        <v>2</v>
      </c>
      <c r="E28" s="19" t="s">
        <v>13</v>
      </c>
      <c r="H28" s="16">
        <v>5</v>
      </c>
      <c r="J28" s="21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197" t="s">
        <v>62</v>
      </c>
      <c r="B29" s="197"/>
      <c r="C29" s="197"/>
      <c r="D29" s="197"/>
      <c r="E29" s="19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76">
        <v>2</v>
      </c>
      <c r="C30" s="76" t="s">
        <v>53</v>
      </c>
      <c r="D30" s="76">
        <v>1</v>
      </c>
      <c r="E30" s="19" t="s">
        <v>22</v>
      </c>
      <c r="H30" s="16">
        <v>0</v>
      </c>
      <c r="J30" s="21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76">
        <v>2</v>
      </c>
      <c r="C31" s="76" t="s">
        <v>53</v>
      </c>
      <c r="D31" s="76">
        <v>0</v>
      </c>
      <c r="E31" s="19" t="s">
        <v>56</v>
      </c>
      <c r="H31" s="16">
        <v>15</v>
      </c>
      <c r="J31" s="21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1</v>
      </c>
      <c r="C32" s="76" t="s">
        <v>53</v>
      </c>
      <c r="D32" s="76">
        <v>0</v>
      </c>
      <c r="E32" s="19" t="s">
        <v>56</v>
      </c>
      <c r="H32" s="16">
        <v>0</v>
      </c>
      <c r="J32" s="21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1</v>
      </c>
      <c r="C33" s="76" t="s">
        <v>53</v>
      </c>
      <c r="D33" s="76">
        <v>1</v>
      </c>
      <c r="E33" s="19" t="s">
        <v>4</v>
      </c>
      <c r="H33" s="16">
        <v>25</v>
      </c>
      <c r="J33" s="21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0</v>
      </c>
      <c r="C34" s="76" t="s">
        <v>53</v>
      </c>
      <c r="D34" s="76">
        <v>1</v>
      </c>
      <c r="E34" s="19" t="s">
        <v>15</v>
      </c>
      <c r="H34" s="16">
        <v>5</v>
      </c>
      <c r="J34" s="21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76" t="s">
        <v>53</v>
      </c>
      <c r="D35" s="76">
        <v>2</v>
      </c>
      <c r="E35" s="19" t="s">
        <v>4</v>
      </c>
      <c r="H35" s="16">
        <v>10</v>
      </c>
      <c r="J35" s="21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7" t="s">
        <v>61</v>
      </c>
      <c r="B36" s="197"/>
      <c r="C36" s="197"/>
      <c r="D36" s="197"/>
      <c r="E36" s="197"/>
      <c r="J36" s="21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76">
        <v>1</v>
      </c>
      <c r="C37" s="76" t="s">
        <v>53</v>
      </c>
      <c r="D37" s="76">
        <v>2</v>
      </c>
      <c r="E37" s="19" t="s">
        <v>12</v>
      </c>
      <c r="H37" s="16">
        <v>0</v>
      </c>
      <c r="J37" s="21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2</v>
      </c>
      <c r="C38" s="76" t="s">
        <v>53</v>
      </c>
      <c r="D38" s="76">
        <v>0</v>
      </c>
      <c r="E38" s="19" t="s">
        <v>10</v>
      </c>
      <c r="H38" s="16">
        <v>15</v>
      </c>
      <c r="J38" s="21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2</v>
      </c>
      <c r="C39" s="76" t="s">
        <v>53</v>
      </c>
      <c r="D39" s="76">
        <v>0</v>
      </c>
      <c r="E39" s="19" t="s">
        <v>23</v>
      </c>
      <c r="H39" s="16">
        <v>0</v>
      </c>
      <c r="J39" s="21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76" t="s">
        <v>53</v>
      </c>
      <c r="D40" s="76">
        <v>0</v>
      </c>
      <c r="E40" s="19" t="s">
        <v>10</v>
      </c>
      <c r="H40" s="16">
        <v>10</v>
      </c>
      <c r="J40" s="21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76" t="s">
        <v>53</v>
      </c>
      <c r="D41" s="76">
        <v>1</v>
      </c>
      <c r="E41" s="19" t="s">
        <v>7</v>
      </c>
      <c r="H41" s="16">
        <v>10</v>
      </c>
      <c r="J41" s="21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76" t="s">
        <v>53</v>
      </c>
      <c r="D42" s="76">
        <v>2</v>
      </c>
      <c r="E42" s="19" t="s">
        <v>23</v>
      </c>
      <c r="H42" s="16">
        <v>25</v>
      </c>
      <c r="J42" s="21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7" t="s">
        <v>60</v>
      </c>
      <c r="B43" s="197"/>
      <c r="C43" s="197"/>
      <c r="D43" s="197"/>
      <c r="E43" s="197"/>
      <c r="J43" s="21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76">
        <v>2</v>
      </c>
      <c r="C44" s="76" t="s">
        <v>53</v>
      </c>
      <c r="D44" s="76">
        <v>1</v>
      </c>
      <c r="E44" s="19" t="s">
        <v>9</v>
      </c>
      <c r="H44" s="16">
        <v>10</v>
      </c>
      <c r="J44" s="21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2</v>
      </c>
      <c r="C45" s="76" t="s">
        <v>53</v>
      </c>
      <c r="D45" s="76">
        <v>0</v>
      </c>
      <c r="E45" s="19" t="s">
        <v>29</v>
      </c>
      <c r="H45" s="16">
        <v>25</v>
      </c>
      <c r="J45" s="21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2</v>
      </c>
      <c r="C46" s="76" t="s">
        <v>53</v>
      </c>
      <c r="D46" s="76">
        <v>0</v>
      </c>
      <c r="E46" s="19" t="s">
        <v>29</v>
      </c>
      <c r="H46" s="16">
        <v>0</v>
      </c>
      <c r="J46" s="21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76" t="s">
        <v>53</v>
      </c>
      <c r="D47" s="76">
        <v>1</v>
      </c>
      <c r="E47" s="19" t="s">
        <v>30</v>
      </c>
      <c r="H47" s="16">
        <v>10</v>
      </c>
      <c r="J47" s="21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76" t="s">
        <v>53</v>
      </c>
      <c r="D48" s="76">
        <v>2</v>
      </c>
      <c r="E48" s="19" t="s">
        <v>8</v>
      </c>
      <c r="H48" s="16">
        <v>0</v>
      </c>
      <c r="J48" s="21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1</v>
      </c>
      <c r="C49" s="76" t="s">
        <v>53</v>
      </c>
      <c r="D49" s="76">
        <v>2</v>
      </c>
      <c r="E49" s="19" t="s">
        <v>30</v>
      </c>
      <c r="H49" s="16">
        <v>10</v>
      </c>
      <c r="J49" s="21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7" t="s">
        <v>59</v>
      </c>
      <c r="B50" s="197"/>
      <c r="C50" s="197"/>
      <c r="D50" s="197"/>
      <c r="E50" s="197"/>
      <c r="J50" s="21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76">
        <v>1</v>
      </c>
      <c r="C51" s="76" t="s">
        <v>53</v>
      </c>
      <c r="D51" s="76">
        <v>1</v>
      </c>
      <c r="E51" s="19" t="s">
        <v>67</v>
      </c>
      <c r="H51" s="16">
        <v>10</v>
      </c>
      <c r="J51" s="21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76" t="s">
        <v>53</v>
      </c>
      <c r="D52" s="76">
        <v>1</v>
      </c>
      <c r="E52" s="19" t="s">
        <v>18</v>
      </c>
      <c r="H52" s="16">
        <v>10</v>
      </c>
      <c r="J52" s="21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1</v>
      </c>
      <c r="C53" s="76" t="s">
        <v>53</v>
      </c>
      <c r="D53" s="76">
        <v>2</v>
      </c>
      <c r="E53" s="19" t="s">
        <v>18</v>
      </c>
      <c r="H53" s="16">
        <v>10</v>
      </c>
      <c r="J53" s="21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2</v>
      </c>
      <c r="C54" s="76" t="s">
        <v>53</v>
      </c>
      <c r="D54" s="76">
        <v>2</v>
      </c>
      <c r="E54" s="19" t="s">
        <v>32</v>
      </c>
      <c r="H54" s="16">
        <v>5</v>
      </c>
      <c r="J54" s="21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76" t="s">
        <v>53</v>
      </c>
      <c r="D55" s="76">
        <v>2</v>
      </c>
      <c r="E55" s="19" t="s">
        <v>27</v>
      </c>
      <c r="H55" s="16">
        <v>0</v>
      </c>
      <c r="J55" s="21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76" t="s">
        <v>53</v>
      </c>
      <c r="D56" s="76">
        <v>0</v>
      </c>
      <c r="E56" s="19" t="s">
        <v>32</v>
      </c>
      <c r="H56" s="16">
        <v>0</v>
      </c>
      <c r="J56" s="21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  <c r="B57" s="76" t="s">
        <v>172</v>
      </c>
      <c r="J57" s="21" t="str">
        <f>IF(Tabela!L30="","",Tabela!L30)</f>
        <v/>
      </c>
    </row>
    <row r="58" spans="1:15" x14ac:dyDescent="0.25">
      <c r="A58" s="200" t="str">
        <f>_xlfn.CONCAT(W2,A57)</f>
        <v>Macélio - Oitavas de Final</v>
      </c>
      <c r="B58" s="200"/>
      <c r="C58" s="200"/>
      <c r="D58" s="200"/>
      <c r="E58" s="200"/>
      <c r="J58" s="21" t="str">
        <f>IF(Tabela!F47="","",Tabela!F47)</f>
        <v/>
      </c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21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21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21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21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21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21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21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21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21" t="str">
        <f>IF(Tabela!F40="","",Tabela!F40)</f>
        <v/>
      </c>
    </row>
    <row r="68" spans="1:15" x14ac:dyDescent="0.25">
      <c r="A68" s="200" t="str">
        <f>_xlfn.CONCAT(W2,A67)</f>
        <v>Macélio - Quartas de Final</v>
      </c>
      <c r="B68" s="200"/>
      <c r="C68" s="200"/>
      <c r="D68" s="200"/>
      <c r="E68" s="200"/>
      <c r="J68" s="21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21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21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1</v>
      </c>
      <c r="E71" s="90" t="s">
        <v>17</v>
      </c>
      <c r="H71" s="16">
        <v>0</v>
      </c>
      <c r="J71" s="21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21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21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Macélio - Semi Final</v>
      </c>
      <c r="B74" s="195"/>
      <c r="C74" s="195"/>
      <c r="D74" s="195"/>
      <c r="E74" s="195"/>
      <c r="J74" s="21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21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3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21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21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Macélio - Terceiro Lugar</v>
      </c>
      <c r="B78" s="195"/>
      <c r="C78" s="195"/>
      <c r="D78" s="195"/>
      <c r="E78" s="195"/>
      <c r="J78" s="21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C79" s="76" t="s">
        <v>53</v>
      </c>
      <c r="E79" s="19" t="str">
        <f>IF(Tabela!E52="","",Tabela!E52)</f>
        <v>Marrocos</v>
      </c>
      <c r="J79" s="21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21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Macélio - Final</v>
      </c>
      <c r="B81" s="195"/>
      <c r="C81" s="195"/>
      <c r="D81" s="195"/>
      <c r="E81" s="195"/>
      <c r="J81" s="21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C82" s="76" t="s">
        <v>53</v>
      </c>
      <c r="E82" s="19" t="str">
        <f>IF(Tabela!E55="","",Tabela!E55)</f>
        <v>França</v>
      </c>
      <c r="J82" s="21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5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56" x14ac:dyDescent="0.25">
      <c r="A2" s="18" t="s">
        <v>11</v>
      </c>
      <c r="B2" s="58">
        <v>1</v>
      </c>
      <c r="C2" s="58" t="s">
        <v>53</v>
      </c>
      <c r="D2" s="58">
        <v>2</v>
      </c>
      <c r="E2" s="19" t="s">
        <v>14</v>
      </c>
      <c r="H2" s="16">
        <v>15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91</v>
      </c>
      <c r="X2" s="204"/>
      <c r="Y2" s="204"/>
      <c r="Z2" s="204"/>
      <c r="AA2" s="204"/>
      <c r="AB2" s="204"/>
      <c r="AC2" s="204"/>
      <c r="AD2" s="204"/>
      <c r="AE2" s="204"/>
    </row>
    <row r="3" spans="1:56" x14ac:dyDescent="0.25">
      <c r="A3" s="18" t="s">
        <v>28</v>
      </c>
      <c r="B3" s="58">
        <v>1</v>
      </c>
      <c r="C3" s="58" t="s">
        <v>53</v>
      </c>
      <c r="D3" s="58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56" x14ac:dyDescent="0.25">
      <c r="A4" s="18" t="s">
        <v>11</v>
      </c>
      <c r="B4" s="58">
        <v>1</v>
      </c>
      <c r="C4" s="58" t="s">
        <v>53</v>
      </c>
      <c r="D4" s="58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56" x14ac:dyDescent="0.25">
      <c r="A5" s="18" t="s">
        <v>19</v>
      </c>
      <c r="B5" s="58">
        <v>1</v>
      </c>
      <c r="C5" s="58" t="s">
        <v>53</v>
      </c>
      <c r="D5" s="58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56" x14ac:dyDescent="0.25">
      <c r="A6" s="18" t="s">
        <v>19</v>
      </c>
      <c r="B6" s="58">
        <v>2</v>
      </c>
      <c r="C6" s="58" t="s">
        <v>53</v>
      </c>
      <c r="D6" s="58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56" x14ac:dyDescent="0.25">
      <c r="A7" s="18" t="s">
        <v>14</v>
      </c>
      <c r="B7" s="58">
        <v>1</v>
      </c>
      <c r="C7" s="58" t="s">
        <v>53</v>
      </c>
      <c r="D7" s="58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56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56" x14ac:dyDescent="0.25">
      <c r="A9" s="18" t="s">
        <v>20</v>
      </c>
      <c r="B9" s="58">
        <v>2</v>
      </c>
      <c r="C9" s="58" t="s">
        <v>53</v>
      </c>
      <c r="D9" s="58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56" x14ac:dyDescent="0.25">
      <c r="A10" s="18" t="s">
        <v>54</v>
      </c>
      <c r="B10" s="58">
        <v>1</v>
      </c>
      <c r="C10" s="58" t="s">
        <v>53</v>
      </c>
      <c r="D10" s="58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19</v>
      </c>
      <c r="X10" s="126"/>
      <c r="Y10" s="126"/>
      <c r="Z10" s="51">
        <v>1</v>
      </c>
      <c r="AB10" s="51">
        <v>1</v>
      </c>
      <c r="AC10" s="126" t="s">
        <v>14</v>
      </c>
      <c r="AD10" s="126"/>
      <c r="AE10" s="126"/>
    </row>
    <row r="11" spans="1:56" x14ac:dyDescent="0.25">
      <c r="A11" s="18" t="s">
        <v>34</v>
      </c>
      <c r="B11" s="58">
        <v>1</v>
      </c>
      <c r="C11" s="58" t="s">
        <v>53</v>
      </c>
      <c r="D11" s="58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595</v>
      </c>
      <c r="R11" s="203"/>
      <c r="S11" s="203"/>
      <c r="T11" s="203"/>
      <c r="U11" s="203"/>
      <c r="W11" s="126" t="s">
        <v>19</v>
      </c>
      <c r="X11" s="126"/>
      <c r="Y11" s="126"/>
      <c r="Z11" s="51">
        <v>2</v>
      </c>
      <c r="AB11" s="51">
        <v>0</v>
      </c>
      <c r="AC11" s="126" t="s">
        <v>11</v>
      </c>
      <c r="AD11" s="126"/>
      <c r="AE11" s="126"/>
    </row>
    <row r="12" spans="1:56" x14ac:dyDescent="0.25">
      <c r="A12" s="18" t="s">
        <v>20</v>
      </c>
      <c r="B12" s="58">
        <v>2</v>
      </c>
      <c r="C12" s="58" t="s">
        <v>53</v>
      </c>
      <c r="D12" s="58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34</v>
      </c>
      <c r="X12" s="126"/>
      <c r="Y12" s="126"/>
      <c r="Z12" s="51">
        <v>0</v>
      </c>
      <c r="AB12" s="51">
        <v>3</v>
      </c>
      <c r="AC12" s="126" t="s">
        <v>20</v>
      </c>
      <c r="AD12" s="126"/>
      <c r="AE12" s="126"/>
    </row>
    <row r="13" spans="1:56" x14ac:dyDescent="0.25">
      <c r="A13" s="18" t="s">
        <v>21</v>
      </c>
      <c r="B13" s="58">
        <v>1</v>
      </c>
      <c r="C13" s="58" t="s">
        <v>53</v>
      </c>
      <c r="D13" s="58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26</v>
      </c>
      <c r="X13" s="126"/>
      <c r="Y13" s="126"/>
      <c r="Z13" s="51">
        <v>2</v>
      </c>
      <c r="AB13" s="51">
        <v>0</v>
      </c>
      <c r="AC13" s="126" t="s">
        <v>55</v>
      </c>
      <c r="AD13" s="126"/>
      <c r="AE13" s="126"/>
    </row>
    <row r="14" spans="1:56" x14ac:dyDescent="0.25">
      <c r="A14" s="18" t="s">
        <v>34</v>
      </c>
      <c r="B14" s="58">
        <v>0</v>
      </c>
      <c r="C14" s="58" t="s">
        <v>53</v>
      </c>
      <c r="D14" s="58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6</v>
      </c>
      <c r="X14" s="126"/>
      <c r="Y14" s="126"/>
      <c r="Z14" s="51">
        <v>1</v>
      </c>
      <c r="AB14" s="51">
        <v>0</v>
      </c>
      <c r="AC14" s="126" t="s">
        <v>13</v>
      </c>
      <c r="AD14" s="126"/>
      <c r="AE14" s="126"/>
      <c r="BD14" s="17">
        <v>5</v>
      </c>
    </row>
    <row r="15" spans="1:56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8</v>
      </c>
      <c r="X15" s="126"/>
      <c r="Y15" s="126"/>
      <c r="Z15" s="51">
        <v>2</v>
      </c>
      <c r="AB15" s="51">
        <v>0</v>
      </c>
      <c r="AC15" s="126" t="s">
        <v>29</v>
      </c>
      <c r="AD15" s="126"/>
      <c r="AE15" s="126"/>
    </row>
    <row r="16" spans="1:56" x14ac:dyDescent="0.25">
      <c r="A16" s="18" t="s">
        <v>5</v>
      </c>
      <c r="B16" s="58">
        <v>3</v>
      </c>
      <c r="C16" s="58" t="s">
        <v>53</v>
      </c>
      <c r="D16" s="58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5</v>
      </c>
      <c r="X16" s="126"/>
      <c r="Y16" s="126"/>
      <c r="Z16" s="51">
        <v>2</v>
      </c>
      <c r="AB16" s="51">
        <v>1</v>
      </c>
      <c r="AC16" s="126" t="s">
        <v>6</v>
      </c>
      <c r="AD16" s="126"/>
      <c r="AE16" s="126"/>
    </row>
    <row r="17" spans="1:31" x14ac:dyDescent="0.25">
      <c r="A17" s="18" t="s">
        <v>24</v>
      </c>
      <c r="B17" s="58">
        <v>1</v>
      </c>
      <c r="C17" s="58" t="s">
        <v>53</v>
      </c>
      <c r="D17" s="58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 t="s">
        <v>17</v>
      </c>
      <c r="X17" s="126"/>
      <c r="Y17" s="126"/>
      <c r="Z17" s="51">
        <v>2</v>
      </c>
      <c r="AB17" s="51">
        <v>0</v>
      </c>
      <c r="AC17" s="126" t="s">
        <v>23</v>
      </c>
      <c r="AD17" s="126"/>
      <c r="AE17" s="126"/>
    </row>
    <row r="18" spans="1:31" x14ac:dyDescent="0.25">
      <c r="A18" s="18" t="s">
        <v>26</v>
      </c>
      <c r="B18" s="58">
        <v>2</v>
      </c>
      <c r="C18" s="58" t="s">
        <v>53</v>
      </c>
      <c r="D18" s="58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58">
        <v>2</v>
      </c>
      <c r="C19" s="58" t="s">
        <v>53</v>
      </c>
      <c r="D19" s="58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42">
        <v>8</v>
      </c>
      <c r="R19" s="42">
        <v>14</v>
      </c>
      <c r="S19" s="42">
        <v>13</v>
      </c>
      <c r="T19" s="42">
        <v>11</v>
      </c>
      <c r="U19" s="42">
        <v>16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58">
        <v>1</v>
      </c>
      <c r="C20" s="58" t="s">
        <v>53</v>
      </c>
      <c r="D20" s="58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58">
        <v>0</v>
      </c>
      <c r="C21" s="58" t="s">
        <v>53</v>
      </c>
      <c r="D21" s="58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128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58">
        <v>1</v>
      </c>
      <c r="C23" s="58" t="s">
        <v>53</v>
      </c>
      <c r="D23" s="58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58">
        <v>2</v>
      </c>
      <c r="C24" s="58" t="s">
        <v>53</v>
      </c>
      <c r="D24" s="58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58">
        <v>0</v>
      </c>
      <c r="C25" s="58" t="s">
        <v>53</v>
      </c>
      <c r="D25" s="58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58">
        <v>2</v>
      </c>
      <c r="C26" s="58" t="s">
        <v>53</v>
      </c>
      <c r="D26" s="58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58">
        <v>0</v>
      </c>
      <c r="C27" s="58" t="s">
        <v>53</v>
      </c>
      <c r="D27" s="58">
        <v>3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Z27" s="56"/>
      <c r="AC27" s="126"/>
      <c r="AD27" s="126"/>
      <c r="AE27" s="126"/>
    </row>
    <row r="28" spans="1:31" x14ac:dyDescent="0.25">
      <c r="A28" s="18" t="s">
        <v>6</v>
      </c>
      <c r="B28" s="58">
        <v>1</v>
      </c>
      <c r="C28" s="58" t="s">
        <v>53</v>
      </c>
      <c r="D28" s="58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58">
        <v>2</v>
      </c>
      <c r="C30" s="58" t="s">
        <v>53</v>
      </c>
      <c r="D30" s="58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57"/>
      <c r="R30" s="57"/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58">
        <v>2</v>
      </c>
      <c r="C31" s="58" t="s">
        <v>53</v>
      </c>
      <c r="D31" s="58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  <c r="Q31" s="57"/>
      <c r="R31" s="57"/>
    </row>
    <row r="32" spans="1:31" x14ac:dyDescent="0.25">
      <c r="A32" s="18" t="s">
        <v>22</v>
      </c>
      <c r="B32" s="58">
        <v>1</v>
      </c>
      <c r="C32" s="58" t="s">
        <v>53</v>
      </c>
      <c r="D32" s="58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58">
        <v>2</v>
      </c>
      <c r="C33" s="58" t="s">
        <v>53</v>
      </c>
      <c r="D33" s="58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58">
        <v>2</v>
      </c>
      <c r="C34" s="58" t="s">
        <v>53</v>
      </c>
      <c r="D34" s="58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58">
        <v>0</v>
      </c>
      <c r="C35" s="58" t="s">
        <v>53</v>
      </c>
      <c r="D35" s="58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58">
        <v>1</v>
      </c>
      <c r="C37" s="58" t="s">
        <v>53</v>
      </c>
      <c r="D37" s="58">
        <v>3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58">
        <v>2</v>
      </c>
      <c r="C38" s="58" t="s">
        <v>53</v>
      </c>
      <c r="D38" s="58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58">
        <v>2</v>
      </c>
      <c r="C39" s="58" t="s">
        <v>53</v>
      </c>
      <c r="D39" s="58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58">
        <v>2</v>
      </c>
      <c r="C40" s="58" t="s">
        <v>53</v>
      </c>
      <c r="D40" s="58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58">
        <v>1</v>
      </c>
      <c r="C41" s="58" t="s">
        <v>53</v>
      </c>
      <c r="D41" s="58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58">
        <v>1</v>
      </c>
      <c r="C42" s="58" t="s">
        <v>53</v>
      </c>
      <c r="D42" s="58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58">
        <v>2</v>
      </c>
      <c r="C44" s="58" t="s">
        <v>53</v>
      </c>
      <c r="D44" s="58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58">
        <v>2</v>
      </c>
      <c r="C45" s="58" t="s">
        <v>53</v>
      </c>
      <c r="D45" s="58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58">
        <v>1</v>
      </c>
      <c r="C46" s="58" t="s">
        <v>53</v>
      </c>
      <c r="D46" s="58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58">
        <v>2</v>
      </c>
      <c r="C47" s="58" t="s">
        <v>53</v>
      </c>
      <c r="D47" s="58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58">
        <v>0</v>
      </c>
      <c r="C48" s="58" t="s">
        <v>53</v>
      </c>
      <c r="D48" s="58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58">
        <v>1</v>
      </c>
      <c r="C49" s="58" t="s">
        <v>53</v>
      </c>
      <c r="D49" s="58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58">
        <v>2</v>
      </c>
      <c r="C51" s="58" t="s">
        <v>53</v>
      </c>
      <c r="D51" s="58">
        <v>1</v>
      </c>
      <c r="E51" s="19" t="s">
        <v>57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58">
        <v>1</v>
      </c>
      <c r="C52" s="58" t="s">
        <v>53</v>
      </c>
      <c r="D52" s="58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57</v>
      </c>
      <c r="B53" s="58">
        <v>2</v>
      </c>
      <c r="C53" s="58" t="s">
        <v>53</v>
      </c>
      <c r="D53" s="58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58">
        <v>2</v>
      </c>
      <c r="C54" s="58" t="s">
        <v>53</v>
      </c>
      <c r="D54" s="58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57</v>
      </c>
      <c r="B55" s="58">
        <v>1</v>
      </c>
      <c r="C55" s="58" t="s">
        <v>53</v>
      </c>
      <c r="D55" s="58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58">
        <v>1</v>
      </c>
      <c r="C56" s="58" t="s">
        <v>53</v>
      </c>
      <c r="D56" s="58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Ivan Alex_1 -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2</v>
      </c>
      <c r="C65" s="85" t="s">
        <v>53</v>
      </c>
      <c r="D65" s="85">
        <v>1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Ivan Alex_1 -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Ivan Alex_1 -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Ivan Alex_1 -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Ivan Alex_1 -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4" width="5.7109375" style="17" customWidth="1"/>
    <col min="55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92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9" t="s">
        <v>65</v>
      </c>
      <c r="B8" s="209"/>
      <c r="C8" s="209"/>
      <c r="D8" s="209"/>
      <c r="E8" s="209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11</v>
      </c>
      <c r="X10" s="126"/>
      <c r="Y10" s="126"/>
      <c r="Z10" s="51">
        <v>0</v>
      </c>
      <c r="AB10" s="51">
        <v>2</v>
      </c>
      <c r="AC10" s="126" t="s">
        <v>14</v>
      </c>
      <c r="AD10" s="126"/>
      <c r="AE10" s="126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655</v>
      </c>
      <c r="R11" s="203"/>
      <c r="S11" s="203"/>
      <c r="T11" s="203"/>
      <c r="U11" s="203"/>
      <c r="W11" s="126" t="s">
        <v>28</v>
      </c>
      <c r="X11" s="126"/>
      <c r="Y11" s="126"/>
      <c r="Z11" s="51">
        <v>0</v>
      </c>
      <c r="AB11" s="51">
        <v>2</v>
      </c>
      <c r="AC11" s="126" t="s">
        <v>19</v>
      </c>
      <c r="AD11" s="126"/>
      <c r="AE11" s="12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19</v>
      </c>
      <c r="X12" s="126"/>
      <c r="Y12" s="126"/>
      <c r="Z12" s="51">
        <v>1</v>
      </c>
      <c r="AB12" s="51">
        <v>1</v>
      </c>
      <c r="AC12" s="126" t="s">
        <v>14</v>
      </c>
      <c r="AD12" s="126"/>
      <c r="AE12" s="12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19</v>
      </c>
      <c r="X13" s="126"/>
      <c r="Y13" s="126"/>
      <c r="Z13" s="51">
        <v>2</v>
      </c>
      <c r="AB13" s="51">
        <v>0</v>
      </c>
      <c r="AC13" s="126" t="s">
        <v>11</v>
      </c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21</v>
      </c>
      <c r="X14" s="126"/>
      <c r="Y14" s="126"/>
      <c r="Z14" s="51">
        <v>0</v>
      </c>
      <c r="AB14" s="51">
        <v>1</v>
      </c>
      <c r="AC14" s="126" t="s">
        <v>16</v>
      </c>
      <c r="AD14" s="126"/>
      <c r="AE14" s="126"/>
    </row>
    <row r="15" spans="1:31" x14ac:dyDescent="0.25">
      <c r="A15" s="209" t="s">
        <v>64</v>
      </c>
      <c r="B15" s="209"/>
      <c r="C15" s="209"/>
      <c r="D15" s="209"/>
      <c r="E15" s="209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34</v>
      </c>
      <c r="X15" s="126"/>
      <c r="Y15" s="126"/>
      <c r="Z15" s="51">
        <v>0</v>
      </c>
      <c r="AB15" s="51">
        <v>3</v>
      </c>
      <c r="AC15" s="126" t="s">
        <v>20</v>
      </c>
      <c r="AD15" s="126"/>
      <c r="AE15" s="12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26</v>
      </c>
      <c r="X16" s="126"/>
      <c r="Y16" s="126"/>
      <c r="Z16" s="51">
        <v>2</v>
      </c>
      <c r="AB16" s="51">
        <v>0</v>
      </c>
      <c r="AC16" s="126" t="s">
        <v>55</v>
      </c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 t="s">
        <v>31</v>
      </c>
      <c r="X17" s="126"/>
      <c r="Y17" s="126"/>
      <c r="Z17" s="51">
        <v>0</v>
      </c>
      <c r="AB17" s="51">
        <v>1</v>
      </c>
      <c r="AC17" s="126" t="s">
        <v>6</v>
      </c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 t="s">
        <v>22</v>
      </c>
      <c r="X18" s="126"/>
      <c r="Y18" s="126"/>
      <c r="Z18" s="51">
        <v>0</v>
      </c>
      <c r="AB18" s="51">
        <v>1</v>
      </c>
      <c r="AC18" s="126" t="s">
        <v>56</v>
      </c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14</v>
      </c>
      <c r="R19" s="22">
        <v>7</v>
      </c>
      <c r="S19" s="22">
        <v>16</v>
      </c>
      <c r="T19" s="22">
        <v>8</v>
      </c>
      <c r="U19" s="22">
        <v>17</v>
      </c>
      <c r="W19" s="126" t="s">
        <v>15</v>
      </c>
      <c r="X19" s="126"/>
      <c r="Y19" s="126"/>
      <c r="Z19" s="51">
        <v>1</v>
      </c>
      <c r="AB19" s="51">
        <v>1</v>
      </c>
      <c r="AC19" s="126" t="s">
        <v>4</v>
      </c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 t="s">
        <v>30</v>
      </c>
      <c r="X20" s="126"/>
      <c r="Y20" s="126"/>
      <c r="Z20" s="51">
        <v>1</v>
      </c>
      <c r="AB20" s="51">
        <v>0</v>
      </c>
      <c r="AC20" s="126" t="s">
        <v>9</v>
      </c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20</v>
      </c>
      <c r="T21" s="197"/>
      <c r="U21" s="197" t="s">
        <v>8</v>
      </c>
      <c r="V21" s="197"/>
      <c r="W21" s="126" t="s">
        <v>8</v>
      </c>
      <c r="X21" s="126"/>
      <c r="Y21" s="126"/>
      <c r="Z21" s="51">
        <v>2</v>
      </c>
      <c r="AB21" s="51">
        <v>0</v>
      </c>
      <c r="AC21" s="126" t="s">
        <v>29</v>
      </c>
      <c r="AD21" s="126"/>
      <c r="AE21" s="126"/>
    </row>
    <row r="22" spans="1:31" x14ac:dyDescent="0.25">
      <c r="A22" s="209" t="s">
        <v>63</v>
      </c>
      <c r="B22" s="209"/>
      <c r="C22" s="209"/>
      <c r="D22" s="209"/>
      <c r="E22" s="209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137</v>
      </c>
      <c r="T22" s="199"/>
      <c r="U22" s="199" t="s">
        <v>127</v>
      </c>
      <c r="V22" s="199"/>
      <c r="W22" s="126" t="s">
        <v>20</v>
      </c>
      <c r="X22" s="126"/>
      <c r="Y22" s="126"/>
      <c r="Z22" s="51">
        <v>1</v>
      </c>
      <c r="AB22" s="51">
        <v>2</v>
      </c>
      <c r="AC22" s="126" t="s">
        <v>17</v>
      </c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 t="s">
        <v>17</v>
      </c>
      <c r="X23" s="126"/>
      <c r="Y23" s="126"/>
      <c r="Z23" s="51">
        <v>2</v>
      </c>
      <c r="AB23" s="51">
        <v>0</v>
      </c>
      <c r="AC23" s="126" t="s">
        <v>23</v>
      </c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9" t="s">
        <v>62</v>
      </c>
      <c r="B29" s="209"/>
      <c r="C29" s="209"/>
      <c r="D29" s="209"/>
      <c r="E29" s="209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9" t="s">
        <v>61</v>
      </c>
      <c r="B36" s="209"/>
      <c r="C36" s="209"/>
      <c r="D36" s="209"/>
      <c r="E36" s="209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9" t="s">
        <v>60</v>
      </c>
      <c r="B43" s="209"/>
      <c r="C43" s="209"/>
      <c r="D43" s="209"/>
      <c r="E43" s="209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9" t="s">
        <v>59</v>
      </c>
      <c r="B50" s="209"/>
      <c r="C50" s="209"/>
      <c r="D50" s="209"/>
      <c r="E50" s="209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Bruno Flores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Bruno Flores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Bruno Flores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Bruno Flores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Bruno Flores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2" width="5.7109375" style="76" customWidth="1"/>
    <col min="3" max="3" width="5.7109375" style="16" customWidth="1"/>
    <col min="4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76">
        <v>1</v>
      </c>
      <c r="C2" s="16" t="s">
        <v>53</v>
      </c>
      <c r="D2" s="76">
        <v>1</v>
      </c>
      <c r="E2" s="19" t="s">
        <v>14</v>
      </c>
      <c r="H2" s="16">
        <v>0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69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76">
        <v>1</v>
      </c>
      <c r="C3" s="16" t="s">
        <v>53</v>
      </c>
      <c r="D3" s="7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76">
        <v>1</v>
      </c>
      <c r="C4" s="16" t="s">
        <v>53</v>
      </c>
      <c r="D4" s="7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76">
        <v>1</v>
      </c>
      <c r="C5" s="16" t="s">
        <v>53</v>
      </c>
      <c r="D5" s="7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76">
        <v>2</v>
      </c>
      <c r="C6" s="16" t="s">
        <v>53</v>
      </c>
      <c r="D6" s="7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76">
        <v>2</v>
      </c>
      <c r="C7" s="16" t="s">
        <v>53</v>
      </c>
      <c r="D7" s="7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76">
        <v>1</v>
      </c>
      <c r="C9" s="16" t="s">
        <v>53</v>
      </c>
      <c r="D9" s="7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76">
        <v>1</v>
      </c>
      <c r="C10" s="16" t="s">
        <v>53</v>
      </c>
      <c r="D10" s="7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19</v>
      </c>
      <c r="X10" s="126"/>
      <c r="Y10" s="126"/>
      <c r="Z10" s="51">
        <v>1</v>
      </c>
      <c r="AB10" s="51">
        <v>1</v>
      </c>
      <c r="AC10" s="126" t="s">
        <v>14</v>
      </c>
      <c r="AD10" s="126"/>
      <c r="AE10" s="126"/>
    </row>
    <row r="11" spans="1:31" x14ac:dyDescent="0.25">
      <c r="A11" s="18" t="s">
        <v>34</v>
      </c>
      <c r="B11" s="76">
        <v>1</v>
      </c>
      <c r="C11" s="16" t="s">
        <v>53</v>
      </c>
      <c r="D11" s="7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535</v>
      </c>
      <c r="R11" s="203"/>
      <c r="S11" s="203"/>
      <c r="T11" s="203"/>
      <c r="U11" s="203"/>
      <c r="W11" s="126" t="s">
        <v>19</v>
      </c>
      <c r="X11" s="126"/>
      <c r="Y11" s="126"/>
      <c r="Z11" s="51">
        <v>2</v>
      </c>
      <c r="AB11" s="51">
        <v>0</v>
      </c>
      <c r="AC11" s="126" t="s">
        <v>11</v>
      </c>
      <c r="AD11" s="126"/>
      <c r="AE11" s="126"/>
    </row>
    <row r="12" spans="1:31" x14ac:dyDescent="0.25">
      <c r="A12" s="18" t="s">
        <v>20</v>
      </c>
      <c r="B12" s="76">
        <v>2</v>
      </c>
      <c r="C12" s="16" t="s">
        <v>53</v>
      </c>
      <c r="D12" s="7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22</v>
      </c>
      <c r="X12" s="126"/>
      <c r="Y12" s="126"/>
      <c r="Z12" s="51">
        <v>1</v>
      </c>
      <c r="AB12" s="51">
        <v>1</v>
      </c>
      <c r="AC12" s="126" t="s">
        <v>12</v>
      </c>
      <c r="AD12" s="126"/>
      <c r="AE12" s="126"/>
    </row>
    <row r="13" spans="1:31" x14ac:dyDescent="0.25">
      <c r="A13" s="18" t="s">
        <v>21</v>
      </c>
      <c r="B13" s="76">
        <v>0</v>
      </c>
      <c r="C13" s="16" t="s">
        <v>53</v>
      </c>
      <c r="D13" s="76">
        <v>0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19</v>
      </c>
      <c r="X13" s="126"/>
      <c r="Y13" s="126"/>
      <c r="Z13" s="51">
        <v>2</v>
      </c>
      <c r="AB13" s="51">
        <v>2</v>
      </c>
      <c r="AC13" s="126" t="s">
        <v>5</v>
      </c>
      <c r="AD13" s="126"/>
      <c r="AE13" s="126"/>
    </row>
    <row r="14" spans="1:31" x14ac:dyDescent="0.25">
      <c r="A14" s="18" t="s">
        <v>34</v>
      </c>
      <c r="B14" s="76">
        <v>0</v>
      </c>
      <c r="C14" s="16" t="s">
        <v>53</v>
      </c>
      <c r="D14" s="7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20</v>
      </c>
      <c r="X14" s="126"/>
      <c r="Y14" s="126"/>
      <c r="Z14" s="51">
        <v>1</v>
      </c>
      <c r="AB14" s="51">
        <v>2</v>
      </c>
      <c r="AC14" s="126" t="s">
        <v>17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5</v>
      </c>
      <c r="X15" s="126"/>
      <c r="Y15" s="126"/>
      <c r="Z15" s="51">
        <v>3</v>
      </c>
      <c r="AB15" s="51">
        <v>0</v>
      </c>
      <c r="AC15" s="126" t="s">
        <v>12</v>
      </c>
      <c r="AD15" s="126"/>
      <c r="AE15" s="126"/>
    </row>
    <row r="16" spans="1:31" x14ac:dyDescent="0.25">
      <c r="A16" s="18" t="s">
        <v>5</v>
      </c>
      <c r="B16" s="76">
        <v>2</v>
      </c>
      <c r="C16" s="16" t="s">
        <v>53</v>
      </c>
      <c r="D16" s="7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76">
        <v>1</v>
      </c>
      <c r="C17" s="16" t="s">
        <v>53</v>
      </c>
      <c r="D17" s="7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76">
        <v>1</v>
      </c>
      <c r="C18" s="16" t="s">
        <v>53</v>
      </c>
      <c r="D18" s="7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76">
        <v>3</v>
      </c>
      <c r="C19" s="16" t="s">
        <v>53</v>
      </c>
      <c r="D19" s="7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15</v>
      </c>
      <c r="T19" s="22">
        <v>17</v>
      </c>
      <c r="U19" s="22">
        <v>14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76">
        <v>1</v>
      </c>
      <c r="C20" s="16" t="s">
        <v>53</v>
      </c>
      <c r="D20" s="7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76">
        <v>0</v>
      </c>
      <c r="C21" s="16" t="s">
        <v>53</v>
      </c>
      <c r="D21" s="7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17</v>
      </c>
      <c r="T21" s="197"/>
      <c r="U21" s="197" t="s">
        <v>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128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76">
        <v>1</v>
      </c>
      <c r="C23" s="16" t="s">
        <v>53</v>
      </c>
      <c r="D23" s="7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76">
        <v>2</v>
      </c>
      <c r="C24" s="16" t="s">
        <v>53</v>
      </c>
      <c r="D24" s="7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76">
        <v>1</v>
      </c>
      <c r="C25" s="16" t="s">
        <v>53</v>
      </c>
      <c r="D25" s="7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76">
        <v>1</v>
      </c>
      <c r="C26" s="16" t="s">
        <v>53</v>
      </c>
      <c r="D26" s="7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76">
        <v>0</v>
      </c>
      <c r="C27" s="16" t="s">
        <v>53</v>
      </c>
      <c r="D27" s="7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76">
        <v>1</v>
      </c>
      <c r="C28" s="16" t="s">
        <v>53</v>
      </c>
      <c r="D28" s="7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76">
        <v>2</v>
      </c>
      <c r="C30" s="16" t="s">
        <v>53</v>
      </c>
      <c r="D30" s="7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76">
        <v>2</v>
      </c>
      <c r="C31" s="16" t="s">
        <v>53</v>
      </c>
      <c r="D31" s="7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3</v>
      </c>
      <c r="C32" s="16" t="s">
        <v>53</v>
      </c>
      <c r="D32" s="7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2</v>
      </c>
      <c r="C33" s="16" t="s">
        <v>53</v>
      </c>
      <c r="D33" s="76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2</v>
      </c>
      <c r="C34" s="16" t="s">
        <v>53</v>
      </c>
      <c r="D34" s="76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16" t="s">
        <v>53</v>
      </c>
      <c r="D35" s="76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76">
        <v>0</v>
      </c>
      <c r="C37" s="16" t="s">
        <v>53</v>
      </c>
      <c r="D37" s="7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3</v>
      </c>
      <c r="C38" s="16" t="s">
        <v>53</v>
      </c>
      <c r="D38" s="7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3</v>
      </c>
      <c r="C39" s="16" t="s">
        <v>53</v>
      </c>
      <c r="D39" s="7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16" t="s">
        <v>53</v>
      </c>
      <c r="D40" s="7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16" t="s">
        <v>53</v>
      </c>
      <c r="D41" s="7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16" t="s">
        <v>53</v>
      </c>
      <c r="D42" s="7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76">
        <v>2</v>
      </c>
      <c r="C44" s="16" t="s">
        <v>53</v>
      </c>
      <c r="D44" s="7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3</v>
      </c>
      <c r="C45" s="16" t="s">
        <v>53</v>
      </c>
      <c r="D45" s="7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1</v>
      </c>
      <c r="C46" s="16" t="s">
        <v>53</v>
      </c>
      <c r="D46" s="7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16" t="s">
        <v>53</v>
      </c>
      <c r="D47" s="7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16" t="s">
        <v>53</v>
      </c>
      <c r="D48" s="7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0</v>
      </c>
      <c r="C49" s="16" t="s">
        <v>53</v>
      </c>
      <c r="D49" s="7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76">
        <v>1</v>
      </c>
      <c r="C51" s="16" t="s">
        <v>53</v>
      </c>
      <c r="D51" s="76">
        <v>1</v>
      </c>
      <c r="E51" s="19" t="s">
        <v>67</v>
      </c>
      <c r="H51" s="16">
        <v>10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16" t="s">
        <v>53</v>
      </c>
      <c r="D52" s="7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2</v>
      </c>
      <c r="C53" s="16" t="s">
        <v>53</v>
      </c>
      <c r="D53" s="76">
        <v>0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1</v>
      </c>
      <c r="C54" s="16" t="s">
        <v>53</v>
      </c>
      <c r="D54" s="7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16" t="s">
        <v>53</v>
      </c>
      <c r="D55" s="7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16" t="s">
        <v>53</v>
      </c>
      <c r="D56" s="7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Ivan Alex_2 -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1</v>
      </c>
      <c r="E62" s="8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Ivan Alex_2 -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Ivan Alex_2 -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100">
        <v>3</v>
      </c>
      <c r="C75" s="100" t="s">
        <v>53</v>
      </c>
      <c r="D75" s="100">
        <v>0</v>
      </c>
      <c r="E75" s="19" t="str">
        <f>IF(Tabela!E48="","",Tabela!E48)</f>
        <v>Croácia</v>
      </c>
      <c r="H75" s="16">
        <v>25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100">
        <v>1</v>
      </c>
      <c r="C76" s="100" t="s">
        <v>53</v>
      </c>
      <c r="D76" s="100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Ivan Alex_2 -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C79" s="76" t="s">
        <v>53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Ivan Alex_2 -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C82" s="76" t="s">
        <v>53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69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72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9" t="s">
        <v>65</v>
      </c>
      <c r="B8" s="209"/>
      <c r="C8" s="209"/>
      <c r="D8" s="209"/>
      <c r="E8" s="209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16</v>
      </c>
      <c r="X10" s="126"/>
      <c r="Y10" s="126"/>
      <c r="Z10" s="51">
        <v>1</v>
      </c>
      <c r="AB10" s="51">
        <v>1</v>
      </c>
      <c r="AC10" s="126" t="s">
        <v>34</v>
      </c>
      <c r="AD10" s="126"/>
      <c r="AE10" s="126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455</v>
      </c>
      <c r="R11" s="203"/>
      <c r="S11" s="203"/>
      <c r="T11" s="203"/>
      <c r="U11" s="203"/>
      <c r="W11" s="126" t="s">
        <v>26</v>
      </c>
      <c r="X11" s="126"/>
      <c r="Y11" s="126"/>
      <c r="Z11" s="51">
        <v>2</v>
      </c>
      <c r="AB11" s="51">
        <v>0</v>
      </c>
      <c r="AC11" s="126" t="s">
        <v>55</v>
      </c>
      <c r="AD11" s="126"/>
      <c r="AE11" s="126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19</v>
      </c>
      <c r="X12" s="126"/>
      <c r="Y12" s="126"/>
      <c r="Z12" s="51">
        <v>2</v>
      </c>
      <c r="AB12" s="51">
        <v>2</v>
      </c>
      <c r="AC12" s="126" t="s">
        <v>5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/>
      <c r="X13" s="126"/>
      <c r="Y13" s="126"/>
      <c r="AC13" s="126"/>
      <c r="AD13" s="126"/>
      <c r="AE13" s="12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9" t="s">
        <v>64</v>
      </c>
      <c r="B15" s="209"/>
      <c r="C15" s="209"/>
      <c r="D15" s="209"/>
      <c r="E15" s="209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15</v>
      </c>
      <c r="T19" s="22">
        <v>13</v>
      </c>
      <c r="U19" s="22">
        <v>19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9" t="s">
        <v>63</v>
      </c>
      <c r="B22" s="209"/>
      <c r="C22" s="209"/>
      <c r="D22" s="209"/>
      <c r="E22" s="209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128</v>
      </c>
      <c r="T22" s="199"/>
      <c r="U22" s="199" t="s">
        <v>136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9" t="s">
        <v>62</v>
      </c>
      <c r="B29" s="209"/>
      <c r="C29" s="209"/>
      <c r="D29" s="209"/>
      <c r="E29" s="209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9" t="s">
        <v>61</v>
      </c>
      <c r="B36" s="209"/>
      <c r="C36" s="209"/>
      <c r="D36" s="209"/>
      <c r="E36" s="209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9" t="s">
        <v>60</v>
      </c>
      <c r="B43" s="209"/>
      <c r="C43" s="209"/>
      <c r="D43" s="209"/>
      <c r="E43" s="209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9" t="s">
        <v>59</v>
      </c>
      <c r="B50" s="209"/>
      <c r="C50" s="209"/>
      <c r="D50" s="209"/>
      <c r="E50" s="209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Gabriel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Gabriel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Gabriel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Gabriel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Gabriel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71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9" t="s">
        <v>65</v>
      </c>
      <c r="B8" s="209"/>
      <c r="C8" s="209"/>
      <c r="D8" s="209"/>
      <c r="E8" s="209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19</v>
      </c>
      <c r="X10" s="126"/>
      <c r="Y10" s="126"/>
      <c r="Z10" s="51">
        <v>2</v>
      </c>
      <c r="AB10" s="51">
        <v>0</v>
      </c>
      <c r="AC10" s="126" t="s">
        <v>11</v>
      </c>
      <c r="AD10" s="126"/>
      <c r="AE10" s="126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480</v>
      </c>
      <c r="R11" s="203"/>
      <c r="S11" s="203"/>
      <c r="T11" s="203"/>
      <c r="U11" s="203"/>
      <c r="W11" s="126" t="s">
        <v>16</v>
      </c>
      <c r="X11" s="126"/>
      <c r="Y11" s="126"/>
      <c r="Z11" s="51">
        <v>1</v>
      </c>
      <c r="AB11" s="51">
        <v>1</v>
      </c>
      <c r="AC11" s="126" t="s">
        <v>34</v>
      </c>
      <c r="AD11" s="126"/>
      <c r="AE11" s="126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26</v>
      </c>
      <c r="X12" s="126"/>
      <c r="Y12" s="126"/>
      <c r="Z12" s="51">
        <v>2</v>
      </c>
      <c r="AB12" s="51">
        <v>0</v>
      </c>
      <c r="AC12" s="126" t="s">
        <v>55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55</v>
      </c>
      <c r="X13" s="126"/>
      <c r="Y13" s="126"/>
      <c r="Z13" s="51">
        <v>1</v>
      </c>
      <c r="AB13" s="51">
        <v>2</v>
      </c>
      <c r="AC13" s="126" t="s">
        <v>24</v>
      </c>
      <c r="AD13" s="126"/>
      <c r="AE13" s="12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6</v>
      </c>
      <c r="X14" s="126"/>
      <c r="Y14" s="126"/>
      <c r="Z14" s="51">
        <v>1</v>
      </c>
      <c r="AB14" s="51">
        <v>0</v>
      </c>
      <c r="AC14" s="126" t="s">
        <v>13</v>
      </c>
      <c r="AD14" s="126"/>
      <c r="AE14" s="126"/>
    </row>
    <row r="15" spans="1:31" x14ac:dyDescent="0.25">
      <c r="A15" s="209" t="s">
        <v>64</v>
      </c>
      <c r="B15" s="209"/>
      <c r="C15" s="209"/>
      <c r="D15" s="209"/>
      <c r="E15" s="209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8</v>
      </c>
      <c r="X15" s="126"/>
      <c r="Y15" s="126"/>
      <c r="Z15" s="51">
        <v>2</v>
      </c>
      <c r="AB15" s="51">
        <v>0</v>
      </c>
      <c r="AC15" s="126" t="s">
        <v>29</v>
      </c>
      <c r="AD15" s="126"/>
      <c r="AE15" s="12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11</v>
      </c>
      <c r="T19" s="22">
        <v>11</v>
      </c>
      <c r="U19" s="22">
        <v>22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9" t="s">
        <v>63</v>
      </c>
      <c r="B22" s="209"/>
      <c r="C22" s="209"/>
      <c r="D22" s="209"/>
      <c r="E22" s="209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128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9" t="s">
        <v>62</v>
      </c>
      <c r="B29" s="209"/>
      <c r="C29" s="209"/>
      <c r="D29" s="209"/>
      <c r="E29" s="209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9" t="s">
        <v>61</v>
      </c>
      <c r="B36" s="209"/>
      <c r="C36" s="209"/>
      <c r="D36" s="209"/>
      <c r="E36" s="209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9" t="s">
        <v>60</v>
      </c>
      <c r="B43" s="209"/>
      <c r="C43" s="209"/>
      <c r="D43" s="209"/>
      <c r="E43" s="209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9" t="s">
        <v>59</v>
      </c>
      <c r="B50" s="209"/>
      <c r="C50" s="209"/>
      <c r="D50" s="209"/>
      <c r="E50" s="209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Luis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3</v>
      </c>
      <c r="C59" s="85" t="s">
        <v>53</v>
      </c>
      <c r="D59" s="85">
        <v>2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3</v>
      </c>
      <c r="C60" s="85" t="s">
        <v>53</v>
      </c>
      <c r="D60" s="85">
        <v>1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3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2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2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2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Luis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3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Luis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Luis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Luis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73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28</v>
      </c>
      <c r="X10" s="126"/>
      <c r="Y10" s="126"/>
      <c r="Z10" s="51">
        <v>0</v>
      </c>
      <c r="AB10" s="51">
        <v>2</v>
      </c>
      <c r="AC10" s="126" t="s">
        <v>19</v>
      </c>
      <c r="AD10" s="126"/>
      <c r="AE10" s="126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520</v>
      </c>
      <c r="R11" s="203"/>
      <c r="S11" s="203"/>
      <c r="T11" s="203"/>
      <c r="U11" s="203"/>
      <c r="W11" s="126" t="s">
        <v>34</v>
      </c>
      <c r="X11" s="126"/>
      <c r="Y11" s="126"/>
      <c r="Z11" s="51">
        <v>0</v>
      </c>
      <c r="AB11" s="51">
        <v>3</v>
      </c>
      <c r="AC11" s="126" t="s">
        <v>20</v>
      </c>
      <c r="AD11" s="126"/>
      <c r="AE11" s="126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17</v>
      </c>
      <c r="X12" s="126"/>
      <c r="Y12" s="126"/>
      <c r="Z12" s="51">
        <v>2</v>
      </c>
      <c r="AB12" s="51">
        <v>1</v>
      </c>
      <c r="AC12" s="126" t="s">
        <v>13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7</v>
      </c>
      <c r="X13" s="126"/>
      <c r="Y13" s="126"/>
      <c r="Z13" s="51">
        <v>1</v>
      </c>
      <c r="AB13" s="51">
        <v>0</v>
      </c>
      <c r="AC13" s="126" t="s">
        <v>10</v>
      </c>
      <c r="AD13" s="126"/>
      <c r="AE13" s="126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8</v>
      </c>
      <c r="X14" s="126"/>
      <c r="Y14" s="126"/>
      <c r="Z14" s="51">
        <v>2</v>
      </c>
      <c r="AB14" s="51">
        <v>0</v>
      </c>
      <c r="AC14" s="126" t="s">
        <v>29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5</v>
      </c>
      <c r="X15" s="126"/>
      <c r="Y15" s="126"/>
      <c r="Z15" s="51">
        <v>2</v>
      </c>
      <c r="AB15" s="51">
        <v>1</v>
      </c>
      <c r="AC15" s="126" t="s">
        <v>6</v>
      </c>
      <c r="AD15" s="126"/>
      <c r="AE15" s="12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8</v>
      </c>
      <c r="S19" s="22">
        <v>17</v>
      </c>
      <c r="T19" s="22">
        <v>16</v>
      </c>
      <c r="U19" s="22">
        <v>15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137</v>
      </c>
      <c r="T22" s="199"/>
      <c r="U22" s="199" t="s">
        <v>138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Juninho_1 -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Juninho_1 -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0</v>
      </c>
      <c r="E71" s="90" t="s">
        <v>17</v>
      </c>
      <c r="H71" s="16">
        <v>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Juninho_1 -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Juninho_1 -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Juninho_1 -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61" width="5.7109375" style="17" customWidth="1"/>
    <col min="6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74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20</v>
      </c>
      <c r="X10" s="126"/>
      <c r="Y10" s="126"/>
      <c r="Z10" s="51">
        <v>0</v>
      </c>
      <c r="AB10" s="51">
        <v>0</v>
      </c>
      <c r="AC10" s="126" t="s">
        <v>16</v>
      </c>
      <c r="AD10" s="126"/>
      <c r="AE10" s="126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535</v>
      </c>
      <c r="R11" s="203"/>
      <c r="S11" s="203"/>
      <c r="T11" s="203"/>
      <c r="U11" s="203"/>
      <c r="W11" s="126" t="s">
        <v>21</v>
      </c>
      <c r="X11" s="126"/>
      <c r="Y11" s="126"/>
      <c r="Z11" s="51">
        <v>0</v>
      </c>
      <c r="AB11" s="51">
        <v>1</v>
      </c>
      <c r="AC11" s="126" t="s">
        <v>16</v>
      </c>
      <c r="AD11" s="126"/>
      <c r="AE11" s="126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34</v>
      </c>
      <c r="X12" s="126"/>
      <c r="Y12" s="126"/>
      <c r="Z12" s="51">
        <v>0</v>
      </c>
      <c r="AB12" s="51">
        <v>3</v>
      </c>
      <c r="AC12" s="126" t="s">
        <v>20</v>
      </c>
      <c r="AD12" s="126"/>
      <c r="AE12" s="126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13</v>
      </c>
      <c r="X13" s="126"/>
      <c r="Y13" s="126"/>
      <c r="Z13" s="51">
        <v>0</v>
      </c>
      <c r="AB13" s="51">
        <v>0</v>
      </c>
      <c r="AC13" s="126" t="s">
        <v>31</v>
      </c>
      <c r="AD13" s="126"/>
      <c r="AE13" s="126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20</v>
      </c>
      <c r="X14" s="126"/>
      <c r="Y14" s="126"/>
      <c r="Z14" s="51">
        <v>1</v>
      </c>
      <c r="AB14" s="51">
        <v>2</v>
      </c>
      <c r="AC14" s="126" t="s">
        <v>17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17</v>
      </c>
      <c r="X15" s="126"/>
      <c r="Y15" s="126"/>
      <c r="Z15" s="51">
        <v>2</v>
      </c>
      <c r="AB15" s="51">
        <v>0</v>
      </c>
      <c r="AC15" s="126" t="s">
        <v>23</v>
      </c>
      <c r="AD15" s="126"/>
      <c r="AE15" s="126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15</v>
      </c>
      <c r="S19" s="22">
        <v>9</v>
      </c>
      <c r="T19" s="22">
        <v>14</v>
      </c>
      <c r="U19" s="22">
        <v>18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138</v>
      </c>
      <c r="T22" s="199"/>
      <c r="U22" s="199" t="s">
        <v>137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Juninho_2 -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Juninho_2 -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Juninho_2 -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Juninho_2 -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Juninho_2 -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20" customWidth="1"/>
    <col min="47" max="16384" width="9.140625" style="20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75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26</v>
      </c>
      <c r="X10" s="126"/>
      <c r="Y10" s="126"/>
      <c r="Z10" s="51">
        <v>2</v>
      </c>
      <c r="AB10" s="51">
        <v>0</v>
      </c>
      <c r="AC10" s="126" t="s">
        <v>55</v>
      </c>
      <c r="AD10" s="126"/>
      <c r="AE10" s="126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560</v>
      </c>
      <c r="R11" s="203"/>
      <c r="S11" s="203"/>
      <c r="T11" s="203"/>
      <c r="U11" s="203"/>
      <c r="W11" s="126" t="s">
        <v>5</v>
      </c>
      <c r="X11" s="126"/>
      <c r="Y11" s="126"/>
      <c r="Z11" s="51">
        <v>2</v>
      </c>
      <c r="AB11" s="51">
        <v>0</v>
      </c>
      <c r="AC11" s="126" t="s">
        <v>24</v>
      </c>
      <c r="AD11" s="126"/>
      <c r="AE11" s="126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31</v>
      </c>
      <c r="X12" s="126"/>
      <c r="Y12" s="126"/>
      <c r="Z12" s="51">
        <v>0</v>
      </c>
      <c r="AB12" s="51">
        <v>1</v>
      </c>
      <c r="AC12" s="126" t="s">
        <v>6</v>
      </c>
      <c r="AD12" s="126"/>
      <c r="AE12" s="126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6</v>
      </c>
      <c r="X13" s="126"/>
      <c r="Y13" s="126"/>
      <c r="Z13" s="51">
        <v>1</v>
      </c>
      <c r="AB13" s="51">
        <v>0</v>
      </c>
      <c r="AC13" s="126" t="s">
        <v>13</v>
      </c>
      <c r="AD13" s="126"/>
      <c r="AE13" s="126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7</v>
      </c>
      <c r="X14" s="126"/>
      <c r="Y14" s="126"/>
      <c r="Z14" s="51">
        <v>1</v>
      </c>
      <c r="AB14" s="51">
        <v>0</v>
      </c>
      <c r="AC14" s="126" t="s">
        <v>10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8</v>
      </c>
      <c r="X15" s="126"/>
      <c r="Y15" s="126"/>
      <c r="Z15" s="51">
        <v>2</v>
      </c>
      <c r="AB15" s="51">
        <v>0</v>
      </c>
      <c r="AC15" s="126" t="s">
        <v>29</v>
      </c>
      <c r="AD15" s="126"/>
      <c r="AE15" s="126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8</v>
      </c>
      <c r="X16" s="126"/>
      <c r="Y16" s="126"/>
      <c r="Z16" s="51">
        <v>1</v>
      </c>
      <c r="AB16" s="51">
        <v>0</v>
      </c>
      <c r="AC16" s="126" t="s">
        <v>30</v>
      </c>
      <c r="AD16" s="126"/>
      <c r="AE16" s="126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 t="s">
        <v>5</v>
      </c>
      <c r="X17" s="126"/>
      <c r="Y17" s="126"/>
      <c r="Z17" s="51">
        <v>2</v>
      </c>
      <c r="AB17" s="51">
        <v>1</v>
      </c>
      <c r="AC17" s="126" t="s">
        <v>6</v>
      </c>
      <c r="AD17" s="126"/>
      <c r="AE17" s="126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12</v>
      </c>
      <c r="S19" s="22">
        <v>12</v>
      </c>
      <c r="T19" s="22">
        <v>12</v>
      </c>
      <c r="U19" s="22">
        <v>18</v>
      </c>
      <c r="W19" s="126"/>
      <c r="X19" s="126"/>
      <c r="Y19" s="126"/>
      <c r="AC19" s="126"/>
      <c r="AD19" s="126"/>
      <c r="AE19" s="126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130</v>
      </c>
      <c r="T22" s="199"/>
      <c r="U22" s="199" t="s">
        <v>136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4" t="s">
        <v>173</v>
      </c>
    </row>
    <row r="58" spans="1:15" x14ac:dyDescent="0.25">
      <c r="A58" s="208" t="str">
        <f>_xlfn.CONCAT(W2,A57)</f>
        <v>Luana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2</v>
      </c>
      <c r="E61" s="86" t="s">
        <v>12</v>
      </c>
      <c r="H61" s="16">
        <v>10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0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6" t="s">
        <v>174</v>
      </c>
      <c r="B67" s="88"/>
      <c r="C67" s="88"/>
      <c r="D67" s="88"/>
      <c r="E67" s="97"/>
      <c r="J67" s="17" t="str">
        <f>IF(Tabela!F40="","",Tabela!F40)</f>
        <v/>
      </c>
    </row>
    <row r="68" spans="1:15" x14ac:dyDescent="0.25">
      <c r="A68" s="208" t="str">
        <f>_xlfn.CONCAT(W2,A67)</f>
        <v>Luana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6" t="s">
        <v>179</v>
      </c>
      <c r="B73" s="88"/>
      <c r="C73" s="88"/>
      <c r="D73" s="88"/>
      <c r="E73" s="97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Luana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4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Luana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4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Luana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76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11</v>
      </c>
      <c r="X10" s="126"/>
      <c r="Y10" s="126"/>
      <c r="Z10" s="51">
        <v>1</v>
      </c>
      <c r="AB10" s="51">
        <v>3</v>
      </c>
      <c r="AC10" s="126" t="s">
        <v>28</v>
      </c>
      <c r="AD10" s="126"/>
      <c r="AE10" s="126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540</v>
      </c>
      <c r="R11" s="203"/>
      <c r="S11" s="203"/>
      <c r="T11" s="203"/>
      <c r="U11" s="203"/>
      <c r="W11" s="126" t="s">
        <v>19</v>
      </c>
      <c r="X11" s="126"/>
      <c r="Y11" s="126"/>
      <c r="Z11" s="51">
        <v>2</v>
      </c>
      <c r="AB11" s="51">
        <v>0</v>
      </c>
      <c r="AC11" s="126" t="s">
        <v>11</v>
      </c>
      <c r="AD11" s="126"/>
      <c r="AE11" s="126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14</v>
      </c>
      <c r="X12" s="126"/>
      <c r="Y12" s="126"/>
      <c r="Z12" s="51">
        <v>1</v>
      </c>
      <c r="AB12" s="51">
        <v>2</v>
      </c>
      <c r="AC12" s="126" t="s">
        <v>28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26</v>
      </c>
      <c r="X13" s="126"/>
      <c r="Y13" s="126"/>
      <c r="Z13" s="51">
        <v>2</v>
      </c>
      <c r="AB13" s="51">
        <v>0</v>
      </c>
      <c r="AC13" s="126" t="s">
        <v>55</v>
      </c>
      <c r="AD13" s="126"/>
      <c r="AE13" s="126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30</v>
      </c>
      <c r="X14" s="126"/>
      <c r="Y14" s="126"/>
      <c r="Z14" s="51">
        <v>1</v>
      </c>
      <c r="AB14" s="51">
        <v>0</v>
      </c>
      <c r="AC14" s="126" t="s">
        <v>9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8</v>
      </c>
      <c r="X15" s="126"/>
      <c r="Y15" s="126"/>
      <c r="Z15" s="51">
        <v>2</v>
      </c>
      <c r="AB15" s="51">
        <v>0</v>
      </c>
      <c r="AC15" s="126" t="s">
        <v>29</v>
      </c>
      <c r="AD15" s="126"/>
      <c r="AE15" s="126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20</v>
      </c>
      <c r="X16" s="126"/>
      <c r="Y16" s="126"/>
      <c r="Z16" s="51">
        <v>1</v>
      </c>
      <c r="AB16" s="51">
        <v>2</v>
      </c>
      <c r="AC16" s="126" t="s">
        <v>17</v>
      </c>
      <c r="AD16" s="126"/>
      <c r="AE16" s="126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14</v>
      </c>
      <c r="S19" s="22">
        <v>11</v>
      </c>
      <c r="T19" s="22">
        <v>9</v>
      </c>
      <c r="U19" s="22">
        <v>21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134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Mácio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Mácio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0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Mácio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Mácio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Mácio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7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77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11</v>
      </c>
      <c r="X10" s="126"/>
      <c r="Y10" s="126"/>
      <c r="Z10" s="51">
        <v>0</v>
      </c>
      <c r="AB10" s="51">
        <v>2</v>
      </c>
      <c r="AC10" s="126" t="s">
        <v>14</v>
      </c>
      <c r="AD10" s="126"/>
      <c r="AE10" s="126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505</v>
      </c>
      <c r="R11" s="203"/>
      <c r="S11" s="203"/>
      <c r="T11" s="203"/>
      <c r="U11" s="203"/>
      <c r="W11" s="126" t="s">
        <v>14</v>
      </c>
      <c r="X11" s="126"/>
      <c r="Y11" s="126"/>
      <c r="Z11" s="51">
        <v>1</v>
      </c>
      <c r="AB11" s="51">
        <v>2</v>
      </c>
      <c r="AC11" s="126" t="s">
        <v>28</v>
      </c>
      <c r="AD11" s="126"/>
      <c r="AE11" s="126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26</v>
      </c>
      <c r="X12" s="126"/>
      <c r="Y12" s="126"/>
      <c r="Z12" s="51">
        <v>2</v>
      </c>
      <c r="AB12" s="51">
        <v>0</v>
      </c>
      <c r="AC12" s="126" t="s">
        <v>55</v>
      </c>
      <c r="AD12" s="126"/>
      <c r="AE12" s="12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17</v>
      </c>
      <c r="X13" s="126"/>
      <c r="Y13" s="126"/>
      <c r="Z13" s="51">
        <v>2</v>
      </c>
      <c r="AB13" s="51">
        <v>1</v>
      </c>
      <c r="AC13" s="126" t="s">
        <v>13</v>
      </c>
      <c r="AD13" s="126"/>
      <c r="AE13" s="12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30</v>
      </c>
      <c r="X14" s="126"/>
      <c r="Y14" s="126"/>
      <c r="Z14" s="51">
        <v>1</v>
      </c>
      <c r="AB14" s="51">
        <v>0</v>
      </c>
      <c r="AC14" s="126" t="s">
        <v>9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23</v>
      </c>
      <c r="X15" s="126"/>
      <c r="Y15" s="126"/>
      <c r="Z15" s="51">
        <v>1</v>
      </c>
      <c r="AB15" s="51">
        <v>0</v>
      </c>
      <c r="AC15" s="126" t="s">
        <v>27</v>
      </c>
      <c r="AD15" s="126"/>
      <c r="AE15" s="12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12</v>
      </c>
      <c r="T19" s="22">
        <v>14</v>
      </c>
      <c r="U19" s="22">
        <v>19</v>
      </c>
      <c r="W19" s="126"/>
      <c r="X19" s="126"/>
      <c r="Y19" s="126"/>
      <c r="AC19" s="126"/>
      <c r="AD19" s="126"/>
      <c r="AE19" s="126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208" t="str">
        <f>_xlfn.CONCAT(W2,A57)</f>
        <v>Alex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0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Alex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2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0</v>
      </c>
      <c r="E72" s="90" t="str">
        <f>Tabela!E45</f>
        <v>Portugal</v>
      </c>
      <c r="H72" s="16">
        <v>25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Alex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Alex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>
        <v>0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Alex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78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34</v>
      </c>
      <c r="X10" s="126"/>
      <c r="Y10" s="126"/>
      <c r="Z10" s="51">
        <v>0</v>
      </c>
      <c r="AB10" s="51">
        <v>3</v>
      </c>
      <c r="AC10" s="126" t="s">
        <v>20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560</v>
      </c>
      <c r="R11" s="203"/>
      <c r="S11" s="203"/>
      <c r="T11" s="203"/>
      <c r="U11" s="203"/>
      <c r="W11" s="126" t="s">
        <v>55</v>
      </c>
      <c r="X11" s="126"/>
      <c r="Y11" s="126"/>
      <c r="Z11" s="51">
        <v>1</v>
      </c>
      <c r="AB11" s="51">
        <v>2</v>
      </c>
      <c r="AC11" s="126" t="s">
        <v>24</v>
      </c>
      <c r="AD11" s="126"/>
      <c r="AE11" s="126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56</v>
      </c>
      <c r="X12" s="126"/>
      <c r="Y12" s="126"/>
      <c r="Z12" s="51">
        <v>2</v>
      </c>
      <c r="AB12" s="51">
        <v>4</v>
      </c>
      <c r="AC12" s="126" t="s">
        <v>4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30</v>
      </c>
      <c r="X13" s="126"/>
      <c r="Y13" s="126"/>
      <c r="Z13" s="51">
        <v>1</v>
      </c>
      <c r="AB13" s="51">
        <v>0</v>
      </c>
      <c r="AC13" s="126" t="s">
        <v>9</v>
      </c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5</v>
      </c>
      <c r="X14" s="126"/>
      <c r="Y14" s="126"/>
      <c r="Z14" s="51">
        <v>2</v>
      </c>
      <c r="AB14" s="51">
        <v>1</v>
      </c>
      <c r="AC14" s="126" t="s">
        <v>6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20</v>
      </c>
      <c r="X15" s="126"/>
      <c r="Y15" s="126"/>
      <c r="Z15" s="51">
        <v>1</v>
      </c>
      <c r="AB15" s="51">
        <v>2</v>
      </c>
      <c r="AC15" s="126" t="s">
        <v>17</v>
      </c>
      <c r="AD15" s="126"/>
      <c r="AE15" s="126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14</v>
      </c>
      <c r="S19" s="22">
        <v>14</v>
      </c>
      <c r="T19" s="22">
        <v>12</v>
      </c>
      <c r="U19" s="22">
        <v>15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4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128</v>
      </c>
      <c r="T22" s="199"/>
      <c r="U22" s="199" t="s">
        <v>133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Jean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0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4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208" t="str">
        <f>_xlfn.CONCAT(W2,A67)</f>
        <v>Jean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2</v>
      </c>
      <c r="C72" s="93" t="s">
        <v>53</v>
      </c>
      <c r="D72" s="93">
        <v>1</v>
      </c>
      <c r="E72" s="90" t="str">
        <f>Tabela!E45</f>
        <v>Portugal</v>
      </c>
      <c r="H72" s="16">
        <v>10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Jean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Jean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Jean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79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21</v>
      </c>
      <c r="X10" s="126"/>
      <c r="Y10" s="126"/>
      <c r="Z10" s="51">
        <v>0</v>
      </c>
      <c r="AB10" s="51">
        <v>1</v>
      </c>
      <c r="AC10" s="126" t="s">
        <v>16</v>
      </c>
      <c r="AD10" s="126"/>
      <c r="AE10" s="126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515</v>
      </c>
      <c r="R11" s="203"/>
      <c r="S11" s="203"/>
      <c r="T11" s="203"/>
      <c r="U11" s="203"/>
      <c r="W11" s="126" t="s">
        <v>55</v>
      </c>
      <c r="X11" s="126"/>
      <c r="Y11" s="126"/>
      <c r="Z11" s="51">
        <v>1</v>
      </c>
      <c r="AB11" s="51">
        <v>2</v>
      </c>
      <c r="AC11" s="126" t="s">
        <v>24</v>
      </c>
      <c r="AD11" s="126"/>
      <c r="AE11" s="126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31</v>
      </c>
      <c r="X12" s="126"/>
      <c r="Y12" s="126"/>
      <c r="Z12" s="51">
        <v>0</v>
      </c>
      <c r="AB12" s="51">
        <v>1</v>
      </c>
      <c r="AC12" s="126" t="s">
        <v>6</v>
      </c>
      <c r="AD12" s="126"/>
      <c r="AE12" s="12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17</v>
      </c>
      <c r="X13" s="126"/>
      <c r="Y13" s="126"/>
      <c r="Z13" s="51">
        <v>2</v>
      </c>
      <c r="AB13" s="51">
        <v>1</v>
      </c>
      <c r="AC13" s="126" t="s">
        <v>13</v>
      </c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16</v>
      </c>
      <c r="S19" s="22">
        <v>11</v>
      </c>
      <c r="T19" s="22">
        <v>13</v>
      </c>
      <c r="U19" s="22">
        <v>17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131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Robert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211" t="s">
        <v>170</v>
      </c>
      <c r="B59" s="211"/>
      <c r="C59" s="211"/>
      <c r="D59" s="211"/>
      <c r="E59" s="211"/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Robert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Robert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Robert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Robert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7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4" width="5.7109375" style="17" customWidth="1"/>
    <col min="35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80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19</v>
      </c>
      <c r="X10" s="126"/>
      <c r="Y10" s="126"/>
      <c r="Z10" s="51">
        <v>2</v>
      </c>
      <c r="AB10" s="51">
        <v>0</v>
      </c>
      <c r="AC10" s="126" t="s">
        <v>11</v>
      </c>
      <c r="AD10" s="126"/>
      <c r="AE10" s="126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500</v>
      </c>
      <c r="R11" s="203"/>
      <c r="S11" s="203"/>
      <c r="T11" s="203"/>
      <c r="U11" s="203"/>
      <c r="W11" s="126" t="s">
        <v>56</v>
      </c>
      <c r="X11" s="126"/>
      <c r="Y11" s="126"/>
      <c r="Z11" s="51">
        <v>2</v>
      </c>
      <c r="AB11" s="51">
        <v>4</v>
      </c>
      <c r="AC11" s="126" t="s">
        <v>4</v>
      </c>
      <c r="AD11" s="126"/>
      <c r="AE11" s="126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32</v>
      </c>
      <c r="X12" s="126"/>
      <c r="Y12" s="126"/>
      <c r="Z12" s="51">
        <v>0</v>
      </c>
      <c r="AB12" s="51">
        <v>0</v>
      </c>
      <c r="AC12" s="126" t="s">
        <v>67</v>
      </c>
      <c r="AD12" s="126"/>
      <c r="AE12" s="126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20</v>
      </c>
      <c r="X13" s="126"/>
      <c r="Y13" s="126"/>
      <c r="Z13" s="51">
        <v>1</v>
      </c>
      <c r="AB13" s="51">
        <v>2</v>
      </c>
      <c r="AC13" s="126" t="s">
        <v>17</v>
      </c>
      <c r="AD13" s="126"/>
      <c r="AE13" s="126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13</v>
      </c>
      <c r="S19" s="22">
        <v>11</v>
      </c>
      <c r="T19" s="22">
        <v>19</v>
      </c>
      <c r="U19" s="22">
        <v>14</v>
      </c>
      <c r="W19" s="126"/>
      <c r="X19" s="126"/>
      <c r="Y19" s="126"/>
      <c r="AC19" s="126"/>
      <c r="AD19" s="126"/>
      <c r="AE19" s="126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19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5" t="s">
        <v>173</v>
      </c>
    </row>
    <row r="58" spans="1:15" x14ac:dyDescent="0.25">
      <c r="A58" s="208" t="str">
        <f>_xlfn.CONCAT(W2,A57)</f>
        <v>Roberto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0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0</v>
      </c>
      <c r="C62" s="85" t="s">
        <v>53</v>
      </c>
      <c r="D62" s="85">
        <v>1</v>
      </c>
      <c r="E62" s="8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8" t="s">
        <v>174</v>
      </c>
      <c r="B67" s="88"/>
      <c r="C67" s="88"/>
      <c r="D67" s="88"/>
      <c r="E67" s="88"/>
      <c r="J67" s="17" t="str">
        <f>IF(Tabela!F40="","",Tabela!F40)</f>
        <v/>
      </c>
    </row>
    <row r="68" spans="1:15" x14ac:dyDescent="0.25">
      <c r="A68" s="208" t="str">
        <f>_xlfn.CONCAT(W2,A67)</f>
        <v>Roberto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8" t="s">
        <v>179</v>
      </c>
      <c r="B73" s="88"/>
      <c r="C73" s="88"/>
      <c r="D73" s="88"/>
      <c r="E73" s="88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Roberto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5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Roberto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0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5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Roberto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1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3" width="5.7109375" style="17" customWidth="1"/>
    <col min="34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81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5</v>
      </c>
      <c r="X10" s="126"/>
      <c r="Y10" s="126"/>
      <c r="Z10" s="51">
        <v>2</v>
      </c>
      <c r="AB10" s="51">
        <v>1</v>
      </c>
      <c r="AC10" s="126" t="s">
        <v>6</v>
      </c>
      <c r="AD10" s="126"/>
      <c r="AE10" s="126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360</v>
      </c>
      <c r="R11" s="203"/>
      <c r="S11" s="203"/>
      <c r="T11" s="203"/>
      <c r="U11" s="203"/>
      <c r="W11" s="126"/>
      <c r="X11" s="126"/>
      <c r="Y11" s="126"/>
      <c r="AC11" s="126"/>
      <c r="AD11" s="126"/>
      <c r="AE11" s="126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/>
      <c r="X12" s="126"/>
      <c r="Y12" s="126"/>
      <c r="AC12" s="126"/>
      <c r="AD12" s="126"/>
      <c r="AE12" s="126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/>
      <c r="X13" s="126"/>
      <c r="Y13" s="126"/>
      <c r="AC13" s="126"/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</v>
      </c>
      <c r="R19" s="22">
        <v>8</v>
      </c>
      <c r="S19" s="22">
        <v>15</v>
      </c>
      <c r="T19" s="22">
        <v>13</v>
      </c>
      <c r="U19" s="22">
        <v>24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131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Andréia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Andréia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2</v>
      </c>
      <c r="C72" s="93" t="s">
        <v>53</v>
      </c>
      <c r="D72" s="93">
        <v>3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Andréia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Andréia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Andréia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7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1" width="5.7109375" style="17" customWidth="1"/>
    <col min="4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82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21</v>
      </c>
      <c r="X10" s="126"/>
      <c r="Y10" s="126"/>
      <c r="Z10" s="51">
        <v>0</v>
      </c>
      <c r="AB10" s="51">
        <v>1</v>
      </c>
      <c r="AC10" s="126" t="s">
        <v>16</v>
      </c>
      <c r="AD10" s="126"/>
      <c r="AE10" s="126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410</v>
      </c>
      <c r="R11" s="203"/>
      <c r="S11" s="203"/>
      <c r="T11" s="203"/>
      <c r="U11" s="203"/>
      <c r="W11" s="126" t="s">
        <v>31</v>
      </c>
      <c r="X11" s="126"/>
      <c r="Y11" s="126"/>
      <c r="Z11" s="51">
        <v>0</v>
      </c>
      <c r="AB11" s="51">
        <v>1</v>
      </c>
      <c r="AC11" s="126" t="s">
        <v>6</v>
      </c>
      <c r="AD11" s="126"/>
      <c r="AE11" s="126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22</v>
      </c>
      <c r="X12" s="126"/>
      <c r="Y12" s="126"/>
      <c r="Z12" s="51">
        <v>0</v>
      </c>
      <c r="AB12" s="51">
        <v>1</v>
      </c>
      <c r="AC12" s="126" t="s">
        <v>56</v>
      </c>
      <c r="AD12" s="126"/>
      <c r="AE12" s="12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/>
      <c r="X13" s="126"/>
      <c r="Y13" s="126"/>
      <c r="AC13" s="126"/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8</v>
      </c>
      <c r="S19" s="22">
        <v>13</v>
      </c>
      <c r="T19" s="22">
        <v>17</v>
      </c>
      <c r="U19" s="22">
        <v>20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15</v>
      </c>
      <c r="T21" s="197"/>
      <c r="U21" s="197" t="s">
        <v>6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132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Joseir_1 -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Joseir_1 -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1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1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Joseir_1 -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Joseir_1 -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Joseir_1 -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0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6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83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31</v>
      </c>
      <c r="X10" s="126"/>
      <c r="Y10" s="126"/>
      <c r="Z10" s="51">
        <v>1</v>
      </c>
      <c r="AB10" s="51">
        <v>0</v>
      </c>
      <c r="AC10" s="126" t="s">
        <v>17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530</v>
      </c>
      <c r="R11" s="203"/>
      <c r="S11" s="203"/>
      <c r="T11" s="203"/>
      <c r="U11" s="203"/>
      <c r="W11" s="126" t="s">
        <v>6</v>
      </c>
      <c r="X11" s="126"/>
      <c r="Y11" s="126"/>
      <c r="Z11" s="51">
        <v>1</v>
      </c>
      <c r="AB11" s="51">
        <v>0</v>
      </c>
      <c r="AC11" s="126" t="s">
        <v>13</v>
      </c>
      <c r="AD11" s="126"/>
      <c r="AE11" s="126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7</v>
      </c>
      <c r="X12" s="126"/>
      <c r="Y12" s="126"/>
      <c r="Z12" s="51">
        <v>1</v>
      </c>
      <c r="AB12" s="51">
        <v>0</v>
      </c>
      <c r="AC12" s="126" t="s">
        <v>10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30</v>
      </c>
      <c r="X13" s="126"/>
      <c r="Y13" s="126"/>
      <c r="Z13" s="51">
        <v>1</v>
      </c>
      <c r="AB13" s="51">
        <v>0</v>
      </c>
      <c r="AC13" s="126" t="s">
        <v>9</v>
      </c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8</v>
      </c>
      <c r="X14" s="126"/>
      <c r="Y14" s="126"/>
      <c r="Z14" s="51">
        <v>1</v>
      </c>
      <c r="AB14" s="51">
        <v>0</v>
      </c>
      <c r="AC14" s="126" t="s">
        <v>30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9</v>
      </c>
      <c r="X15" s="126"/>
      <c r="Y15" s="126"/>
      <c r="Z15" s="51">
        <v>1</v>
      </c>
      <c r="AB15" s="51">
        <v>0</v>
      </c>
      <c r="AC15" s="126" t="s">
        <v>8</v>
      </c>
      <c r="AD15" s="126"/>
      <c r="AE15" s="126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 t="s">
        <v>12</v>
      </c>
      <c r="X16" s="126"/>
      <c r="Y16" s="126"/>
      <c r="Z16" s="51">
        <v>1</v>
      </c>
      <c r="AB16" s="51">
        <v>1</v>
      </c>
      <c r="AC16" s="126" t="s">
        <v>8</v>
      </c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10</v>
      </c>
      <c r="S19" s="22">
        <v>11</v>
      </c>
      <c r="T19" s="22">
        <v>19</v>
      </c>
      <c r="U19" s="22">
        <v>14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19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133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Joseir_2 -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Joseir_2 -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1</v>
      </c>
      <c r="E70" s="90" t="s">
        <v>8</v>
      </c>
      <c r="H70" s="16">
        <v>25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1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Joseir_2 -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Joseir_2 -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Joseir_2 -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1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84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4</v>
      </c>
      <c r="X10" s="126"/>
      <c r="Y10" s="126"/>
      <c r="Z10" s="51">
        <v>1</v>
      </c>
      <c r="AB10" s="51">
        <v>2</v>
      </c>
      <c r="AC10" s="126" t="s">
        <v>22</v>
      </c>
      <c r="AD10" s="126"/>
      <c r="AE10" s="126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445</v>
      </c>
      <c r="R11" s="203"/>
      <c r="S11" s="203"/>
      <c r="T11" s="203"/>
      <c r="U11" s="203"/>
      <c r="W11" s="126" t="s">
        <v>15</v>
      </c>
      <c r="X11" s="126"/>
      <c r="Y11" s="126"/>
      <c r="Z11" s="51">
        <v>1</v>
      </c>
      <c r="AB11" s="51">
        <v>1</v>
      </c>
      <c r="AC11" s="126" t="s">
        <v>4</v>
      </c>
      <c r="AD11" s="126"/>
      <c r="AE11" s="126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22</v>
      </c>
      <c r="X12" s="126"/>
      <c r="Y12" s="126"/>
      <c r="Z12" s="51">
        <v>2</v>
      </c>
      <c r="AB12" s="51">
        <v>1</v>
      </c>
      <c r="AC12" s="126" t="s">
        <v>15</v>
      </c>
      <c r="AD12" s="126"/>
      <c r="AE12" s="126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7</v>
      </c>
      <c r="X13" s="126"/>
      <c r="Y13" s="126"/>
      <c r="Z13" s="51">
        <v>1</v>
      </c>
      <c r="AB13" s="51">
        <v>0</v>
      </c>
      <c r="AC13" s="126" t="s">
        <v>10</v>
      </c>
      <c r="AD13" s="126"/>
      <c r="AE13" s="126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17</v>
      </c>
      <c r="X14" s="126"/>
      <c r="Y14" s="126"/>
      <c r="Z14" s="51">
        <v>3</v>
      </c>
      <c r="AB14" s="51">
        <v>1</v>
      </c>
      <c r="AC14" s="126" t="s">
        <v>26</v>
      </c>
      <c r="AD14" s="126"/>
      <c r="AE14" s="126"/>
    </row>
    <row r="15" spans="1:31" ht="15" customHeight="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13</v>
      </c>
      <c r="T19" s="22">
        <v>11</v>
      </c>
      <c r="U19" s="22">
        <v>24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54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135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Ivani - Oitavas de Final</v>
      </c>
      <c r="B58" s="208"/>
      <c r="C58" s="208"/>
      <c r="D58" s="208"/>
      <c r="E58" s="208"/>
      <c r="K58" s="196" t="s">
        <v>171</v>
      </c>
      <c r="L58" s="196"/>
      <c r="M58" s="196"/>
      <c r="N58" s="196"/>
      <c r="O58" s="19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1</v>
      </c>
      <c r="E64" s="86" t="s">
        <v>26</v>
      </c>
      <c r="H64" s="16">
        <v>25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Ivani - Quartas de Final</v>
      </c>
      <c r="B68" s="208"/>
      <c r="C68" s="208"/>
      <c r="D68" s="208"/>
      <c r="E68" s="208"/>
      <c r="J68" s="17" t="str">
        <f>IF(Tabela!F41="","",Tabela!F41)</f>
        <v/>
      </c>
      <c r="K68" s="196" t="s">
        <v>139</v>
      </c>
      <c r="L68" s="196"/>
      <c r="M68" s="196"/>
      <c r="N68" s="196"/>
      <c r="O68" s="19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5" t="str">
        <f>_xlfn.CONCAT(W$2,A73)</f>
        <v>Ivani - Semi Final</v>
      </c>
      <c r="B74" s="195"/>
      <c r="C74" s="195"/>
      <c r="D74" s="195"/>
      <c r="E74" s="195"/>
      <c r="J74" s="17" t="str">
        <f>IF(Tabela!F47="","",Tabela!F47)</f>
        <v/>
      </c>
      <c r="K74" s="196" t="s">
        <v>140</v>
      </c>
      <c r="L74" s="196"/>
      <c r="M74" s="196"/>
      <c r="N74" s="196"/>
      <c r="O74" s="196"/>
    </row>
    <row r="75" spans="1:15" x14ac:dyDescent="0.25">
      <c r="A75" s="18" t="str">
        <f>IF(Tabela!A48="","",Tabela!A48)</f>
        <v>Argentina</v>
      </c>
      <c r="B75" s="76">
        <v>2</v>
      </c>
      <c r="C75" s="76"/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/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5" t="str">
        <f>_xlfn.CONCAT(W$2,A77)</f>
        <v>Ivani - Terceiro Lugar</v>
      </c>
      <c r="B78" s="195"/>
      <c r="C78" s="195"/>
      <c r="D78" s="195"/>
      <c r="E78" s="195"/>
      <c r="J78" s="17" t="str">
        <f>IF(Tabela!F51="","",Tabela!F51)</f>
        <v/>
      </c>
      <c r="K78" s="196" t="s">
        <v>141</v>
      </c>
      <c r="L78" s="196"/>
      <c r="M78" s="196"/>
      <c r="N78" s="196"/>
      <c r="O78" s="19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5" t="str">
        <f>_xlfn.CONCAT(W$2,A80)</f>
        <v>Ivani - Final</v>
      </c>
      <c r="B81" s="195"/>
      <c r="C81" s="195"/>
      <c r="D81" s="195"/>
      <c r="E81" s="195"/>
      <c r="J81" s="17" t="str">
        <f>IF(Tabela!F54="","",Tabela!F54)</f>
        <v/>
      </c>
      <c r="K81" s="196" t="s">
        <v>142</v>
      </c>
      <c r="L81" s="196"/>
      <c r="M81" s="196"/>
      <c r="N81" s="196"/>
      <c r="O81" s="19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9" width="5.7109375" style="17" customWidth="1"/>
    <col min="40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93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31</v>
      </c>
      <c r="X10" s="126"/>
      <c r="Y10" s="126"/>
      <c r="Z10" s="51">
        <v>0</v>
      </c>
      <c r="AB10" s="51">
        <v>1</v>
      </c>
      <c r="AC10" s="126" t="s">
        <v>6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405</v>
      </c>
      <c r="R11" s="203"/>
      <c r="S11" s="203"/>
      <c r="T11" s="203"/>
      <c r="U11" s="203"/>
      <c r="W11" s="126" t="s">
        <v>15</v>
      </c>
      <c r="X11" s="126"/>
      <c r="Y11" s="126"/>
      <c r="Z11" s="51">
        <v>1</v>
      </c>
      <c r="AB11" s="51">
        <v>1</v>
      </c>
      <c r="AC11" s="126" t="s">
        <v>4</v>
      </c>
      <c r="AD11" s="126"/>
      <c r="AE11" s="126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5</v>
      </c>
      <c r="X12" s="126"/>
      <c r="Y12" s="126"/>
      <c r="Z12" s="51">
        <v>2</v>
      </c>
      <c r="AB12" s="51">
        <v>1</v>
      </c>
      <c r="AC12" s="126" t="s">
        <v>6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/>
      <c r="X13" s="126"/>
      <c r="Y13" s="126"/>
      <c r="AC13" s="126"/>
      <c r="AD13" s="126"/>
      <c r="AE13" s="126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9</v>
      </c>
      <c r="T19" s="22">
        <v>15</v>
      </c>
      <c r="U19" s="22">
        <v>23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19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V24" s="21"/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V25" s="21"/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Q26" s="21"/>
      <c r="R26" s="21"/>
      <c r="S26" s="21"/>
      <c r="T26" s="21"/>
      <c r="U26" s="21"/>
      <c r="V26" s="21"/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Q29" s="21"/>
      <c r="R29" s="21"/>
      <c r="S29" s="21"/>
      <c r="T29" s="21"/>
      <c r="U29" s="21"/>
      <c r="V29" s="2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21"/>
      <c r="R30" s="21"/>
      <c r="S30" s="21"/>
      <c r="T30" s="21"/>
      <c r="U30" s="21"/>
      <c r="V30" s="21"/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Josimar 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3</v>
      </c>
      <c r="C59" s="85" t="s">
        <v>53</v>
      </c>
      <c r="D59" s="85">
        <v>0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3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4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2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Josimar 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3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Josimar 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2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Josimar 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Josimar 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74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86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16</v>
      </c>
      <c r="X10" s="126"/>
      <c r="Y10" s="126"/>
      <c r="Z10" s="51">
        <v>1</v>
      </c>
      <c r="AB10" s="51">
        <v>1</v>
      </c>
      <c r="AC10" s="126" t="s">
        <v>34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510</v>
      </c>
      <c r="R11" s="203"/>
      <c r="S11" s="203"/>
      <c r="T11" s="203"/>
      <c r="U11" s="203"/>
      <c r="W11" s="126" t="s">
        <v>34</v>
      </c>
      <c r="X11" s="126"/>
      <c r="Y11" s="126"/>
      <c r="Z11" s="51">
        <v>0</v>
      </c>
      <c r="AB11" s="51">
        <v>3</v>
      </c>
      <c r="AC11" s="126" t="s">
        <v>20</v>
      </c>
      <c r="AD11" s="126"/>
      <c r="AE11" s="126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26</v>
      </c>
      <c r="X12" s="126"/>
      <c r="Y12" s="126"/>
      <c r="Z12" s="51">
        <v>2</v>
      </c>
      <c r="AB12" s="51">
        <v>0</v>
      </c>
      <c r="AC12" s="126" t="s">
        <v>55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/>
      <c r="X13" s="126"/>
      <c r="Y13" s="126"/>
      <c r="AC13" s="126"/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/>
      <c r="X14" s="126"/>
      <c r="Y14" s="126"/>
      <c r="AC14" s="126"/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13</v>
      </c>
      <c r="S19" s="22">
        <v>19</v>
      </c>
      <c r="T19" s="22">
        <v>10</v>
      </c>
      <c r="U19" s="22">
        <v>16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127</v>
      </c>
      <c r="T22" s="199"/>
      <c r="U22" s="199" t="s">
        <v>128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Julio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Julio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0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Julio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15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Julio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>
        <v>2</v>
      </c>
      <c r="C79" s="76" t="s">
        <v>53</v>
      </c>
      <c r="D79" s="76">
        <v>1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Julio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>
        <v>1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69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87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28</v>
      </c>
      <c r="X10" s="126"/>
      <c r="Y10" s="126"/>
      <c r="Z10" s="51">
        <v>0</v>
      </c>
      <c r="AB10" s="51">
        <v>2</v>
      </c>
      <c r="AC10" s="126" t="s">
        <v>19</v>
      </c>
      <c r="AD10" s="126"/>
      <c r="AE10" s="126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500</v>
      </c>
      <c r="R11" s="203"/>
      <c r="S11" s="203"/>
      <c r="T11" s="203"/>
      <c r="U11" s="203"/>
      <c r="W11" s="126" t="s">
        <v>19</v>
      </c>
      <c r="X11" s="126"/>
      <c r="Y11" s="126"/>
      <c r="Z11" s="51">
        <v>1</v>
      </c>
      <c r="AB11" s="51">
        <v>1</v>
      </c>
      <c r="AC11" s="126" t="s">
        <v>14</v>
      </c>
      <c r="AD11" s="126"/>
      <c r="AE11" s="12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26</v>
      </c>
      <c r="X12" s="126"/>
      <c r="Y12" s="126"/>
      <c r="Z12" s="51">
        <v>0</v>
      </c>
      <c r="AB12" s="51">
        <v>2</v>
      </c>
      <c r="AC12" s="126" t="s">
        <v>5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15</v>
      </c>
      <c r="X13" s="126"/>
      <c r="Y13" s="126"/>
      <c r="Z13" s="51">
        <v>1</v>
      </c>
      <c r="AB13" s="51">
        <v>1</v>
      </c>
      <c r="AC13" s="126" t="s">
        <v>4</v>
      </c>
      <c r="AD13" s="126"/>
      <c r="AE13" s="126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18</v>
      </c>
      <c r="X14" s="126"/>
      <c r="Y14" s="126"/>
      <c r="Z14" s="51">
        <v>0</v>
      </c>
      <c r="AB14" s="51">
        <v>2</v>
      </c>
      <c r="AC14" s="126" t="s">
        <v>32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5</v>
      </c>
      <c r="X15" s="126"/>
      <c r="Y15" s="126"/>
      <c r="Z15" s="51">
        <v>2</v>
      </c>
      <c r="AB15" s="51">
        <v>1</v>
      </c>
      <c r="AC15" s="126" t="s">
        <v>6</v>
      </c>
      <c r="AD15" s="126"/>
      <c r="AE15" s="126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11</v>
      </c>
      <c r="T19" s="22">
        <v>18</v>
      </c>
      <c r="U19" s="22">
        <v>16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27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131</v>
      </c>
      <c r="T22" s="199"/>
      <c r="U22" s="199" t="s">
        <v>128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Talita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Talita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Talita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H76" s="16">
        <v>0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Talita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>
        <v>1</v>
      </c>
      <c r="C79" s="76" t="s">
        <v>53</v>
      </c>
      <c r="D79" s="76">
        <v>0</v>
      </c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Talita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>
        <v>2</v>
      </c>
      <c r="C82" s="76" t="s">
        <v>53</v>
      </c>
      <c r="D82" s="76">
        <v>2</v>
      </c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17" customWidth="1"/>
    <col min="47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88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28</v>
      </c>
      <c r="X10" s="126"/>
      <c r="Y10" s="126"/>
      <c r="Z10" s="51">
        <v>0</v>
      </c>
      <c r="AB10" s="51">
        <v>2</v>
      </c>
      <c r="AC10" s="126" t="s">
        <v>19</v>
      </c>
      <c r="AD10" s="126"/>
      <c r="AE10" s="126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515</v>
      </c>
      <c r="R11" s="203"/>
      <c r="S11" s="203"/>
      <c r="T11" s="203"/>
      <c r="U11" s="203"/>
      <c r="W11" s="126" t="s">
        <v>26</v>
      </c>
      <c r="X11" s="126"/>
      <c r="Y11" s="126"/>
      <c r="Z11" s="51">
        <v>2</v>
      </c>
      <c r="AB11" s="51">
        <v>0</v>
      </c>
      <c r="AC11" s="126" t="s">
        <v>55</v>
      </c>
      <c r="AD11" s="126"/>
      <c r="AE11" s="126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18</v>
      </c>
      <c r="X12" s="126"/>
      <c r="Y12" s="126"/>
      <c r="Z12" s="51">
        <v>0</v>
      </c>
      <c r="AB12" s="51">
        <v>2</v>
      </c>
      <c r="AC12" s="126" t="s">
        <v>32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5</v>
      </c>
      <c r="X13" s="126"/>
      <c r="Y13" s="126"/>
      <c r="Z13" s="51">
        <v>2</v>
      </c>
      <c r="AB13" s="51">
        <v>1</v>
      </c>
      <c r="AC13" s="126" t="s">
        <v>6</v>
      </c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17</v>
      </c>
      <c r="X14" s="126"/>
      <c r="Y14" s="126"/>
      <c r="Z14" s="51">
        <v>2</v>
      </c>
      <c r="AB14" s="51">
        <v>0</v>
      </c>
      <c r="AC14" s="126" t="s">
        <v>23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/>
      <c r="X15" s="126"/>
      <c r="Y15" s="126"/>
      <c r="AC15" s="126"/>
      <c r="AD15" s="126"/>
      <c r="AE15" s="12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13</v>
      </c>
      <c r="S19" s="22">
        <v>13</v>
      </c>
      <c r="T19" s="22">
        <v>13</v>
      </c>
      <c r="U19" s="22">
        <v>17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17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128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Anderson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Anderson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Anderson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Anderson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Anderson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3" width="5.7109375" style="17" customWidth="1"/>
    <col min="44" max="16384" width="9.140625" style="17"/>
  </cols>
  <sheetData>
    <row r="1" spans="1:31" x14ac:dyDescent="0.25">
      <c r="A1" s="207" t="s">
        <v>58</v>
      </c>
      <c r="B1" s="207"/>
      <c r="C1" s="207"/>
      <c r="D1" s="207"/>
      <c r="E1" s="207"/>
      <c r="K1" s="201" t="s">
        <v>58</v>
      </c>
      <c r="L1" s="201"/>
      <c r="M1" s="201"/>
      <c r="N1" s="201"/>
      <c r="O1" s="201"/>
    </row>
    <row r="2" spans="1:31" x14ac:dyDescent="0.25">
      <c r="A2" s="210" t="s">
        <v>43</v>
      </c>
      <c r="B2" s="210"/>
      <c r="C2" s="210"/>
      <c r="D2" s="210"/>
      <c r="E2" s="21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204" t="s">
        <v>89</v>
      </c>
      <c r="X2" s="204"/>
      <c r="Y2" s="204"/>
      <c r="Z2" s="204"/>
      <c r="AA2" s="204"/>
      <c r="AB2" s="204"/>
      <c r="AC2" s="204"/>
      <c r="AD2" s="204"/>
      <c r="AE2" s="204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204"/>
      <c r="X3" s="204"/>
      <c r="Y3" s="204"/>
      <c r="Z3" s="204"/>
      <c r="AA3" s="204"/>
      <c r="AB3" s="204"/>
      <c r="AC3" s="204"/>
      <c r="AD3" s="204"/>
      <c r="AE3" s="204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204"/>
      <c r="X4" s="204"/>
      <c r="Y4" s="204"/>
      <c r="Z4" s="204"/>
      <c r="AA4" s="204"/>
      <c r="AB4" s="204"/>
      <c r="AC4" s="204"/>
      <c r="AD4" s="204"/>
      <c r="AE4" s="204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204"/>
      <c r="X5" s="204"/>
      <c r="Y5" s="204"/>
      <c r="Z5" s="204"/>
      <c r="AA5" s="204"/>
      <c r="AB5" s="204"/>
      <c r="AC5" s="204"/>
      <c r="AD5" s="204"/>
      <c r="AE5" s="204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204"/>
      <c r="X6" s="204"/>
      <c r="Y6" s="204"/>
      <c r="Z6" s="204"/>
      <c r="AA6" s="204"/>
      <c r="AB6" s="204"/>
      <c r="AC6" s="204"/>
      <c r="AD6" s="204"/>
      <c r="AE6" s="204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207" t="s">
        <v>65</v>
      </c>
      <c r="B8" s="207"/>
      <c r="C8" s="207"/>
      <c r="D8" s="207"/>
      <c r="E8" s="207"/>
      <c r="J8" s="17" t="str">
        <f>IF(Tabela!F9="","",Tabela!F9)</f>
        <v/>
      </c>
      <c r="K8" s="201" t="s">
        <v>65</v>
      </c>
      <c r="L8" s="201"/>
      <c r="M8" s="201"/>
      <c r="N8" s="201"/>
      <c r="O8" s="201"/>
    </row>
    <row r="9" spans="1:31" x14ac:dyDescent="0.25">
      <c r="A9" s="210" t="s">
        <v>43</v>
      </c>
      <c r="B9" s="210"/>
      <c r="C9" s="210"/>
      <c r="D9" s="210"/>
      <c r="E9" s="210"/>
      <c r="J9" s="17" t="s">
        <v>68</v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202" t="s">
        <v>66</v>
      </c>
      <c r="R9" s="202"/>
      <c r="S9" s="202"/>
      <c r="T9" s="202"/>
      <c r="U9" s="202"/>
      <c r="W9" s="126" t="s">
        <v>124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202"/>
      <c r="R10" s="202"/>
      <c r="S10" s="202"/>
      <c r="T10" s="202"/>
      <c r="U10" s="202"/>
      <c r="W10" s="126" t="s">
        <v>16</v>
      </c>
      <c r="X10" s="126"/>
      <c r="Y10" s="126"/>
      <c r="Z10" s="51">
        <v>1</v>
      </c>
      <c r="AB10" s="51">
        <v>1</v>
      </c>
      <c r="AC10" s="126" t="s">
        <v>34</v>
      </c>
      <c r="AD10" s="126"/>
      <c r="AE10" s="126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203">
        <f>SUM(H2:H85)</f>
        <v>525</v>
      </c>
      <c r="R11" s="203"/>
      <c r="S11" s="203"/>
      <c r="T11" s="203"/>
      <c r="U11" s="203"/>
      <c r="W11" s="126" t="s">
        <v>55</v>
      </c>
      <c r="X11" s="126"/>
      <c r="Y11" s="126"/>
      <c r="Z11" s="51">
        <v>1</v>
      </c>
      <c r="AB11" s="51">
        <v>2</v>
      </c>
      <c r="AC11" s="126" t="s">
        <v>24</v>
      </c>
      <c r="AD11" s="126"/>
      <c r="AE11" s="126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203"/>
      <c r="R12" s="203"/>
      <c r="S12" s="203"/>
      <c r="T12" s="203"/>
      <c r="U12" s="203"/>
      <c r="W12" s="126" t="s">
        <v>10</v>
      </c>
      <c r="X12" s="126"/>
      <c r="Y12" s="126"/>
      <c r="Z12" s="51">
        <v>1</v>
      </c>
      <c r="AB12" s="51">
        <v>2</v>
      </c>
      <c r="AC12" s="126" t="s">
        <v>23</v>
      </c>
      <c r="AD12" s="126"/>
      <c r="AE12" s="126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203"/>
      <c r="R13" s="203"/>
      <c r="S13" s="203"/>
      <c r="T13" s="203"/>
      <c r="U13" s="203"/>
      <c r="W13" s="126" t="s">
        <v>5</v>
      </c>
      <c r="X13" s="126"/>
      <c r="Y13" s="126"/>
      <c r="Z13" s="51">
        <v>2</v>
      </c>
      <c r="AB13" s="51">
        <v>1</v>
      </c>
      <c r="AC13" s="126" t="s">
        <v>6</v>
      </c>
      <c r="AD13" s="126"/>
      <c r="AE13" s="126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203"/>
      <c r="R14" s="203"/>
      <c r="S14" s="203"/>
      <c r="T14" s="203"/>
      <c r="U14" s="203"/>
      <c r="W14" s="126" t="s">
        <v>20</v>
      </c>
      <c r="X14" s="126"/>
      <c r="Y14" s="126"/>
      <c r="Z14" s="51">
        <v>1</v>
      </c>
      <c r="AB14" s="51">
        <v>2</v>
      </c>
      <c r="AC14" s="126" t="s">
        <v>17</v>
      </c>
      <c r="AD14" s="126"/>
      <c r="AE14" s="126"/>
    </row>
    <row r="15" spans="1:31" x14ac:dyDescent="0.25">
      <c r="A15" s="207" t="s">
        <v>64</v>
      </c>
      <c r="B15" s="207"/>
      <c r="C15" s="207"/>
      <c r="D15" s="207"/>
      <c r="E15" s="207"/>
      <c r="J15" s="17" t="str">
        <f>IF(Tabela!F16="","",Tabela!F16)</f>
        <v/>
      </c>
      <c r="K15" s="201" t="s">
        <v>64</v>
      </c>
      <c r="L15" s="201"/>
      <c r="M15" s="201"/>
      <c r="N15" s="201"/>
      <c r="O15" s="201"/>
      <c r="Q15" s="203"/>
      <c r="R15" s="203"/>
      <c r="S15" s="203"/>
      <c r="T15" s="203"/>
      <c r="U15" s="203"/>
      <c r="W15" s="126" t="s">
        <v>17</v>
      </c>
      <c r="X15" s="126"/>
      <c r="Y15" s="126"/>
      <c r="Z15" s="51">
        <v>2</v>
      </c>
      <c r="AB15" s="51">
        <v>0</v>
      </c>
      <c r="AC15" s="126" t="s">
        <v>23</v>
      </c>
      <c r="AD15" s="126"/>
      <c r="AE15" s="126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26"/>
      <c r="X18" s="126"/>
      <c r="Y18" s="126"/>
      <c r="AC18" s="126"/>
      <c r="AD18" s="126"/>
      <c r="AE18" s="12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9</v>
      </c>
      <c r="S19" s="22">
        <v>19</v>
      </c>
      <c r="T19" s="22">
        <v>10</v>
      </c>
      <c r="U19" s="22">
        <v>16</v>
      </c>
      <c r="W19" s="126"/>
      <c r="X19" s="126"/>
      <c r="Y19" s="126"/>
      <c r="AC19" s="126"/>
      <c r="AD19" s="126"/>
      <c r="AE19" s="12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8" t="s">
        <v>42</v>
      </c>
      <c r="R21" s="198"/>
      <c r="S21" s="197" t="s">
        <v>8</v>
      </c>
      <c r="T21" s="197"/>
      <c r="U21" s="197" t="s">
        <v>15</v>
      </c>
      <c r="V21" s="197"/>
      <c r="W21" s="126"/>
      <c r="X21" s="126"/>
      <c r="Y21" s="126"/>
      <c r="AC21" s="126"/>
      <c r="AD21" s="126"/>
      <c r="AE21" s="126"/>
    </row>
    <row r="22" spans="1:31" x14ac:dyDescent="0.25">
      <c r="A22" s="207" t="s">
        <v>63</v>
      </c>
      <c r="B22" s="207"/>
      <c r="C22" s="207"/>
      <c r="D22" s="207"/>
      <c r="E22" s="207"/>
      <c r="J22" s="17" t="str">
        <f>IF(Tabela!F23="","",Tabela!F23)</f>
        <v/>
      </c>
      <c r="K22" s="201" t="s">
        <v>63</v>
      </c>
      <c r="L22" s="201"/>
      <c r="M22" s="201"/>
      <c r="N22" s="201"/>
      <c r="O22" s="201"/>
      <c r="Q22" s="198" t="s">
        <v>41</v>
      </c>
      <c r="R22" s="198"/>
      <c r="S22" s="199" t="s">
        <v>129</v>
      </c>
      <c r="T22" s="199"/>
      <c r="U22" s="199" t="s">
        <v>130</v>
      </c>
      <c r="V22" s="199"/>
      <c r="W22" s="126"/>
      <c r="X22" s="126"/>
      <c r="Y22" s="126"/>
      <c r="AC22" s="126"/>
      <c r="AD22" s="126"/>
      <c r="AE22" s="12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26"/>
      <c r="X24" s="126"/>
      <c r="Y24" s="126"/>
      <c r="AC24" s="126"/>
      <c r="AD24" s="126"/>
      <c r="AE24" s="126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26"/>
      <c r="X25" s="126"/>
      <c r="Y25" s="126"/>
      <c r="AC25" s="126"/>
      <c r="AD25" s="126"/>
      <c r="AE25" s="126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26"/>
      <c r="X27" s="126"/>
      <c r="Y27" s="126"/>
      <c r="AC27" s="126"/>
      <c r="AD27" s="126"/>
      <c r="AE27" s="126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26"/>
      <c r="X28" s="126"/>
      <c r="Y28" s="126"/>
      <c r="AC28" s="126"/>
      <c r="AD28" s="126"/>
      <c r="AE28" s="126"/>
    </row>
    <row r="29" spans="1:31" x14ac:dyDescent="0.25">
      <c r="A29" s="207" t="s">
        <v>62</v>
      </c>
      <c r="B29" s="207"/>
      <c r="C29" s="207"/>
      <c r="D29" s="207"/>
      <c r="E29" s="207"/>
      <c r="K29" s="201" t="s">
        <v>62</v>
      </c>
      <c r="L29" s="201"/>
      <c r="M29" s="201"/>
      <c r="N29" s="201"/>
      <c r="O29" s="201"/>
      <c r="W29" s="126"/>
      <c r="X29" s="126"/>
      <c r="Y29" s="126"/>
      <c r="AC29" s="126"/>
      <c r="AD29" s="126"/>
      <c r="AE29" s="126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207" t="s">
        <v>61</v>
      </c>
      <c r="B36" s="207"/>
      <c r="C36" s="207"/>
      <c r="D36" s="207"/>
      <c r="E36" s="207"/>
      <c r="J36" s="17" t="str">
        <f>IF(Tabela!L9="","",Tabela!L9)</f>
        <v/>
      </c>
      <c r="K36" s="201" t="s">
        <v>61</v>
      </c>
      <c r="L36" s="201"/>
      <c r="M36" s="201"/>
      <c r="N36" s="201"/>
      <c r="O36" s="201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207" t="s">
        <v>60</v>
      </c>
      <c r="B43" s="207"/>
      <c r="C43" s="207"/>
      <c r="D43" s="207"/>
      <c r="E43" s="207"/>
      <c r="J43" s="17" t="str">
        <f>IF(Tabela!L16="","",Tabela!L16)</f>
        <v/>
      </c>
      <c r="K43" s="201" t="s">
        <v>60</v>
      </c>
      <c r="L43" s="201"/>
      <c r="M43" s="201"/>
      <c r="N43" s="201"/>
      <c r="O43" s="201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207" t="s">
        <v>59</v>
      </c>
      <c r="B50" s="207"/>
      <c r="C50" s="207"/>
      <c r="D50" s="207"/>
      <c r="E50" s="207"/>
      <c r="J50" s="17" t="str">
        <f>IF(Tabela!L23="","",Tabela!L23)</f>
        <v/>
      </c>
      <c r="K50" s="201" t="s">
        <v>59</v>
      </c>
      <c r="L50" s="201"/>
      <c r="M50" s="201"/>
      <c r="N50" s="201"/>
      <c r="O50" s="201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208" t="str">
        <f>_xlfn.CONCAT(W2,A57)</f>
        <v>Cléofaz - Oitavas de Final</v>
      </c>
      <c r="B58" s="208"/>
      <c r="C58" s="208"/>
      <c r="D58" s="208"/>
      <c r="E58" s="208"/>
      <c r="K58" s="206" t="s">
        <v>171</v>
      </c>
      <c r="L58" s="206"/>
      <c r="M58" s="206"/>
      <c r="N58" s="206"/>
      <c r="O58" s="206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208" t="str">
        <f>_xlfn.CONCAT(W2,A67)</f>
        <v>Cléofaz - Quartas de Final</v>
      </c>
      <c r="B68" s="208"/>
      <c r="C68" s="208"/>
      <c r="D68" s="208"/>
      <c r="E68" s="208"/>
      <c r="J68" s="17" t="str">
        <f>IF(Tabela!F41="","",Tabela!F41)</f>
        <v/>
      </c>
      <c r="K68" s="206" t="s">
        <v>139</v>
      </c>
      <c r="L68" s="206"/>
      <c r="M68" s="206"/>
      <c r="N68" s="206"/>
      <c r="O68" s="206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205" t="str">
        <f>_xlfn.CONCAT(W$2,A73)</f>
        <v>Cléofaz - Semi Final</v>
      </c>
      <c r="B74" s="205"/>
      <c r="C74" s="205"/>
      <c r="D74" s="205"/>
      <c r="E74" s="205"/>
      <c r="J74" s="17" t="str">
        <f>IF(Tabela!F47="","",Tabela!F47)</f>
        <v/>
      </c>
      <c r="K74" s="206" t="s">
        <v>140</v>
      </c>
      <c r="L74" s="206"/>
      <c r="M74" s="206"/>
      <c r="N74" s="206"/>
      <c r="O74" s="206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H76" s="16">
        <v>25</v>
      </c>
      <c r="J76" s="17" t="str">
        <f>IF(Tabela!F49="","",Tabela!F49)</f>
        <v/>
      </c>
      <c r="K76" s="76" t="str">
        <f>IF(Tabela!A49="","",Tabela!A49)</f>
        <v>França</v>
      </c>
      <c r="L76" s="76">
        <f>IF(Tabela!B49="","",Tabela!B49)</f>
        <v>2</v>
      </c>
      <c r="M76" s="76" t="str">
        <f>IF(Tabela!C49="","",Tabela!C49)</f>
        <v>X</v>
      </c>
      <c r="N76" s="76">
        <f>IF(Tabela!D49="","",Tabela!D49)</f>
        <v>0</v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205" t="str">
        <f>_xlfn.CONCAT(W$2,A77)</f>
        <v>Cléofaz - Terceiro Lugar</v>
      </c>
      <c r="B78" s="205"/>
      <c r="C78" s="205"/>
      <c r="D78" s="205"/>
      <c r="E78" s="205"/>
      <c r="J78" s="17" t="str">
        <f>IF(Tabela!F51="","",Tabela!F51)</f>
        <v/>
      </c>
      <c r="K78" s="206" t="s">
        <v>141</v>
      </c>
      <c r="L78" s="206"/>
      <c r="M78" s="206"/>
      <c r="N78" s="206"/>
      <c r="O78" s="206"/>
    </row>
    <row r="79" spans="1:15" x14ac:dyDescent="0.25">
      <c r="A79" s="18" t="str">
        <f>IF(Tabela!A52="","",Tabela!A52)</f>
        <v>Croácia</v>
      </c>
      <c r="B79" s="76"/>
      <c r="C79" s="76" t="s">
        <v>53</v>
      </c>
      <c r="D79" s="76"/>
      <c r="E79" s="19" t="str">
        <f>IF(Tabela!E52="","",Tabela!E52)</f>
        <v>Marrocos</v>
      </c>
      <c r="J79" s="17" t="str">
        <f>IF(Tabela!F52="","",Tabela!F52)</f>
        <v>N</v>
      </c>
      <c r="K79" s="76" t="str">
        <f>IF(Tabela!A52="","",Tabela!A52)</f>
        <v>Croácia</v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>Marrocos</v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205" t="str">
        <f>_xlfn.CONCAT(W$2,A80)</f>
        <v>Cléofaz - Final</v>
      </c>
      <c r="B81" s="205"/>
      <c r="C81" s="205"/>
      <c r="D81" s="205"/>
      <c r="E81" s="205"/>
      <c r="J81" s="17" t="str">
        <f>IF(Tabela!F54="","",Tabela!F54)</f>
        <v/>
      </c>
      <c r="K81" s="206" t="s">
        <v>142</v>
      </c>
      <c r="L81" s="206"/>
      <c r="M81" s="206"/>
      <c r="N81" s="206"/>
      <c r="O81" s="206"/>
    </row>
    <row r="82" spans="1:15" x14ac:dyDescent="0.25">
      <c r="A82" s="18" t="str">
        <f>IF(Tabela!A55="","",Tabela!A55)</f>
        <v>Argentina</v>
      </c>
      <c r="B82" s="76"/>
      <c r="C82" s="76" t="s">
        <v>53</v>
      </c>
      <c r="D82" s="76"/>
      <c r="E82" s="19" t="str">
        <f>IF(Tabela!E55="","",Tabela!E55)</f>
        <v>França</v>
      </c>
      <c r="J82" s="17" t="str">
        <f>IF(Tabela!F55="","",Tabela!F55)</f>
        <v>N</v>
      </c>
      <c r="K82" s="76" t="str">
        <f>IF(Tabela!A55="","",Tabela!A55)</f>
        <v>Argentina</v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>França</v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2022-12-16T21:42:37Z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2022-12-16T21:42:37Z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d25fdbc3-9aca-4297-8c43-1eb67a0bdeaa</vt:lpwstr>
  </property>
  <property fmtid="{D5CDD505-2E9C-101B-9397-08002B2CF9AE}" pid="8" name="MSIP_Label_c06de4a7-0f08-40d9-aeea-6b6c28cbe58e_ContentBits">
    <vt:lpwstr>2</vt:lpwstr>
  </property>
</Properties>
</file>