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8CBC8C1C-49ED-49F4-BED7-CC87C9B100F6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" l="1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4" i="31" s="1"/>
  <c r="Q11" i="34"/>
  <c r="L12" i="31" s="1"/>
  <c r="Q11" i="32"/>
  <c r="P24" i="31" s="1"/>
  <c r="Q11" i="30"/>
  <c r="L11" i="31" s="1"/>
  <c r="Q11" i="27"/>
  <c r="P22" i="31" s="1"/>
  <c r="Q11" i="26"/>
  <c r="L23" i="31" s="1"/>
  <c r="Q11" i="25"/>
  <c r="L22" i="31" s="1"/>
  <c r="Q11" i="24"/>
  <c r="P19" i="31" s="1"/>
  <c r="Q11" i="23"/>
  <c r="L24" i="31" s="1"/>
  <c r="Q11" i="22"/>
  <c r="P17" i="31" s="1"/>
  <c r="Q11" i="21"/>
  <c r="L18" i="31" s="1"/>
  <c r="Q11" i="20"/>
  <c r="P15" i="31" s="1"/>
  <c r="Q11" i="19"/>
  <c r="L7" i="31" s="1"/>
  <c r="Q11" i="13"/>
  <c r="L10" i="31" s="1"/>
  <c r="Q11" i="16"/>
  <c r="L9" i="31" s="1"/>
  <c r="Q11" i="12"/>
  <c r="L6" i="31" s="1"/>
  <c r="Q11" i="18"/>
  <c r="L15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9" i="31"/>
  <c r="P23" i="31"/>
  <c r="L17" i="31"/>
  <c r="P20" i="31"/>
  <c r="L8" i="31"/>
  <c r="P18" i="31"/>
  <c r="L25" i="31"/>
  <c r="P16" i="31"/>
  <c r="L16" i="31"/>
  <c r="P14" i="31"/>
  <c r="P13" i="31"/>
  <c r="P12" i="31"/>
  <c r="P11" i="31"/>
  <c r="P10" i="31"/>
  <c r="L14" i="31"/>
  <c r="L20" i="31"/>
  <c r="L13" i="31"/>
  <c r="L3" i="31"/>
  <c r="L21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<sst xmlns="http://schemas.openxmlformats.org/spreadsheetml/2006/main" count="6554" uniqueCount="184">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</sst>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0" borderId="0" xfId="0" applyFill="1" applyBorder="1" applyAlignment="1">
      <alignment horizontal="right" vertical="center"/>
    </xf>
    <xf numFmtId="0" fontId="0" fillId="20" borderId="0" xfId="0" applyFill="1" applyBorder="1" applyAlignment="1">
      <alignment horizontal="center" vertical="center"/>
    </xf>
    <xf numFmtId="0" fontId="0" fillId="20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3" fillId="21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2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8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8" t="s">
        <v>16</v>
      </c>
      <c r="C2" s="98"/>
      <c r="D2" s="98"/>
      <c r="E2" s="97">
        <v>1</v>
      </c>
      <c r="F2" s="97"/>
      <c r="G2" s="97">
        <v>1</v>
      </c>
      <c r="H2" s="98" t="s">
        <v>34</v>
      </c>
      <c r="I2" s="98"/>
      <c r="J2" s="98"/>
      <c r="L2" t="s">
        <v>89</v>
      </c>
    </row>
    <row r="3" spans="2:12" x14ac:dyDescent="0.25">
      <c r="B3" s="98" t="s">
        <v>55</v>
      </c>
      <c r="C3" s="98"/>
      <c r="D3" s="98"/>
      <c r="E3" s="97">
        <v>1</v>
      </c>
      <c r="F3" s="97"/>
      <c r="G3" s="97">
        <v>2</v>
      </c>
      <c r="H3" s="98" t="s">
        <v>24</v>
      </c>
      <c r="I3" s="98"/>
      <c r="J3" s="98"/>
    </row>
    <row r="4" spans="2:12" x14ac:dyDescent="0.25">
      <c r="B4" s="98" t="s">
        <v>10</v>
      </c>
      <c r="C4" s="98"/>
      <c r="D4" s="98"/>
      <c r="E4" s="97">
        <v>1</v>
      </c>
      <c r="F4" s="97"/>
      <c r="G4" s="97">
        <v>2</v>
      </c>
      <c r="H4" s="98" t="s">
        <v>23</v>
      </c>
      <c r="I4" s="98"/>
      <c r="J4" s="98"/>
    </row>
    <row r="5" spans="2:12" x14ac:dyDescent="0.25">
      <c r="B5" s="98" t="s">
        <v>5</v>
      </c>
      <c r="C5" s="98"/>
      <c r="D5" s="98"/>
      <c r="E5" s="97">
        <v>2</v>
      </c>
      <c r="F5" s="97"/>
      <c r="G5" s="97">
        <v>1</v>
      </c>
      <c r="H5" s="98" t="s">
        <v>6</v>
      </c>
      <c r="I5" s="98"/>
      <c r="J5" s="98"/>
    </row>
    <row r="6" spans="2:12" x14ac:dyDescent="0.25">
      <c r="B6" s="98" t="s">
        <v>20</v>
      </c>
      <c r="C6" s="98"/>
      <c r="D6" s="98"/>
      <c r="E6" s="97">
        <v>1</v>
      </c>
      <c r="F6" s="97"/>
      <c r="G6" s="97">
        <v>2</v>
      </c>
      <c r="H6" s="98" t="s">
        <v>17</v>
      </c>
      <c r="I6" s="98"/>
      <c r="J6" s="98"/>
    </row>
    <row r="8" spans="2:12" x14ac:dyDescent="0.25">
      <c r="B8" s="98" t="s">
        <v>28</v>
      </c>
      <c r="C8" s="98"/>
      <c r="D8" s="98"/>
      <c r="E8" s="97">
        <v>0</v>
      </c>
      <c r="F8" s="97"/>
      <c r="G8" s="97">
        <v>2</v>
      </c>
      <c r="H8" s="98" t="s">
        <v>19</v>
      </c>
      <c r="I8" s="98"/>
      <c r="J8" s="98"/>
      <c r="L8" t="s">
        <v>88</v>
      </c>
    </row>
    <row r="9" spans="2:12" x14ac:dyDescent="0.25">
      <c r="B9" s="98" t="s">
        <v>26</v>
      </c>
      <c r="C9" s="98"/>
      <c r="D9" s="98"/>
      <c r="E9" s="97">
        <v>2</v>
      </c>
      <c r="F9" s="97"/>
      <c r="G9" s="97">
        <v>0</v>
      </c>
      <c r="H9" s="98" t="s">
        <v>55</v>
      </c>
      <c r="I9" s="98"/>
      <c r="J9" s="98"/>
    </row>
    <row r="10" spans="2:12" x14ac:dyDescent="0.25">
      <c r="B10" s="98" t="s">
        <v>18</v>
      </c>
      <c r="C10" s="98"/>
      <c r="D10" s="98"/>
      <c r="E10" s="97">
        <v>0</v>
      </c>
      <c r="F10" s="97"/>
      <c r="G10" s="97">
        <v>2</v>
      </c>
      <c r="H10" s="98" t="s">
        <v>32</v>
      </c>
      <c r="I10" s="98"/>
      <c r="J10" s="98"/>
    </row>
    <row r="11" spans="2:12" x14ac:dyDescent="0.25">
      <c r="B11" s="98" t="s">
        <v>5</v>
      </c>
      <c r="C11" s="98"/>
      <c r="D11" s="98"/>
      <c r="E11" s="97">
        <v>2</v>
      </c>
      <c r="F11" s="97"/>
      <c r="G11" s="97">
        <v>1</v>
      </c>
      <c r="H11" s="98" t="s">
        <v>6</v>
      </c>
      <c r="I11" s="98"/>
      <c r="J11" s="98"/>
    </row>
    <row r="13" spans="2:12" x14ac:dyDescent="0.25">
      <c r="B13" s="98" t="s">
        <v>28</v>
      </c>
      <c r="C13" s="98"/>
      <c r="D13" s="98"/>
      <c r="E13" s="97">
        <v>0</v>
      </c>
      <c r="F13" s="97"/>
      <c r="G13" s="97">
        <v>2</v>
      </c>
      <c r="H13" s="98" t="s">
        <v>19</v>
      </c>
      <c r="I13" s="98"/>
      <c r="J13" s="98"/>
      <c r="L13" t="s">
        <v>87</v>
      </c>
    </row>
    <row r="14" spans="2:12" x14ac:dyDescent="0.25">
      <c r="B14" s="98" t="s">
        <v>19</v>
      </c>
      <c r="C14" s="98"/>
      <c r="D14" s="98"/>
      <c r="E14" s="97">
        <v>1</v>
      </c>
      <c r="F14" s="97"/>
      <c r="G14" s="97">
        <v>1</v>
      </c>
      <c r="H14" s="98" t="s">
        <v>14</v>
      </c>
      <c r="I14" s="98"/>
      <c r="J14" s="98"/>
    </row>
    <row r="15" spans="2:12" x14ac:dyDescent="0.25">
      <c r="B15" s="98" t="s">
        <v>26</v>
      </c>
      <c r="C15" s="98"/>
      <c r="D15" s="98"/>
      <c r="E15" s="97">
        <v>0</v>
      </c>
      <c r="F15" s="97"/>
      <c r="G15" s="97">
        <v>2</v>
      </c>
      <c r="H15" s="98" t="s">
        <v>5</v>
      </c>
      <c r="I15" s="98"/>
      <c r="J15" s="98"/>
    </row>
    <row r="16" spans="2:12" x14ac:dyDescent="0.25">
      <c r="B16" s="98" t="s">
        <v>15</v>
      </c>
      <c r="C16" s="98"/>
      <c r="D16" s="98"/>
      <c r="E16" s="97">
        <v>1</v>
      </c>
      <c r="F16" s="97"/>
      <c r="G16" s="97">
        <v>1</v>
      </c>
      <c r="H16" s="98" t="s">
        <v>4</v>
      </c>
      <c r="I16" s="98"/>
      <c r="J16" s="98"/>
    </row>
    <row r="17" spans="2:12" x14ac:dyDescent="0.25">
      <c r="B17" s="98" t="s">
        <v>18</v>
      </c>
      <c r="C17" s="98"/>
      <c r="D17" s="98"/>
      <c r="E17" s="97">
        <v>0</v>
      </c>
      <c r="F17" s="97"/>
      <c r="G17" s="97">
        <v>2</v>
      </c>
      <c r="H17" s="98" t="s">
        <v>32</v>
      </c>
      <c r="I17" s="98"/>
      <c r="J17" s="98"/>
    </row>
    <row r="18" spans="2:12" x14ac:dyDescent="0.25">
      <c r="B18" s="98" t="s">
        <v>5</v>
      </c>
      <c r="C18" s="98"/>
      <c r="D18" s="98"/>
      <c r="E18" s="97">
        <v>2</v>
      </c>
      <c r="F18" s="97"/>
      <c r="G18" s="97">
        <v>1</v>
      </c>
      <c r="H18" s="98" t="s">
        <v>6</v>
      </c>
      <c r="I18" s="98"/>
      <c r="J18" s="98"/>
    </row>
    <row r="20" spans="2:12" x14ac:dyDescent="0.25">
      <c r="B20" s="98" t="s">
        <v>16</v>
      </c>
      <c r="C20" s="98"/>
      <c r="D20" s="98"/>
      <c r="E20" s="97">
        <v>1</v>
      </c>
      <c r="F20" s="97"/>
      <c r="G20" s="97">
        <v>1</v>
      </c>
      <c r="H20" s="98" t="s">
        <v>34</v>
      </c>
      <c r="I20" s="98"/>
      <c r="J20" s="98"/>
      <c r="L20" t="s">
        <v>86</v>
      </c>
    </row>
    <row r="21" spans="2:12" x14ac:dyDescent="0.25">
      <c r="B21" s="98" t="s">
        <v>34</v>
      </c>
      <c r="C21" s="98"/>
      <c r="D21" s="98"/>
      <c r="E21" s="97">
        <v>0</v>
      </c>
      <c r="F21" s="97"/>
      <c r="G21" s="97">
        <v>3</v>
      </c>
      <c r="H21" s="98" t="s">
        <v>20</v>
      </c>
      <c r="I21" s="98"/>
      <c r="J21" s="98"/>
    </row>
    <row r="22" spans="2:12" x14ac:dyDescent="0.25">
      <c r="B22" s="98" t="s">
        <v>26</v>
      </c>
      <c r="C22" s="98"/>
      <c r="D22" s="98"/>
      <c r="E22" s="97">
        <v>2</v>
      </c>
      <c r="F22" s="97"/>
      <c r="G22" s="97">
        <v>0</v>
      </c>
      <c r="H22" s="98" t="s">
        <v>55</v>
      </c>
      <c r="I22" s="98"/>
      <c r="J22" s="98"/>
    </row>
    <row r="24" spans="2:12" x14ac:dyDescent="0.25">
      <c r="B24" s="98" t="s">
        <v>31</v>
      </c>
      <c r="C24" s="98"/>
      <c r="D24" s="98"/>
      <c r="E24" s="97">
        <v>0</v>
      </c>
      <c r="F24" s="97"/>
      <c r="G24" s="97">
        <v>1</v>
      </c>
      <c r="H24" s="98" t="s">
        <v>6</v>
      </c>
      <c r="I24" s="98"/>
      <c r="J24" s="98"/>
      <c r="L24" t="s">
        <v>85</v>
      </c>
    </row>
    <row r="25" spans="2:12" x14ac:dyDescent="0.25">
      <c r="B25" s="98" t="s">
        <v>15</v>
      </c>
      <c r="C25" s="98"/>
      <c r="D25" s="98"/>
      <c r="E25" s="97">
        <v>1</v>
      </c>
      <c r="F25" s="97"/>
      <c r="G25" s="97">
        <v>1</v>
      </c>
      <c r="H25" s="98" t="s">
        <v>4</v>
      </c>
      <c r="I25" s="98"/>
      <c r="J25" s="98"/>
    </row>
    <row r="26" spans="2:12" x14ac:dyDescent="0.25">
      <c r="B26" s="98" t="s">
        <v>5</v>
      </c>
      <c r="C26" s="98"/>
      <c r="D26" s="98"/>
      <c r="E26" s="97">
        <v>2</v>
      </c>
      <c r="F26" s="97"/>
      <c r="G26" s="97">
        <v>1</v>
      </c>
      <c r="H26" s="98" t="s">
        <v>6</v>
      </c>
      <c r="I26" s="98"/>
      <c r="J26" s="98"/>
    </row>
    <row r="28" spans="2:12" x14ac:dyDescent="0.25">
      <c r="B28" s="98" t="s">
        <v>4</v>
      </c>
      <c r="C28" s="98"/>
      <c r="D28" s="98"/>
      <c r="E28" s="97">
        <v>1</v>
      </c>
      <c r="F28" s="97"/>
      <c r="G28" s="97">
        <v>2</v>
      </c>
      <c r="H28" s="98" t="s">
        <v>22</v>
      </c>
      <c r="I28" s="98"/>
      <c r="J28" s="98"/>
      <c r="L28" t="s">
        <v>84</v>
      </c>
    </row>
    <row r="29" spans="2:12" x14ac:dyDescent="0.25">
      <c r="B29" s="98" t="s">
        <v>15</v>
      </c>
      <c r="C29" s="98"/>
      <c r="D29" s="98"/>
      <c r="E29" s="97">
        <v>1</v>
      </c>
      <c r="F29" s="97"/>
      <c r="G29" s="97">
        <v>1</v>
      </c>
      <c r="H29" s="98" t="s">
        <v>4</v>
      </c>
      <c r="I29" s="98"/>
      <c r="J29" s="98"/>
    </row>
    <row r="30" spans="2:12" x14ac:dyDescent="0.25">
      <c r="B30" s="98" t="s">
        <v>22</v>
      </c>
      <c r="C30" s="98"/>
      <c r="D30" s="98"/>
      <c r="E30" s="97">
        <v>2</v>
      </c>
      <c r="F30" s="97"/>
      <c r="G30" s="97">
        <v>1</v>
      </c>
      <c r="H30" s="98" t="s">
        <v>15</v>
      </c>
      <c r="I30" s="98"/>
      <c r="J30" s="98"/>
    </row>
    <row r="31" spans="2:12" x14ac:dyDescent="0.25">
      <c r="B31" s="98" t="s">
        <v>7</v>
      </c>
      <c r="C31" s="98"/>
      <c r="D31" s="98"/>
      <c r="E31" s="97">
        <v>1</v>
      </c>
      <c r="F31" s="97"/>
      <c r="G31" s="97">
        <v>0</v>
      </c>
      <c r="H31" s="98" t="s">
        <v>10</v>
      </c>
      <c r="I31" s="98"/>
      <c r="J31" s="98"/>
    </row>
    <row r="32" spans="2:12" x14ac:dyDescent="0.25">
      <c r="B32" s="98" t="s">
        <v>17</v>
      </c>
      <c r="C32" s="98"/>
      <c r="D32" s="98"/>
      <c r="E32" s="97">
        <v>3</v>
      </c>
      <c r="F32" s="97"/>
      <c r="G32" s="97">
        <v>1</v>
      </c>
      <c r="H32" s="98" t="s">
        <v>26</v>
      </c>
      <c r="I32" s="98"/>
      <c r="J32" s="98"/>
    </row>
    <row r="34" spans="2:12" x14ac:dyDescent="0.25">
      <c r="B34" s="98" t="s">
        <v>31</v>
      </c>
      <c r="C34" s="98"/>
      <c r="D34" s="98"/>
      <c r="E34" s="97">
        <v>1</v>
      </c>
      <c r="F34" s="97"/>
      <c r="G34" s="97">
        <v>0</v>
      </c>
      <c r="H34" s="98" t="s">
        <v>17</v>
      </c>
      <c r="I34" s="98"/>
      <c r="J34" s="98"/>
      <c r="L34" t="s">
        <v>83</v>
      </c>
    </row>
    <row r="35" spans="2:12" x14ac:dyDescent="0.25">
      <c r="B35" s="98" t="s">
        <v>6</v>
      </c>
      <c r="C35" s="98"/>
      <c r="D35" s="98"/>
      <c r="E35" s="97">
        <v>1</v>
      </c>
      <c r="F35" s="97"/>
      <c r="G35" s="97">
        <v>0</v>
      </c>
      <c r="H35" s="98" t="s">
        <v>13</v>
      </c>
      <c r="I35" s="98"/>
      <c r="J35" s="98"/>
    </row>
    <row r="36" spans="2:12" x14ac:dyDescent="0.25">
      <c r="B36" s="98" t="s">
        <v>7</v>
      </c>
      <c r="C36" s="98"/>
      <c r="D36" s="98"/>
      <c r="E36" s="97">
        <v>1</v>
      </c>
      <c r="F36" s="97"/>
      <c r="G36" s="97">
        <v>0</v>
      </c>
      <c r="H36" s="98" t="s">
        <v>10</v>
      </c>
      <c r="I36" s="98"/>
      <c r="J36" s="98"/>
    </row>
    <row r="37" spans="2:12" x14ac:dyDescent="0.25">
      <c r="B37" s="98" t="s">
        <v>30</v>
      </c>
      <c r="C37" s="98"/>
      <c r="D37" s="98"/>
      <c r="E37" s="97">
        <v>1</v>
      </c>
      <c r="F37" s="97"/>
      <c r="G37" s="97">
        <v>0</v>
      </c>
      <c r="H37" s="98" t="s">
        <v>9</v>
      </c>
      <c r="I37" s="98"/>
      <c r="J37" s="98"/>
    </row>
    <row r="38" spans="2:12" x14ac:dyDescent="0.25">
      <c r="B38" s="98" t="s">
        <v>8</v>
      </c>
      <c r="C38" s="98"/>
      <c r="D38" s="98"/>
      <c r="E38" s="97">
        <v>1</v>
      </c>
      <c r="F38" s="97"/>
      <c r="G38" s="97">
        <v>0</v>
      </c>
      <c r="H38" s="98" t="s">
        <v>30</v>
      </c>
      <c r="I38" s="98"/>
      <c r="J38" s="98"/>
    </row>
    <row r="39" spans="2:12" x14ac:dyDescent="0.25">
      <c r="B39" s="98" t="s">
        <v>9</v>
      </c>
      <c r="C39" s="98"/>
      <c r="D39" s="98"/>
      <c r="E39" s="97">
        <v>1</v>
      </c>
      <c r="F39" s="97"/>
      <c r="G39" s="97">
        <v>0</v>
      </c>
      <c r="H39" s="98" t="s">
        <v>8</v>
      </c>
      <c r="I39" s="98"/>
      <c r="J39" s="98"/>
    </row>
    <row r="40" spans="2:12" x14ac:dyDescent="0.25">
      <c r="B40" s="98" t="s">
        <v>12</v>
      </c>
      <c r="C40" s="98"/>
      <c r="D40" s="98"/>
      <c r="E40" s="97">
        <v>1</v>
      </c>
      <c r="F40" s="97"/>
      <c r="G40" s="97">
        <v>1</v>
      </c>
      <c r="H40" s="98" t="s">
        <v>8</v>
      </c>
      <c r="I40" s="98"/>
      <c r="J40" s="98"/>
    </row>
    <row r="42" spans="2:12" x14ac:dyDescent="0.25">
      <c r="B42" s="98" t="s">
        <v>21</v>
      </c>
      <c r="C42" s="98"/>
      <c r="D42" s="98"/>
      <c r="E42" s="97">
        <v>0</v>
      </c>
      <c r="F42" s="97"/>
      <c r="G42" s="97">
        <v>1</v>
      </c>
      <c r="H42" s="98" t="s">
        <v>16</v>
      </c>
      <c r="I42" s="98"/>
      <c r="J42" s="98"/>
      <c r="L42" t="s">
        <v>82</v>
      </c>
    </row>
    <row r="43" spans="2:12" x14ac:dyDescent="0.25">
      <c r="B43" s="98" t="s">
        <v>31</v>
      </c>
      <c r="C43" s="98"/>
      <c r="D43" s="98"/>
      <c r="E43" s="97">
        <v>0</v>
      </c>
      <c r="F43" s="97"/>
      <c r="G43" s="97">
        <v>1</v>
      </c>
      <c r="H43" s="98" t="s">
        <v>6</v>
      </c>
      <c r="I43" s="98"/>
      <c r="J43" s="98"/>
    </row>
    <row r="44" spans="2:12" x14ac:dyDescent="0.25">
      <c r="B44" s="98" t="s">
        <v>22</v>
      </c>
      <c r="C44" s="98"/>
      <c r="D44" s="98"/>
      <c r="E44" s="97">
        <v>0</v>
      </c>
      <c r="F44" s="97"/>
      <c r="G44" s="97">
        <v>1</v>
      </c>
      <c r="H44" s="98" t="s">
        <v>56</v>
      </c>
      <c r="I44" s="98"/>
      <c r="J44" s="98"/>
    </row>
    <row r="46" spans="2:12" x14ac:dyDescent="0.25">
      <c r="B46" s="98" t="s">
        <v>5</v>
      </c>
      <c r="C46" s="98"/>
      <c r="D46" s="98"/>
      <c r="E46" s="97">
        <v>2</v>
      </c>
      <c r="F46" s="97"/>
      <c r="G46" s="97">
        <v>1</v>
      </c>
      <c r="H46" s="98" t="s">
        <v>6</v>
      </c>
      <c r="I46" s="98"/>
      <c r="J46" s="98"/>
      <c r="L46" t="s">
        <v>81</v>
      </c>
    </row>
    <row r="48" spans="2:12" x14ac:dyDescent="0.25">
      <c r="B48" s="98" t="s">
        <v>19</v>
      </c>
      <c r="C48" s="98"/>
      <c r="D48" s="98"/>
      <c r="E48" s="97">
        <v>2</v>
      </c>
      <c r="F48" s="97"/>
      <c r="G48" s="97">
        <v>0</v>
      </c>
      <c r="H48" s="98" t="s">
        <v>11</v>
      </c>
      <c r="I48" s="98"/>
      <c r="J48" s="98"/>
      <c r="L48" t="s">
        <v>80</v>
      </c>
    </row>
    <row r="49" spans="2:12" x14ac:dyDescent="0.25">
      <c r="B49" s="98" t="s">
        <v>56</v>
      </c>
      <c r="C49" s="98"/>
      <c r="D49" s="98"/>
      <c r="E49" s="97">
        <v>2</v>
      </c>
      <c r="F49" s="97"/>
      <c r="G49" s="97">
        <v>4</v>
      </c>
      <c r="H49" s="98" t="s">
        <v>4</v>
      </c>
      <c r="I49" s="98"/>
      <c r="J49" s="98"/>
    </row>
    <row r="50" spans="2:12" x14ac:dyDescent="0.25">
      <c r="B50" s="98" t="s">
        <v>32</v>
      </c>
      <c r="C50" s="98"/>
      <c r="D50" s="98"/>
      <c r="E50" s="97">
        <v>0</v>
      </c>
      <c r="F50" s="97"/>
      <c r="G50" s="97">
        <v>0</v>
      </c>
      <c r="H50" s="98" t="s">
        <v>67</v>
      </c>
      <c r="I50" s="98"/>
      <c r="J50" s="98"/>
    </row>
    <row r="51" spans="2:12" x14ac:dyDescent="0.25">
      <c r="B51" s="98" t="s">
        <v>20</v>
      </c>
      <c r="C51" s="98"/>
      <c r="D51" s="98"/>
      <c r="E51" s="97">
        <v>1</v>
      </c>
      <c r="F51" s="97"/>
      <c r="G51" s="97">
        <v>2</v>
      </c>
      <c r="H51" s="98" t="s">
        <v>17</v>
      </c>
      <c r="I51" s="98"/>
      <c r="J51" s="98"/>
    </row>
    <row r="53" spans="2:12" x14ac:dyDescent="0.25">
      <c r="B53" s="98" t="s">
        <v>21</v>
      </c>
      <c r="C53" s="98"/>
      <c r="D53" s="98"/>
      <c r="E53" s="97">
        <v>0</v>
      </c>
      <c r="F53" s="97"/>
      <c r="G53" s="97">
        <v>1</v>
      </c>
      <c r="H53" s="98" t="s">
        <v>16</v>
      </c>
      <c r="I53" s="98"/>
      <c r="J53" s="98"/>
      <c r="L53" t="s">
        <v>79</v>
      </c>
    </row>
    <row r="54" spans="2:12" x14ac:dyDescent="0.25">
      <c r="B54" s="98" t="s">
        <v>55</v>
      </c>
      <c r="C54" s="98"/>
      <c r="D54" s="98"/>
      <c r="E54" s="97">
        <v>1</v>
      </c>
      <c r="F54" s="97"/>
      <c r="G54" s="97">
        <v>2</v>
      </c>
      <c r="H54" s="98" t="s">
        <v>24</v>
      </c>
      <c r="I54" s="98"/>
      <c r="J54" s="98"/>
    </row>
    <row r="55" spans="2:12" x14ac:dyDescent="0.25">
      <c r="B55" s="98" t="s">
        <v>31</v>
      </c>
      <c r="C55" s="98"/>
      <c r="D55" s="98"/>
      <c r="E55" s="97">
        <v>0</v>
      </c>
      <c r="F55" s="97"/>
      <c r="G55" s="97">
        <v>1</v>
      </c>
      <c r="H55" s="98" t="s">
        <v>6</v>
      </c>
      <c r="I55" s="98"/>
      <c r="J55" s="98"/>
    </row>
    <row r="56" spans="2:12" x14ac:dyDescent="0.25">
      <c r="B56" s="98" t="s">
        <v>17</v>
      </c>
      <c r="C56" s="98"/>
      <c r="D56" s="98"/>
      <c r="E56" s="97">
        <v>2</v>
      </c>
      <c r="F56" s="97"/>
      <c r="G56" s="97">
        <v>1</v>
      </c>
      <c r="H56" s="98" t="s">
        <v>13</v>
      </c>
      <c r="I56" s="98"/>
      <c r="J56" s="98"/>
    </row>
    <row r="58" spans="2:12" x14ac:dyDescent="0.25">
      <c r="B58" s="98" t="s">
        <v>34</v>
      </c>
      <c r="C58" s="98"/>
      <c r="D58" s="98"/>
      <c r="E58" s="97">
        <v>0</v>
      </c>
      <c r="F58" s="97"/>
      <c r="G58" s="97">
        <v>3</v>
      </c>
      <c r="H58" s="98" t="s">
        <v>20</v>
      </c>
      <c r="I58" s="98"/>
      <c r="J58" s="98"/>
      <c r="L58" t="s">
        <v>78</v>
      </c>
    </row>
    <row r="59" spans="2:12" x14ac:dyDescent="0.25">
      <c r="B59" s="98" t="s">
        <v>55</v>
      </c>
      <c r="C59" s="98"/>
      <c r="D59" s="98"/>
      <c r="E59" s="97">
        <v>1</v>
      </c>
      <c r="F59" s="97"/>
      <c r="G59" s="97">
        <v>2</v>
      </c>
      <c r="H59" s="98" t="s">
        <v>24</v>
      </c>
      <c r="I59" s="98"/>
      <c r="J59" s="98"/>
    </row>
    <row r="60" spans="2:12" x14ac:dyDescent="0.25">
      <c r="B60" s="98" t="s">
        <v>56</v>
      </c>
      <c r="C60" s="98"/>
      <c r="D60" s="98"/>
      <c r="E60" s="97">
        <v>2</v>
      </c>
      <c r="F60" s="97"/>
      <c r="G60" s="97">
        <v>4</v>
      </c>
      <c r="H60" s="98" t="s">
        <v>4</v>
      </c>
      <c r="I60" s="98"/>
      <c r="J60" s="98"/>
    </row>
    <row r="61" spans="2:12" x14ac:dyDescent="0.25">
      <c r="B61" s="98" t="s">
        <v>30</v>
      </c>
      <c r="C61" s="98"/>
      <c r="D61" s="98"/>
      <c r="E61" s="97">
        <v>1</v>
      </c>
      <c r="F61" s="97"/>
      <c r="G61" s="97">
        <v>0</v>
      </c>
      <c r="H61" s="98" t="s">
        <v>9</v>
      </c>
      <c r="I61" s="98"/>
      <c r="J61" s="98"/>
    </row>
    <row r="62" spans="2:12" x14ac:dyDescent="0.25">
      <c r="B62" s="98" t="s">
        <v>5</v>
      </c>
      <c r="C62" s="98"/>
      <c r="D62" s="98"/>
      <c r="E62" s="97">
        <v>2</v>
      </c>
      <c r="F62" s="97"/>
      <c r="G62" s="97">
        <v>1</v>
      </c>
      <c r="H62" s="98" t="s">
        <v>6</v>
      </c>
      <c r="I62" s="98"/>
      <c r="J62" s="98"/>
    </row>
    <row r="63" spans="2:12" x14ac:dyDescent="0.25">
      <c r="B63" s="98" t="s">
        <v>20</v>
      </c>
      <c r="C63" s="98"/>
      <c r="D63" s="98"/>
      <c r="E63" s="97">
        <v>1</v>
      </c>
      <c r="F63" s="97"/>
      <c r="G63" s="97">
        <v>2</v>
      </c>
      <c r="H63" s="98" t="s">
        <v>17</v>
      </c>
      <c r="I63" s="98"/>
      <c r="J63" s="98"/>
    </row>
    <row r="65" spans="2:12" x14ac:dyDescent="0.25">
      <c r="B65" s="98" t="s">
        <v>11</v>
      </c>
      <c r="C65" s="98"/>
      <c r="D65" s="98"/>
      <c r="E65" s="97">
        <v>0</v>
      </c>
      <c r="F65" s="97"/>
      <c r="G65" s="97">
        <v>2</v>
      </c>
      <c r="H65" s="98" t="s">
        <v>14</v>
      </c>
      <c r="I65" s="98"/>
      <c r="J65" s="98"/>
      <c r="L65" t="s">
        <v>77</v>
      </c>
    </row>
    <row r="66" spans="2:12" x14ac:dyDescent="0.25">
      <c r="B66" s="98" t="s">
        <v>14</v>
      </c>
      <c r="C66" s="98"/>
      <c r="D66" s="98"/>
      <c r="E66" s="97">
        <v>1</v>
      </c>
      <c r="F66" s="97"/>
      <c r="G66" s="97">
        <v>2</v>
      </c>
      <c r="H66" s="98" t="s">
        <v>28</v>
      </c>
      <c r="I66" s="98"/>
      <c r="J66" s="98"/>
    </row>
    <row r="67" spans="2:12" x14ac:dyDescent="0.25">
      <c r="B67" s="98" t="s">
        <v>26</v>
      </c>
      <c r="C67" s="98"/>
      <c r="D67" s="98"/>
      <c r="E67" s="97">
        <v>2</v>
      </c>
      <c r="F67" s="97"/>
      <c r="G67" s="97">
        <v>0</v>
      </c>
      <c r="H67" s="98" t="s">
        <v>55</v>
      </c>
      <c r="I67" s="98"/>
      <c r="J67" s="98"/>
    </row>
    <row r="68" spans="2:12" x14ac:dyDescent="0.25">
      <c r="B68" s="98" t="s">
        <v>17</v>
      </c>
      <c r="C68" s="98"/>
      <c r="D68" s="98"/>
      <c r="E68" s="97">
        <v>2</v>
      </c>
      <c r="F68" s="97"/>
      <c r="G68" s="97">
        <v>1</v>
      </c>
      <c r="H68" s="98" t="s">
        <v>13</v>
      </c>
      <c r="I68" s="98"/>
      <c r="J68" s="98"/>
    </row>
    <row r="69" spans="2:12" x14ac:dyDescent="0.25">
      <c r="B69" s="98" t="s">
        <v>30</v>
      </c>
      <c r="C69" s="98"/>
      <c r="D69" s="98"/>
      <c r="E69" s="97">
        <v>1</v>
      </c>
      <c r="F69" s="97"/>
      <c r="G69" s="97">
        <v>0</v>
      </c>
      <c r="H69" s="98" t="s">
        <v>9</v>
      </c>
      <c r="I69" s="98"/>
      <c r="J69" s="98"/>
    </row>
    <row r="70" spans="2:12" x14ac:dyDescent="0.25">
      <c r="B70" s="98" t="s">
        <v>23</v>
      </c>
      <c r="C70" s="98"/>
      <c r="D70" s="98"/>
      <c r="E70" s="97">
        <v>1</v>
      </c>
      <c r="F70" s="97"/>
      <c r="G70" s="97">
        <v>0</v>
      </c>
      <c r="H70" s="98" t="s">
        <v>27</v>
      </c>
      <c r="I70" s="98"/>
      <c r="J70" s="98"/>
    </row>
    <row r="72" spans="2:12" x14ac:dyDescent="0.25">
      <c r="B72" s="98" t="s">
        <v>11</v>
      </c>
      <c r="C72" s="98"/>
      <c r="D72" s="98"/>
      <c r="E72" s="97">
        <v>1</v>
      </c>
      <c r="F72" s="97"/>
      <c r="G72" s="97">
        <v>3</v>
      </c>
      <c r="H72" s="98" t="s">
        <v>28</v>
      </c>
      <c r="I72" s="98"/>
      <c r="J72" s="98"/>
      <c r="L72" t="s">
        <v>76</v>
      </c>
    </row>
    <row r="73" spans="2:12" x14ac:dyDescent="0.25">
      <c r="B73" s="98" t="s">
        <v>19</v>
      </c>
      <c r="C73" s="98"/>
      <c r="D73" s="98"/>
      <c r="E73" s="97">
        <v>2</v>
      </c>
      <c r="F73" s="97"/>
      <c r="G73" s="97">
        <v>0</v>
      </c>
      <c r="H73" s="98" t="s">
        <v>11</v>
      </c>
      <c r="I73" s="98"/>
      <c r="J73" s="98"/>
    </row>
    <row r="74" spans="2:12" x14ac:dyDescent="0.25">
      <c r="B74" s="98" t="s">
        <v>14</v>
      </c>
      <c r="C74" s="98"/>
      <c r="D74" s="98"/>
      <c r="E74" s="97">
        <v>1</v>
      </c>
      <c r="F74" s="97"/>
      <c r="G74" s="97">
        <v>2</v>
      </c>
      <c r="H74" s="98" t="s">
        <v>28</v>
      </c>
      <c r="I74" s="98"/>
      <c r="J74" s="98"/>
    </row>
    <row r="75" spans="2:12" x14ac:dyDescent="0.25">
      <c r="B75" s="98" t="s">
        <v>26</v>
      </c>
      <c r="C75" s="98"/>
      <c r="D75" s="98"/>
      <c r="E75" s="97">
        <v>2</v>
      </c>
      <c r="F75" s="97"/>
      <c r="G75" s="97">
        <v>0</v>
      </c>
      <c r="H75" s="98" t="s">
        <v>55</v>
      </c>
      <c r="I75" s="98"/>
      <c r="J75" s="98"/>
    </row>
    <row r="76" spans="2:12" x14ac:dyDescent="0.25">
      <c r="B76" s="98" t="s">
        <v>30</v>
      </c>
      <c r="C76" s="98"/>
      <c r="D76" s="98"/>
      <c r="E76" s="97">
        <v>1</v>
      </c>
      <c r="F76" s="97"/>
      <c r="G76" s="97">
        <v>0</v>
      </c>
      <c r="H76" s="98" t="s">
        <v>9</v>
      </c>
      <c r="I76" s="98"/>
      <c r="J76" s="98"/>
    </row>
    <row r="77" spans="2:12" x14ac:dyDescent="0.25">
      <c r="B77" s="98" t="s">
        <v>8</v>
      </c>
      <c r="C77" s="98"/>
      <c r="D77" s="98"/>
      <c r="E77" s="97">
        <v>2</v>
      </c>
      <c r="F77" s="97"/>
      <c r="G77" s="97">
        <v>0</v>
      </c>
      <c r="H77" s="98" t="s">
        <v>29</v>
      </c>
      <c r="I77" s="98"/>
      <c r="J77" s="98"/>
    </row>
    <row r="78" spans="2:12" x14ac:dyDescent="0.25">
      <c r="B78" s="98" t="s">
        <v>20</v>
      </c>
      <c r="C78" s="98"/>
      <c r="D78" s="98"/>
      <c r="E78" s="97">
        <v>1</v>
      </c>
      <c r="F78" s="97"/>
      <c r="G78" s="97">
        <v>2</v>
      </c>
      <c r="H78" s="98" t="s">
        <v>17</v>
      </c>
      <c r="I78" s="98"/>
      <c r="J78" s="98"/>
    </row>
    <row r="80" spans="2:12" x14ac:dyDescent="0.25">
      <c r="B80" s="98" t="s">
        <v>26</v>
      </c>
      <c r="C80" s="98"/>
      <c r="D80" s="98"/>
      <c r="E80" s="97">
        <v>2</v>
      </c>
      <c r="F80" s="97"/>
      <c r="G80" s="97">
        <v>0</v>
      </c>
      <c r="H80" s="98" t="s">
        <v>55</v>
      </c>
      <c r="I80" s="98"/>
      <c r="J80" s="98"/>
      <c r="L80" t="s">
        <v>75</v>
      </c>
    </row>
    <row r="81" spans="2:12" x14ac:dyDescent="0.25">
      <c r="B81" s="98" t="s">
        <v>5</v>
      </c>
      <c r="C81" s="98"/>
      <c r="D81" s="98"/>
      <c r="E81" s="97">
        <v>2</v>
      </c>
      <c r="F81" s="97"/>
      <c r="G81" s="97">
        <v>0</v>
      </c>
      <c r="H81" s="98" t="s">
        <v>24</v>
      </c>
      <c r="I81" s="98"/>
      <c r="J81" s="98"/>
    </row>
    <row r="82" spans="2:12" x14ac:dyDescent="0.25">
      <c r="B82" s="98" t="s">
        <v>31</v>
      </c>
      <c r="C82" s="98"/>
      <c r="D82" s="98"/>
      <c r="E82" s="97">
        <v>0</v>
      </c>
      <c r="F82" s="97"/>
      <c r="G82" s="97">
        <v>1</v>
      </c>
      <c r="H82" s="98" t="s">
        <v>6</v>
      </c>
      <c r="I82" s="98"/>
      <c r="J82" s="98"/>
    </row>
    <row r="83" spans="2:12" x14ac:dyDescent="0.25">
      <c r="B83" s="98" t="s">
        <v>6</v>
      </c>
      <c r="C83" s="98"/>
      <c r="D83" s="98"/>
      <c r="E83" s="97">
        <v>1</v>
      </c>
      <c r="F83" s="97"/>
      <c r="G83" s="97">
        <v>0</v>
      </c>
      <c r="H83" s="98" t="s">
        <v>13</v>
      </c>
      <c r="I83" s="98"/>
      <c r="J83" s="98"/>
    </row>
    <row r="84" spans="2:12" x14ac:dyDescent="0.25">
      <c r="B84" s="98" t="s">
        <v>7</v>
      </c>
      <c r="C84" s="98"/>
      <c r="D84" s="98"/>
      <c r="E84" s="97">
        <v>1</v>
      </c>
      <c r="F84" s="97"/>
      <c r="G84" s="97">
        <v>0</v>
      </c>
      <c r="H84" s="98" t="s">
        <v>10</v>
      </c>
      <c r="I84" s="98"/>
      <c r="J84" s="98"/>
    </row>
    <row r="85" spans="2:12" x14ac:dyDescent="0.25">
      <c r="B85" s="98" t="s">
        <v>8</v>
      </c>
      <c r="C85" s="98"/>
      <c r="D85" s="98"/>
      <c r="E85" s="97">
        <v>2</v>
      </c>
      <c r="F85" s="97"/>
      <c r="G85" s="97">
        <v>0</v>
      </c>
      <c r="H85" s="98" t="s">
        <v>29</v>
      </c>
      <c r="I85" s="98"/>
      <c r="J85" s="98"/>
    </row>
    <row r="86" spans="2:12" x14ac:dyDescent="0.25">
      <c r="B86" s="98" t="s">
        <v>8</v>
      </c>
      <c r="C86" s="98"/>
      <c r="D86" s="98"/>
      <c r="E86" s="97">
        <v>1</v>
      </c>
      <c r="F86" s="97"/>
      <c r="G86" s="97">
        <v>0</v>
      </c>
      <c r="H86" s="98" t="s">
        <v>30</v>
      </c>
      <c r="I86" s="98"/>
      <c r="J86" s="98"/>
    </row>
    <row r="87" spans="2:12" x14ac:dyDescent="0.25">
      <c r="B87" s="98" t="s">
        <v>5</v>
      </c>
      <c r="C87" s="98"/>
      <c r="D87" s="98"/>
      <c r="E87" s="97">
        <v>2</v>
      </c>
      <c r="F87" s="97"/>
      <c r="G87" s="97">
        <v>1</v>
      </c>
      <c r="H87" s="98" t="s">
        <v>6</v>
      </c>
      <c r="I87" s="98"/>
      <c r="J87" s="98"/>
    </row>
    <row r="89" spans="2:12" x14ac:dyDescent="0.25">
      <c r="B89" s="98" t="s">
        <v>20</v>
      </c>
      <c r="C89" s="98"/>
      <c r="D89" s="98"/>
      <c r="E89" s="97">
        <v>0</v>
      </c>
      <c r="F89" s="97"/>
      <c r="G89" s="97">
        <v>0</v>
      </c>
      <c r="H89" s="98" t="s">
        <v>16</v>
      </c>
      <c r="I89" s="98"/>
      <c r="J89" s="98"/>
      <c r="L89" t="s">
        <v>74</v>
      </c>
    </row>
    <row r="90" spans="2:12" x14ac:dyDescent="0.25">
      <c r="B90" s="98" t="s">
        <v>21</v>
      </c>
      <c r="C90" s="98"/>
      <c r="D90" s="98"/>
      <c r="E90" s="97">
        <v>0</v>
      </c>
      <c r="F90" s="97"/>
      <c r="G90" s="97">
        <v>1</v>
      </c>
      <c r="H90" s="98" t="s">
        <v>16</v>
      </c>
      <c r="I90" s="98"/>
      <c r="J90" s="98"/>
    </row>
    <row r="91" spans="2:12" x14ac:dyDescent="0.25">
      <c r="B91" s="98" t="s">
        <v>34</v>
      </c>
      <c r="C91" s="98"/>
      <c r="D91" s="98"/>
      <c r="E91" s="97">
        <v>0</v>
      </c>
      <c r="F91" s="97"/>
      <c r="G91" s="97">
        <v>3</v>
      </c>
      <c r="H91" s="98" t="s">
        <v>20</v>
      </c>
      <c r="I91" s="98"/>
      <c r="J91" s="98"/>
    </row>
    <row r="92" spans="2:12" x14ac:dyDescent="0.25">
      <c r="B92" s="98" t="s">
        <v>13</v>
      </c>
      <c r="C92" s="98"/>
      <c r="D92" s="98"/>
      <c r="E92" s="97">
        <v>0</v>
      </c>
      <c r="F92" s="97"/>
      <c r="G92" s="97">
        <v>0</v>
      </c>
      <c r="H92" s="98" t="s">
        <v>31</v>
      </c>
      <c r="I92" s="98"/>
      <c r="J92" s="98"/>
    </row>
    <row r="93" spans="2:12" x14ac:dyDescent="0.25">
      <c r="B93" s="98" t="s">
        <v>20</v>
      </c>
      <c r="C93" s="98"/>
      <c r="D93" s="98"/>
      <c r="E93" s="97">
        <v>1</v>
      </c>
      <c r="F93" s="97"/>
      <c r="G93" s="97">
        <v>2</v>
      </c>
      <c r="H93" s="98" t="s">
        <v>17</v>
      </c>
      <c r="I93" s="98"/>
      <c r="J93" s="98"/>
    </row>
    <row r="95" spans="2:12" x14ac:dyDescent="0.25">
      <c r="B95" s="98" t="s">
        <v>28</v>
      </c>
      <c r="C95" s="98"/>
      <c r="D95" s="98"/>
      <c r="E95" s="97">
        <v>0</v>
      </c>
      <c r="F95" s="97"/>
      <c r="G95" s="97">
        <v>2</v>
      </c>
      <c r="H95" s="98" t="s">
        <v>19</v>
      </c>
      <c r="I95" s="98"/>
      <c r="J95" s="98"/>
      <c r="L95" t="s">
        <v>73</v>
      </c>
    </row>
    <row r="96" spans="2:12" x14ac:dyDescent="0.25">
      <c r="B96" s="98" t="s">
        <v>34</v>
      </c>
      <c r="C96" s="98"/>
      <c r="D96" s="98"/>
      <c r="E96" s="97">
        <v>0</v>
      </c>
      <c r="F96" s="97"/>
      <c r="G96" s="97">
        <v>3</v>
      </c>
      <c r="H96" s="98" t="s">
        <v>20</v>
      </c>
      <c r="I96" s="98"/>
      <c r="J96" s="98"/>
    </row>
    <row r="97" spans="2:12" x14ac:dyDescent="0.25">
      <c r="B97" s="98" t="s">
        <v>17</v>
      </c>
      <c r="C97" s="98"/>
      <c r="D97" s="98"/>
      <c r="E97" s="97">
        <v>2</v>
      </c>
      <c r="F97" s="97"/>
      <c r="G97" s="97">
        <v>1</v>
      </c>
      <c r="H97" s="98" t="s">
        <v>13</v>
      </c>
      <c r="I97" s="98"/>
      <c r="J97" s="98"/>
    </row>
    <row r="98" spans="2:12" x14ac:dyDescent="0.25">
      <c r="B98" s="98" t="s">
        <v>7</v>
      </c>
      <c r="C98" s="98"/>
      <c r="D98" s="98"/>
      <c r="E98" s="97">
        <v>1</v>
      </c>
      <c r="F98" s="97"/>
      <c r="G98" s="97">
        <v>0</v>
      </c>
      <c r="H98" s="98" t="s">
        <v>10</v>
      </c>
      <c r="I98" s="98"/>
      <c r="J98" s="98"/>
    </row>
    <row r="99" spans="2:12" x14ac:dyDescent="0.25">
      <c r="B99" s="98" t="s">
        <v>8</v>
      </c>
      <c r="C99" s="98"/>
      <c r="D99" s="98"/>
      <c r="E99" s="97">
        <v>2</v>
      </c>
      <c r="F99" s="97"/>
      <c r="G99" s="97">
        <v>0</v>
      </c>
      <c r="H99" s="98" t="s">
        <v>29</v>
      </c>
      <c r="I99" s="98"/>
      <c r="J99" s="98"/>
    </row>
    <row r="100" spans="2:12" x14ac:dyDescent="0.25">
      <c r="B100" s="98" t="s">
        <v>5</v>
      </c>
      <c r="C100" s="98"/>
      <c r="D100" s="98"/>
      <c r="E100" s="97">
        <v>2</v>
      </c>
      <c r="F100" s="97"/>
      <c r="G100" s="97">
        <v>1</v>
      </c>
      <c r="H100" s="98" t="s">
        <v>6</v>
      </c>
      <c r="I100" s="98"/>
      <c r="J100" s="98"/>
    </row>
    <row r="102" spans="2:12" x14ac:dyDescent="0.25">
      <c r="B102" s="98" t="s">
        <v>19</v>
      </c>
      <c r="C102" s="98"/>
      <c r="D102" s="98"/>
      <c r="E102" s="97">
        <v>2</v>
      </c>
      <c r="F102" s="97"/>
      <c r="G102" s="97">
        <v>0</v>
      </c>
      <c r="H102" s="98" t="s">
        <v>11</v>
      </c>
      <c r="I102" s="98"/>
      <c r="J102" s="98"/>
      <c r="L102" t="s">
        <v>71</v>
      </c>
    </row>
    <row r="103" spans="2:12" x14ac:dyDescent="0.25">
      <c r="B103" s="98" t="s">
        <v>16</v>
      </c>
      <c r="C103" s="98"/>
      <c r="D103" s="98"/>
      <c r="E103" s="97">
        <v>1</v>
      </c>
      <c r="F103" s="97"/>
      <c r="G103" s="97">
        <v>1</v>
      </c>
      <c r="H103" s="98" t="s">
        <v>34</v>
      </c>
      <c r="I103" s="98"/>
      <c r="J103" s="98"/>
    </row>
    <row r="104" spans="2:12" x14ac:dyDescent="0.25">
      <c r="B104" s="98" t="s">
        <v>26</v>
      </c>
      <c r="C104" s="98"/>
      <c r="D104" s="98"/>
      <c r="E104" s="97">
        <v>2</v>
      </c>
      <c r="F104" s="97"/>
      <c r="G104" s="97">
        <v>0</v>
      </c>
      <c r="H104" s="98" t="s">
        <v>55</v>
      </c>
      <c r="I104" s="98"/>
      <c r="J104" s="98"/>
    </row>
    <row r="105" spans="2:12" x14ac:dyDescent="0.25">
      <c r="B105" s="98" t="s">
        <v>55</v>
      </c>
      <c r="C105" s="98"/>
      <c r="D105" s="98"/>
      <c r="E105" s="97">
        <v>1</v>
      </c>
      <c r="F105" s="97"/>
      <c r="G105" s="97">
        <v>2</v>
      </c>
      <c r="H105" s="98" t="s">
        <v>24</v>
      </c>
      <c r="I105" s="98"/>
      <c r="J105" s="98"/>
    </row>
    <row r="106" spans="2:12" x14ac:dyDescent="0.25">
      <c r="B106" s="98" t="s">
        <v>6</v>
      </c>
      <c r="C106" s="98"/>
      <c r="D106" s="98"/>
      <c r="E106" s="97">
        <v>1</v>
      </c>
      <c r="F106" s="97"/>
      <c r="G106" s="97">
        <v>0</v>
      </c>
      <c r="H106" s="98" t="s">
        <v>13</v>
      </c>
      <c r="I106" s="98"/>
      <c r="J106" s="98"/>
    </row>
    <row r="107" spans="2:12" x14ac:dyDescent="0.25">
      <c r="B107" s="98" t="s">
        <v>8</v>
      </c>
      <c r="C107" s="98"/>
      <c r="D107" s="98"/>
      <c r="E107" s="97">
        <v>2</v>
      </c>
      <c r="F107" s="97"/>
      <c r="G107" s="97">
        <v>0</v>
      </c>
      <c r="H107" s="98" t="s">
        <v>29</v>
      </c>
      <c r="I107" s="98"/>
      <c r="J107" s="98"/>
    </row>
    <row r="109" spans="2:12" x14ac:dyDescent="0.25">
      <c r="B109" s="98" t="s">
        <v>16</v>
      </c>
      <c r="C109" s="98"/>
      <c r="D109" s="98"/>
      <c r="E109" s="97">
        <v>1</v>
      </c>
      <c r="F109" s="97"/>
      <c r="G109" s="97">
        <v>1</v>
      </c>
      <c r="H109" s="98" t="s">
        <v>34</v>
      </c>
      <c r="I109" s="98"/>
      <c r="J109" s="98"/>
      <c r="L109" t="s">
        <v>72</v>
      </c>
    </row>
    <row r="110" spans="2:12" x14ac:dyDescent="0.25">
      <c r="B110" s="98" t="s">
        <v>26</v>
      </c>
      <c r="C110" s="98"/>
      <c r="D110" s="98"/>
      <c r="E110" s="97">
        <v>2</v>
      </c>
      <c r="F110" s="97"/>
      <c r="G110" s="97">
        <v>0</v>
      </c>
      <c r="H110" s="98" t="s">
        <v>55</v>
      </c>
      <c r="I110" s="98"/>
      <c r="J110" s="98"/>
    </row>
    <row r="111" spans="2:12" x14ac:dyDescent="0.25">
      <c r="B111" s="98" t="s">
        <v>19</v>
      </c>
      <c r="C111" s="98"/>
      <c r="D111" s="98"/>
      <c r="E111" s="97">
        <v>2</v>
      </c>
      <c r="F111" s="97"/>
      <c r="G111" s="97">
        <v>2</v>
      </c>
      <c r="H111" s="98" t="s">
        <v>5</v>
      </c>
      <c r="I111" s="98"/>
      <c r="J111" s="98"/>
    </row>
    <row r="113" spans="2:12" x14ac:dyDescent="0.25">
      <c r="B113" s="98" t="s">
        <v>19</v>
      </c>
      <c r="C113" s="98"/>
      <c r="D113" s="98"/>
      <c r="E113" s="97">
        <v>1</v>
      </c>
      <c r="F113" s="97"/>
      <c r="G113" s="97">
        <v>1</v>
      </c>
      <c r="H113" s="98" t="s">
        <v>14</v>
      </c>
      <c r="I113" s="98"/>
      <c r="J113" s="98"/>
      <c r="L113" t="s">
        <v>69</v>
      </c>
    </row>
    <row r="114" spans="2:12" x14ac:dyDescent="0.25">
      <c r="B114" s="98" t="s">
        <v>19</v>
      </c>
      <c r="C114" s="98"/>
      <c r="D114" s="98"/>
      <c r="E114" s="97">
        <v>2</v>
      </c>
      <c r="F114" s="97"/>
      <c r="G114" s="97">
        <v>0</v>
      </c>
      <c r="H114" s="98" t="s">
        <v>11</v>
      </c>
      <c r="I114" s="98"/>
      <c r="J114" s="98"/>
    </row>
    <row r="115" spans="2:12" x14ac:dyDescent="0.25">
      <c r="B115" s="98" t="s">
        <v>22</v>
      </c>
      <c r="C115" s="98"/>
      <c r="D115" s="98"/>
      <c r="E115" s="97">
        <v>1</v>
      </c>
      <c r="F115" s="97"/>
      <c r="G115" s="97">
        <v>1</v>
      </c>
      <c r="H115" s="98" t="s">
        <v>12</v>
      </c>
      <c r="I115" s="98"/>
      <c r="J115" s="98"/>
    </row>
    <row r="116" spans="2:12" x14ac:dyDescent="0.25">
      <c r="B116" s="98" t="s">
        <v>19</v>
      </c>
      <c r="C116" s="98"/>
      <c r="D116" s="98"/>
      <c r="E116" s="97">
        <v>2</v>
      </c>
      <c r="F116" s="97"/>
      <c r="G116" s="97">
        <v>2</v>
      </c>
      <c r="H116" s="98" t="s">
        <v>5</v>
      </c>
      <c r="I116" s="98"/>
      <c r="J116" s="98"/>
    </row>
    <row r="117" spans="2:12" x14ac:dyDescent="0.25">
      <c r="B117" s="98" t="s">
        <v>20</v>
      </c>
      <c r="C117" s="98"/>
      <c r="D117" s="98"/>
      <c r="E117" s="97">
        <v>1</v>
      </c>
      <c r="F117" s="97"/>
      <c r="G117" s="97">
        <v>2</v>
      </c>
      <c r="H117" s="98" t="s">
        <v>17</v>
      </c>
      <c r="I117" s="98"/>
      <c r="J117" s="98"/>
    </row>
    <row r="119" spans="2:12" x14ac:dyDescent="0.25">
      <c r="B119" s="98" t="s">
        <v>11</v>
      </c>
      <c r="C119" s="98"/>
      <c r="D119" s="98"/>
      <c r="E119" s="97">
        <v>0</v>
      </c>
      <c r="F119" s="97"/>
      <c r="G119" s="97">
        <v>2</v>
      </c>
      <c r="H119" s="98" t="s">
        <v>14</v>
      </c>
      <c r="I119" s="98"/>
      <c r="J119" s="98"/>
      <c r="L119" t="s">
        <v>92</v>
      </c>
    </row>
    <row r="120" spans="2:12" x14ac:dyDescent="0.25">
      <c r="B120" s="98" t="s">
        <v>28</v>
      </c>
      <c r="C120" s="98"/>
      <c r="D120" s="98"/>
      <c r="E120" s="97">
        <v>0</v>
      </c>
      <c r="F120" s="97"/>
      <c r="G120" s="97">
        <v>2</v>
      </c>
      <c r="H120" s="98" t="s">
        <v>19</v>
      </c>
      <c r="I120" s="98"/>
      <c r="J120" s="98"/>
    </row>
    <row r="121" spans="2:12" x14ac:dyDescent="0.25">
      <c r="B121" s="98" t="s">
        <v>19</v>
      </c>
      <c r="C121" s="98"/>
      <c r="D121" s="98"/>
      <c r="E121" s="97">
        <v>1</v>
      </c>
      <c r="F121" s="97"/>
      <c r="G121" s="97">
        <v>1</v>
      </c>
      <c r="H121" s="98" t="s">
        <v>14</v>
      </c>
      <c r="I121" s="98"/>
      <c r="J121" s="98"/>
    </row>
    <row r="122" spans="2:12" x14ac:dyDescent="0.25">
      <c r="B122" s="98" t="s">
        <v>19</v>
      </c>
      <c r="C122" s="98"/>
      <c r="D122" s="98"/>
      <c r="E122" s="97">
        <v>2</v>
      </c>
      <c r="F122" s="97"/>
      <c r="G122" s="97">
        <v>0</v>
      </c>
      <c r="H122" s="98" t="s">
        <v>11</v>
      </c>
      <c r="I122" s="98"/>
      <c r="J122" s="98"/>
    </row>
    <row r="123" spans="2:12" x14ac:dyDescent="0.25">
      <c r="B123" s="98" t="s">
        <v>21</v>
      </c>
      <c r="C123" s="98"/>
      <c r="D123" s="98"/>
      <c r="E123" s="97">
        <v>0</v>
      </c>
      <c r="F123" s="97"/>
      <c r="G123" s="97">
        <v>1</v>
      </c>
      <c r="H123" s="98" t="s">
        <v>16</v>
      </c>
      <c r="I123" s="98"/>
      <c r="J123" s="98"/>
    </row>
    <row r="124" spans="2:12" x14ac:dyDescent="0.25">
      <c r="B124" s="98" t="s">
        <v>34</v>
      </c>
      <c r="C124" s="98"/>
      <c r="D124" s="98"/>
      <c r="E124" s="97">
        <v>0</v>
      </c>
      <c r="F124" s="97"/>
      <c r="G124" s="97">
        <v>3</v>
      </c>
      <c r="H124" s="98" t="s">
        <v>20</v>
      </c>
      <c r="I124" s="98"/>
      <c r="J124" s="98"/>
    </row>
    <row r="125" spans="2:12" x14ac:dyDescent="0.25">
      <c r="B125" s="98" t="s">
        <v>26</v>
      </c>
      <c r="C125" s="98"/>
      <c r="D125" s="98"/>
      <c r="E125" s="97">
        <v>2</v>
      </c>
      <c r="F125" s="97"/>
      <c r="G125" s="97">
        <v>0</v>
      </c>
      <c r="H125" s="98" t="s">
        <v>55</v>
      </c>
      <c r="I125" s="98"/>
      <c r="J125" s="98"/>
    </row>
    <row r="126" spans="2:12" x14ac:dyDescent="0.25">
      <c r="B126" s="98" t="s">
        <v>31</v>
      </c>
      <c r="C126" s="98"/>
      <c r="D126" s="98"/>
      <c r="E126" s="97">
        <v>0</v>
      </c>
      <c r="F126" s="97"/>
      <c r="G126" s="97">
        <v>1</v>
      </c>
      <c r="H126" s="98" t="s">
        <v>6</v>
      </c>
      <c r="I126" s="98"/>
      <c r="J126" s="98"/>
    </row>
    <row r="127" spans="2:12" x14ac:dyDescent="0.25">
      <c r="B127" s="98" t="s">
        <v>22</v>
      </c>
      <c r="C127" s="98"/>
      <c r="D127" s="98"/>
      <c r="E127" s="97">
        <v>0</v>
      </c>
      <c r="F127" s="97"/>
      <c r="G127" s="97">
        <v>1</v>
      </c>
      <c r="H127" s="98" t="s">
        <v>56</v>
      </c>
      <c r="I127" s="98"/>
      <c r="J127" s="98"/>
    </row>
    <row r="128" spans="2:12" x14ac:dyDescent="0.25">
      <c r="B128" s="98" t="s">
        <v>15</v>
      </c>
      <c r="C128" s="98"/>
      <c r="D128" s="98"/>
      <c r="E128" s="97">
        <v>1</v>
      </c>
      <c r="F128" s="97"/>
      <c r="G128" s="97">
        <v>1</v>
      </c>
      <c r="H128" s="98" t="s">
        <v>4</v>
      </c>
      <c r="I128" s="98"/>
      <c r="J128" s="98"/>
    </row>
    <row r="129" spans="2:12" x14ac:dyDescent="0.25">
      <c r="B129" s="98" t="s">
        <v>30</v>
      </c>
      <c r="C129" s="98"/>
      <c r="D129" s="98"/>
      <c r="E129" s="97">
        <v>1</v>
      </c>
      <c r="F129" s="97"/>
      <c r="G129" s="97">
        <v>0</v>
      </c>
      <c r="H129" s="98" t="s">
        <v>9</v>
      </c>
      <c r="I129" s="98"/>
      <c r="J129" s="98"/>
    </row>
    <row r="130" spans="2:12" x14ac:dyDescent="0.25">
      <c r="B130" s="98" t="s">
        <v>8</v>
      </c>
      <c r="C130" s="98"/>
      <c r="D130" s="98"/>
      <c r="E130" s="97">
        <v>2</v>
      </c>
      <c r="F130" s="97"/>
      <c r="G130" s="97">
        <v>0</v>
      </c>
      <c r="H130" s="98" t="s">
        <v>29</v>
      </c>
      <c r="I130" s="98"/>
      <c r="J130" s="98"/>
    </row>
    <row r="131" spans="2:12" x14ac:dyDescent="0.25">
      <c r="B131" s="98" t="s">
        <v>20</v>
      </c>
      <c r="C131" s="98"/>
      <c r="D131" s="98"/>
      <c r="E131" s="97">
        <v>1</v>
      </c>
      <c r="F131" s="97"/>
      <c r="G131" s="97">
        <v>2</v>
      </c>
      <c r="H131" s="98" t="s">
        <v>17</v>
      </c>
      <c r="I131" s="98"/>
      <c r="J131" s="98"/>
    </row>
    <row r="133" spans="2:12" x14ac:dyDescent="0.25">
      <c r="B133" s="98" t="s">
        <v>19</v>
      </c>
      <c r="C133" s="98"/>
      <c r="D133" s="98"/>
      <c r="E133" s="97">
        <v>1</v>
      </c>
      <c r="F133" s="97"/>
      <c r="G133" s="97">
        <v>1</v>
      </c>
      <c r="H133" s="98" t="s">
        <v>14</v>
      </c>
      <c r="I133" s="98"/>
      <c r="J133" s="98"/>
      <c r="L133" t="s">
        <v>91</v>
      </c>
    </row>
    <row r="134" spans="2:12" x14ac:dyDescent="0.25">
      <c r="B134" s="98" t="s">
        <v>19</v>
      </c>
      <c r="C134" s="98"/>
      <c r="D134" s="98"/>
      <c r="E134" s="97">
        <v>2</v>
      </c>
      <c r="F134" s="97"/>
      <c r="G134" s="97">
        <v>0</v>
      </c>
      <c r="H134" s="98" t="s">
        <v>11</v>
      </c>
      <c r="I134" s="98"/>
      <c r="J134" s="98"/>
    </row>
    <row r="135" spans="2:12" x14ac:dyDescent="0.25">
      <c r="B135" s="98" t="s">
        <v>34</v>
      </c>
      <c r="C135" s="98"/>
      <c r="D135" s="98"/>
      <c r="E135" s="97">
        <v>0</v>
      </c>
      <c r="F135" s="97"/>
      <c r="G135" s="97">
        <v>3</v>
      </c>
      <c r="H135" s="98" t="s">
        <v>20</v>
      </c>
      <c r="I135" s="98"/>
      <c r="J135" s="98"/>
    </row>
    <row r="136" spans="2:12" x14ac:dyDescent="0.25">
      <c r="B136" s="98" t="s">
        <v>26</v>
      </c>
      <c r="C136" s="98"/>
      <c r="D136" s="98"/>
      <c r="E136" s="97">
        <v>2</v>
      </c>
      <c r="F136" s="97"/>
      <c r="G136" s="97">
        <v>0</v>
      </c>
      <c r="H136" s="98" t="s">
        <v>55</v>
      </c>
      <c r="I136" s="98"/>
      <c r="J136" s="98"/>
    </row>
    <row r="137" spans="2:12" x14ac:dyDescent="0.25">
      <c r="B137" s="98" t="s">
        <v>6</v>
      </c>
      <c r="C137" s="98"/>
      <c r="D137" s="98"/>
      <c r="E137" s="97">
        <v>1</v>
      </c>
      <c r="F137" s="97"/>
      <c r="G137" s="97">
        <v>0</v>
      </c>
      <c r="H137" s="98" t="s">
        <v>13</v>
      </c>
      <c r="I137" s="98"/>
      <c r="J137" s="98"/>
    </row>
    <row r="138" spans="2:12" x14ac:dyDescent="0.25">
      <c r="B138" s="98" t="s">
        <v>8</v>
      </c>
      <c r="C138" s="98"/>
      <c r="D138" s="98"/>
      <c r="E138" s="97">
        <v>2</v>
      </c>
      <c r="F138" s="97"/>
      <c r="G138" s="97">
        <v>0</v>
      </c>
      <c r="H138" s="98" t="s">
        <v>29</v>
      </c>
      <c r="I138" s="98"/>
      <c r="J138" s="98"/>
    </row>
    <row r="139" spans="2:12" x14ac:dyDescent="0.25">
      <c r="B139" s="98" t="s">
        <v>5</v>
      </c>
      <c r="C139" s="98"/>
      <c r="D139" s="98"/>
      <c r="E139" s="97">
        <v>2</v>
      </c>
      <c r="F139" s="97"/>
      <c r="G139" s="97">
        <v>1</v>
      </c>
      <c r="H139" s="98" t="s">
        <v>6</v>
      </c>
      <c r="I139" s="98"/>
      <c r="J139" s="98"/>
    </row>
    <row r="141" spans="2:12" x14ac:dyDescent="0.25">
      <c r="B141" s="98" t="s">
        <v>14</v>
      </c>
      <c r="C141" s="98"/>
      <c r="D141" s="98"/>
      <c r="E141" s="97">
        <v>1</v>
      </c>
      <c r="F141" s="97"/>
      <c r="G141" s="97">
        <v>2</v>
      </c>
      <c r="H141" s="98" t="s">
        <v>28</v>
      </c>
      <c r="I141" s="98"/>
      <c r="J141" s="98"/>
      <c r="L141" t="s">
        <v>70</v>
      </c>
    </row>
    <row r="142" spans="2:12" x14ac:dyDescent="0.25">
      <c r="B142" s="98" t="s">
        <v>16</v>
      </c>
      <c r="C142" s="98"/>
      <c r="D142" s="98"/>
      <c r="E142" s="97">
        <v>1</v>
      </c>
      <c r="F142" s="97"/>
      <c r="G142" s="97">
        <v>1</v>
      </c>
      <c r="H142" s="98" t="s">
        <v>34</v>
      </c>
      <c r="I142" s="98"/>
      <c r="J142" s="98"/>
    </row>
    <row r="143" spans="2:12" x14ac:dyDescent="0.25">
      <c r="B143" s="98" t="s">
        <v>5</v>
      </c>
      <c r="C143" s="98"/>
      <c r="D143" s="98"/>
      <c r="E143" s="97">
        <v>2</v>
      </c>
      <c r="F143" s="97"/>
      <c r="G143" s="97">
        <v>0</v>
      </c>
      <c r="H143" s="98" t="s">
        <v>24</v>
      </c>
      <c r="I143" s="98"/>
      <c r="J143" s="98"/>
    </row>
    <row r="144" spans="2:12" x14ac:dyDescent="0.25">
      <c r="B144" s="98" t="s">
        <v>55</v>
      </c>
      <c r="C144" s="98"/>
      <c r="D144" s="98"/>
      <c r="E144" s="97">
        <v>1</v>
      </c>
      <c r="F144" s="97"/>
      <c r="G144" s="97">
        <v>2</v>
      </c>
      <c r="H144" s="98" t="s">
        <v>24</v>
      </c>
      <c r="I144" s="98"/>
      <c r="J144" s="98"/>
    </row>
    <row r="145" spans="2:10" x14ac:dyDescent="0.25">
      <c r="B145" s="98" t="s">
        <v>15</v>
      </c>
      <c r="C145" s="98"/>
      <c r="D145" s="98"/>
      <c r="E145" s="97">
        <v>1</v>
      </c>
      <c r="F145" s="97"/>
      <c r="G145" s="97">
        <v>1</v>
      </c>
      <c r="H145" s="98" t="s">
        <v>4</v>
      </c>
      <c r="I145" s="98"/>
      <c r="J145" s="98"/>
    </row>
    <row r="146" spans="2:10" x14ac:dyDescent="0.25">
      <c r="B146" s="98" t="s">
        <v>10</v>
      </c>
      <c r="C146" s="98"/>
      <c r="D146" s="98"/>
      <c r="E146" s="97">
        <v>1</v>
      </c>
      <c r="F146" s="97"/>
      <c r="G146" s="97">
        <v>2</v>
      </c>
      <c r="H146" s="98" t="s">
        <v>23</v>
      </c>
      <c r="I146" s="98"/>
      <c r="J146" s="98"/>
    </row>
    <row r="147" spans="2:10" x14ac:dyDescent="0.25">
      <c r="B147" s="98" t="s">
        <v>8</v>
      </c>
      <c r="C147" s="98"/>
      <c r="D147" s="98"/>
      <c r="E147" s="97">
        <v>2</v>
      </c>
      <c r="F147" s="97"/>
      <c r="G147" s="97">
        <v>0</v>
      </c>
      <c r="H147" s="98" t="s">
        <v>29</v>
      </c>
      <c r="I147" s="98"/>
      <c r="J147" s="98"/>
    </row>
    <row r="148" spans="2:10" x14ac:dyDescent="0.25">
      <c r="B148" s="98" t="s">
        <v>22</v>
      </c>
      <c r="C148" s="98"/>
      <c r="D148" s="98"/>
      <c r="E148" s="97">
        <v>1</v>
      </c>
      <c r="F148" s="97"/>
      <c r="G148" s="97">
        <v>1</v>
      </c>
      <c r="H148" s="98" t="s">
        <v>12</v>
      </c>
      <c r="I148" s="98"/>
      <c r="J148" s="98"/>
    </row>
  </sheetData>
  <mergeCells count="250"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18:D18"/>
    <mergeCell ref="H18:J18"/>
    <mergeCell ref="B8:D8"/>
    <mergeCell ref="H8:J8"/>
    <mergeCell ref="B9:D9"/>
    <mergeCell ref="H9:J9"/>
    <mergeCell ref="B10:D10"/>
    <mergeCell ref="H10:J10"/>
    <mergeCell ref="B11:D11"/>
    <mergeCell ref="H11:J11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4:D24"/>
    <mergeCell ref="H24:J24"/>
    <mergeCell ref="B25:D25"/>
    <mergeCell ref="H25:J25"/>
    <mergeCell ref="B26:D26"/>
    <mergeCell ref="H26:J26"/>
    <mergeCell ref="B20:D20"/>
    <mergeCell ref="H20:J20"/>
    <mergeCell ref="B21:D21"/>
    <mergeCell ref="H21:J21"/>
    <mergeCell ref="B22:D22"/>
    <mergeCell ref="H22:J22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46:D46"/>
    <mergeCell ref="H46:J46"/>
    <mergeCell ref="B42:D42"/>
    <mergeCell ref="H42:J42"/>
    <mergeCell ref="B43:D43"/>
    <mergeCell ref="H43:J43"/>
    <mergeCell ref="B44:D44"/>
    <mergeCell ref="H44:J44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53:D53"/>
    <mergeCell ref="H53:J53"/>
    <mergeCell ref="B54:D54"/>
    <mergeCell ref="H54:J54"/>
    <mergeCell ref="B55:D55"/>
    <mergeCell ref="H55:J55"/>
    <mergeCell ref="B56:D56"/>
    <mergeCell ref="H56:J56"/>
    <mergeCell ref="B48:D48"/>
    <mergeCell ref="H48:J48"/>
    <mergeCell ref="B49:D49"/>
    <mergeCell ref="H49:J49"/>
    <mergeCell ref="B50:D50"/>
    <mergeCell ref="H50:J50"/>
    <mergeCell ref="B51:D51"/>
    <mergeCell ref="H51:J51"/>
    <mergeCell ref="B70:D70"/>
    <mergeCell ref="H70:J70"/>
    <mergeCell ref="B58:D58"/>
    <mergeCell ref="H58:J58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85:D85"/>
    <mergeCell ref="H85:J85"/>
    <mergeCell ref="B86:D86"/>
    <mergeCell ref="H86:J86"/>
    <mergeCell ref="B87:D87"/>
    <mergeCell ref="H87:J87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100:D100"/>
    <mergeCell ref="H100:J100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9:D109"/>
    <mergeCell ref="H109:J109"/>
    <mergeCell ref="B110:D110"/>
    <mergeCell ref="H110:J110"/>
    <mergeCell ref="B111:D111"/>
    <mergeCell ref="H111:J11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24:D124"/>
    <mergeCell ref="H124:J124"/>
    <mergeCell ref="B125:D125"/>
    <mergeCell ref="H125:J125"/>
    <mergeCell ref="B126:D126"/>
    <mergeCell ref="H126:J126"/>
    <mergeCell ref="B129:D129"/>
    <mergeCell ref="H129:J129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46:D146"/>
    <mergeCell ref="H146:J146"/>
    <mergeCell ref="B133:D133"/>
    <mergeCell ref="H133:J133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38:D138"/>
    <mergeCell ref="H138:J138"/>
    <mergeCell ref="B139:D139"/>
    <mergeCell ref="H139:J139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47:D147"/>
    <mergeCell ref="H147:J147"/>
    <mergeCell ref="B148:D148"/>
    <mergeCell ref="H148:J148"/>
    <mergeCell ref="B127:D127"/>
    <mergeCell ref="H127:J127"/>
    <mergeCell ref="B128:D128"/>
    <mergeCell ref="H128:J128"/>
    <mergeCell ref="B130:D130"/>
    <mergeCell ref="H130:J130"/>
    <mergeCell ref="B131:D131"/>
    <mergeCell ref="H131:J13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86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1" t="s">
        <v>90</v>
      </c>
      <c r="C1" s="102"/>
      <c r="D1" s="102"/>
      <c r="E1" s="102"/>
      <c r="F1" s="102"/>
      <c r="G1" s="102"/>
      <c r="H1" s="102"/>
      <c r="I1" s="103"/>
      <c r="M1" s="99"/>
      <c r="N1" s="99"/>
      <c r="O1" s="99"/>
      <c r="P1" s="100"/>
      <c r="Q1" s="100"/>
      <c r="R1" s="100"/>
      <c r="S1" s="99"/>
      <c r="T1" s="99"/>
      <c r="U1" s="99"/>
      <c r="V1" s="100"/>
      <c r="W1" s="100"/>
      <c r="X1" s="100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615</v>
      </c>
      <c r="E3" s="44">
        <f>VLOOKUP(C3,O$3:U$25,3,0)</f>
        <v>13</v>
      </c>
      <c r="F3" s="44">
        <f>VLOOKUP(C3,O$3:U$25,4,0)</f>
        <v>6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615</v>
      </c>
      <c r="M3" s="36"/>
      <c r="N3" s="36"/>
      <c r="O3" s="37" t="s">
        <v>70</v>
      </c>
      <c r="P3" s="33">
        <f>Macélio!Q$11</f>
        <v>570</v>
      </c>
      <c r="Q3" s="22">
        <v>8</v>
      </c>
      <c r="R3" s="22">
        <v>10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Macélio</v>
      </c>
      <c r="D4" s="47">
        <f t="shared" ref="D4:D25" si="1">VLOOKUP(C4,O$3:U$25,2,0)</f>
        <v>570</v>
      </c>
      <c r="E4" s="47">
        <f t="shared" ref="E4:E25" si="2">VLOOKUP(C4,O$3:U$25,3,0)</f>
        <v>8</v>
      </c>
      <c r="F4" s="47">
        <f t="shared" ref="F4:F25" si="3">VLOOKUP(C4,O$3:U$25,4,0)</f>
        <v>10</v>
      </c>
      <c r="G4" s="47">
        <f t="shared" ref="G4:G25" si="4">VLOOKUP(C4,O$3:U$25,5,0)</f>
        <v>14</v>
      </c>
      <c r="H4" s="47">
        <f t="shared" ref="H4:H25" si="5">VLOOKUP(C4,O$3:U$25,6,0)</f>
        <v>16</v>
      </c>
      <c r="I4" s="48">
        <f t="shared" ref="I4:I25" si="6">VLOOKUP(C4,O$3:U$25,7,0)</f>
        <v>12</v>
      </c>
      <c r="K4" s="36" t="s">
        <v>70</v>
      </c>
      <c r="L4" s="36">
        <f>Macélio!Q$11</f>
        <v>570</v>
      </c>
      <c r="M4" s="36"/>
      <c r="N4" s="36"/>
      <c r="O4" s="37" t="s">
        <v>91</v>
      </c>
      <c r="P4" s="33">
        <f>'Ivan Alex_1'!Q$11</f>
        <v>570</v>
      </c>
      <c r="Q4" s="42">
        <v>7</v>
      </c>
      <c r="R4" s="42">
        <v>14</v>
      </c>
      <c r="S4" s="42">
        <v>13</v>
      </c>
      <c r="T4" s="42">
        <v>11</v>
      </c>
      <c r="U4" s="42">
        <v>15</v>
      </c>
      <c r="V4" s="38"/>
    </row>
    <row r="5" spans="2:24" x14ac:dyDescent="0.25">
      <c r="B5" s="46" t="s">
        <v>97</v>
      </c>
      <c r="C5" s="47" t="str">
        <f t="shared" si="0"/>
        <v>Ivan Alex_1</v>
      </c>
      <c r="D5" s="47">
        <f t="shared" si="1"/>
        <v>570</v>
      </c>
      <c r="E5" s="47">
        <f t="shared" si="2"/>
        <v>7</v>
      </c>
      <c r="F5" s="47">
        <f t="shared" si="3"/>
        <v>14</v>
      </c>
      <c r="G5" s="47">
        <f t="shared" si="4"/>
        <v>13</v>
      </c>
      <c r="H5" s="47">
        <f t="shared" si="5"/>
        <v>11</v>
      </c>
      <c r="I5" s="48">
        <f t="shared" si="6"/>
        <v>15</v>
      </c>
      <c r="K5" s="36" t="s">
        <v>91</v>
      </c>
      <c r="L5" s="36">
        <f>'Ivan Alex_1'!Q$11</f>
        <v>570</v>
      </c>
      <c r="M5" s="36"/>
      <c r="N5" s="36"/>
      <c r="O5" s="37" t="s">
        <v>92</v>
      </c>
      <c r="P5" s="33">
        <f>'Bruno Flores'!Q$11</f>
        <v>615</v>
      </c>
      <c r="Q5" s="22">
        <v>13</v>
      </c>
      <c r="R5" s="22">
        <v>6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Luana</v>
      </c>
      <c r="D6" s="60">
        <f t="shared" si="1"/>
        <v>545</v>
      </c>
      <c r="E6" s="60">
        <f t="shared" si="2"/>
        <v>8</v>
      </c>
      <c r="F6" s="60">
        <f t="shared" si="3"/>
        <v>11</v>
      </c>
      <c r="G6" s="60">
        <f t="shared" si="4"/>
        <v>12</v>
      </c>
      <c r="H6" s="60">
        <f t="shared" si="5"/>
        <v>12</v>
      </c>
      <c r="I6" s="61">
        <f t="shared" si="6"/>
        <v>17</v>
      </c>
      <c r="K6" s="36" t="s">
        <v>75</v>
      </c>
      <c r="L6" s="36">
        <f>Luana!Q$11</f>
        <v>545</v>
      </c>
      <c r="M6" s="36"/>
      <c r="N6" s="36"/>
      <c r="O6" s="37" t="s">
        <v>69</v>
      </c>
      <c r="P6" s="33">
        <f>'Ivan Alex_2'!Q$11</f>
        <v>495</v>
      </c>
      <c r="Q6" s="22">
        <v>5</v>
      </c>
      <c r="R6" s="22">
        <v>9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Jean</v>
      </c>
      <c r="D7" s="60">
        <f t="shared" si="1"/>
        <v>545</v>
      </c>
      <c r="E7" s="60">
        <f t="shared" si="2"/>
        <v>6</v>
      </c>
      <c r="F7" s="60">
        <f t="shared" si="3"/>
        <v>13</v>
      </c>
      <c r="G7" s="60">
        <f t="shared" si="4"/>
        <v>14</v>
      </c>
      <c r="H7" s="60">
        <f t="shared" si="5"/>
        <v>12</v>
      </c>
      <c r="I7" s="61">
        <f t="shared" si="6"/>
        <v>14</v>
      </c>
      <c r="K7" s="36" t="s">
        <v>78</v>
      </c>
      <c r="L7" s="36">
        <f>Jean!Q$11</f>
        <v>545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17</v>
      </c>
      <c r="V7" s="38"/>
    </row>
    <row r="8" spans="2:24" x14ac:dyDescent="0.25">
      <c r="B8" s="59" t="s">
        <v>100</v>
      </c>
      <c r="C8" s="60" t="str">
        <f t="shared" si="0"/>
        <v>Joseir_2</v>
      </c>
      <c r="D8" s="60">
        <f t="shared" si="1"/>
        <v>530</v>
      </c>
      <c r="E8" s="60">
        <f t="shared" si="2"/>
        <v>7</v>
      </c>
      <c r="F8" s="60">
        <f t="shared" si="3"/>
        <v>10</v>
      </c>
      <c r="G8" s="60">
        <f t="shared" si="4"/>
        <v>11</v>
      </c>
      <c r="H8" s="60">
        <f t="shared" si="5"/>
        <v>19</v>
      </c>
      <c r="I8" s="61">
        <f t="shared" si="6"/>
        <v>12</v>
      </c>
      <c r="K8" s="36" t="s">
        <v>83</v>
      </c>
      <c r="L8" s="36">
        <f>Joseir_2!Q$11</f>
        <v>530</v>
      </c>
      <c r="M8" s="36"/>
      <c r="N8" s="36"/>
      <c r="O8" s="37" t="s">
        <v>71</v>
      </c>
      <c r="P8" s="33">
        <f>Luis!Q$11</f>
        <v>450</v>
      </c>
      <c r="Q8" s="22">
        <v>6</v>
      </c>
      <c r="R8" s="22">
        <v>9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Mácio</v>
      </c>
      <c r="D9" s="60">
        <f t="shared" si="1"/>
        <v>510</v>
      </c>
      <c r="E9" s="60">
        <f t="shared" si="2"/>
        <v>7</v>
      </c>
      <c r="F9" s="60">
        <f t="shared" si="3"/>
        <v>12</v>
      </c>
      <c r="G9" s="60">
        <f t="shared" si="4"/>
        <v>11</v>
      </c>
      <c r="H9" s="60">
        <f t="shared" si="5"/>
        <v>9</v>
      </c>
      <c r="I9" s="61">
        <f t="shared" si="6"/>
        <v>21</v>
      </c>
      <c r="K9" s="36" t="s">
        <v>76</v>
      </c>
      <c r="L9" s="36">
        <f>Mácio!Q$11</f>
        <v>510</v>
      </c>
      <c r="M9" s="36"/>
      <c r="N9" s="36"/>
      <c r="O9" s="37" t="s">
        <v>73</v>
      </c>
      <c r="P9" s="33">
        <f>Juninho_1!Q$11</f>
        <v>495</v>
      </c>
      <c r="Q9" s="22">
        <v>6</v>
      </c>
      <c r="R9" s="22">
        <v>7</v>
      </c>
      <c r="S9" s="22">
        <v>16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Alex</v>
      </c>
      <c r="D10" s="27">
        <f t="shared" si="1"/>
        <v>505</v>
      </c>
      <c r="E10" s="27">
        <f t="shared" si="2"/>
        <v>6</v>
      </c>
      <c r="F10" s="27">
        <f t="shared" si="3"/>
        <v>11</v>
      </c>
      <c r="G10" s="27">
        <f t="shared" si="4"/>
        <v>12</v>
      </c>
      <c r="H10" s="27">
        <f t="shared" si="5"/>
        <v>14</v>
      </c>
      <c r="I10" s="28">
        <f t="shared" si="6"/>
        <v>17</v>
      </c>
      <c r="J10" s="36"/>
      <c r="K10" s="36" t="s">
        <v>77</v>
      </c>
      <c r="L10" s="36">
        <f>Alex!Q$11</f>
        <v>505</v>
      </c>
      <c r="M10" s="36"/>
      <c r="N10" s="36"/>
      <c r="O10" s="37" t="s">
        <v>74</v>
      </c>
      <c r="P10" s="33">
        <f>Juninho_2!Q$11</f>
        <v>495</v>
      </c>
      <c r="Q10" s="22">
        <v>5</v>
      </c>
      <c r="R10" s="22">
        <v>14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Talita</v>
      </c>
      <c r="D11" s="27">
        <f t="shared" si="1"/>
        <v>500</v>
      </c>
      <c r="E11" s="27">
        <f t="shared" si="2"/>
        <v>6</v>
      </c>
      <c r="F11" s="27">
        <f t="shared" si="3"/>
        <v>10</v>
      </c>
      <c r="G11" s="27">
        <f t="shared" si="4"/>
        <v>11</v>
      </c>
      <c r="H11" s="27">
        <f t="shared" si="5"/>
        <v>18</v>
      </c>
      <c r="I11" s="28">
        <f t="shared" si="6"/>
        <v>14</v>
      </c>
      <c r="K11" s="36" t="s">
        <v>87</v>
      </c>
      <c r="L11" s="36">
        <f>Talita!Q$11</f>
        <v>500</v>
      </c>
      <c r="M11" s="36"/>
      <c r="N11" s="36"/>
      <c r="O11" s="37" t="s">
        <v>75</v>
      </c>
      <c r="P11" s="33">
        <f>Luana!Q$11</f>
        <v>545</v>
      </c>
      <c r="Q11" s="22">
        <v>8</v>
      </c>
      <c r="R11" s="22">
        <v>11</v>
      </c>
      <c r="S11" s="22">
        <v>12</v>
      </c>
      <c r="T11" s="22">
        <v>12</v>
      </c>
      <c r="U11" s="22">
        <v>17</v>
      </c>
      <c r="V11" s="38"/>
    </row>
    <row r="12" spans="2:24" x14ac:dyDescent="0.25">
      <c r="B12" s="35" t="s">
        <v>104</v>
      </c>
      <c r="C12" s="27" t="str">
        <f t="shared" si="0"/>
        <v>Cléofaz</v>
      </c>
      <c r="D12" s="27">
        <f t="shared" si="1"/>
        <v>500</v>
      </c>
      <c r="E12" s="27">
        <f t="shared" si="2"/>
        <v>5</v>
      </c>
      <c r="F12" s="27">
        <f t="shared" si="3"/>
        <v>9</v>
      </c>
      <c r="G12" s="27">
        <f t="shared" si="4"/>
        <v>19</v>
      </c>
      <c r="H12" s="27">
        <f t="shared" si="5"/>
        <v>10</v>
      </c>
      <c r="I12" s="28">
        <f t="shared" si="6"/>
        <v>15</v>
      </c>
      <c r="K12" s="36" t="s">
        <v>89</v>
      </c>
      <c r="L12" s="36">
        <f>Cléofaz!Q$11</f>
        <v>500</v>
      </c>
      <c r="M12" s="36"/>
      <c r="N12" s="36"/>
      <c r="O12" s="37" t="s">
        <v>76</v>
      </c>
      <c r="P12" s="33">
        <f>Mácio!Q$11</f>
        <v>510</v>
      </c>
      <c r="Q12" s="22">
        <v>7</v>
      </c>
      <c r="R12" s="22">
        <v>12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Ivan Alex_2</v>
      </c>
      <c r="D13" s="27">
        <f t="shared" si="1"/>
        <v>495</v>
      </c>
      <c r="E13" s="27">
        <f t="shared" si="2"/>
        <v>5</v>
      </c>
      <c r="F13" s="27">
        <f t="shared" si="3"/>
        <v>9</v>
      </c>
      <c r="G13" s="27">
        <f t="shared" si="4"/>
        <v>15</v>
      </c>
      <c r="H13" s="27">
        <f t="shared" si="5"/>
        <v>17</v>
      </c>
      <c r="I13" s="28">
        <f t="shared" si="6"/>
        <v>14</v>
      </c>
      <c r="K13" s="36" t="s">
        <v>69</v>
      </c>
      <c r="L13" s="36">
        <f>'Ivan Alex_2'!Q$11</f>
        <v>495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Juninho_1</v>
      </c>
      <c r="D14" s="27">
        <f t="shared" si="1"/>
        <v>495</v>
      </c>
      <c r="E14" s="27">
        <f t="shared" si="2"/>
        <v>6</v>
      </c>
      <c r="F14" s="27">
        <f t="shared" si="3"/>
        <v>7</v>
      </c>
      <c r="G14" s="27">
        <f t="shared" si="4"/>
        <v>16</v>
      </c>
      <c r="H14" s="27">
        <f t="shared" si="5"/>
        <v>16</v>
      </c>
      <c r="I14" s="28">
        <f t="shared" si="6"/>
        <v>15</v>
      </c>
      <c r="K14" s="36" t="s">
        <v>73</v>
      </c>
      <c r="L14" s="36">
        <f>Juninho_1!Q$11</f>
        <v>495</v>
      </c>
      <c r="M14" s="36"/>
      <c r="N14" s="36"/>
      <c r="O14" s="37" t="s">
        <v>78</v>
      </c>
      <c r="P14" s="33">
        <f>Jean!Q$11</f>
        <v>545</v>
      </c>
      <c r="Q14" s="22">
        <v>6</v>
      </c>
      <c r="R14" s="22">
        <v>13</v>
      </c>
      <c r="S14" s="22">
        <v>14</v>
      </c>
      <c r="T14" s="22">
        <v>12</v>
      </c>
      <c r="U14" s="22">
        <v>14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495</v>
      </c>
      <c r="E15" s="27">
        <f t="shared" si="2"/>
        <v>5</v>
      </c>
      <c r="F15" s="27">
        <f t="shared" si="3"/>
        <v>14</v>
      </c>
      <c r="G15" s="27">
        <f t="shared" si="4"/>
        <v>9</v>
      </c>
      <c r="H15" s="27">
        <f t="shared" si="5"/>
        <v>14</v>
      </c>
      <c r="I15" s="28">
        <f t="shared" si="6"/>
        <v>18</v>
      </c>
      <c r="K15" s="36" t="s">
        <v>74</v>
      </c>
      <c r="L15" s="36">
        <f>Juninho_2!Q$11</f>
        <v>495</v>
      </c>
      <c r="M15" s="36"/>
      <c r="N15" s="36"/>
      <c r="O15" s="37" t="s">
        <v>79</v>
      </c>
      <c r="P15" s="33">
        <f>Robert!Q$11</f>
        <v>485</v>
      </c>
      <c r="Q15" s="22">
        <v>4</v>
      </c>
      <c r="R15" s="22">
        <v>14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Robert</v>
      </c>
      <c r="D16" s="27">
        <f t="shared" si="1"/>
        <v>485</v>
      </c>
      <c r="E16" s="27">
        <f t="shared" si="2"/>
        <v>4</v>
      </c>
      <c r="F16" s="27">
        <f t="shared" si="3"/>
        <v>14</v>
      </c>
      <c r="G16" s="27">
        <f t="shared" si="4"/>
        <v>11</v>
      </c>
      <c r="H16" s="27">
        <f t="shared" si="5"/>
        <v>13</v>
      </c>
      <c r="I16" s="28">
        <f t="shared" si="6"/>
        <v>17</v>
      </c>
      <c r="K16" s="36" t="s">
        <v>79</v>
      </c>
      <c r="L16" s="36">
        <f>Robert!Q$11</f>
        <v>485</v>
      </c>
      <c r="M16" s="36"/>
      <c r="N16" s="36"/>
      <c r="O16" s="37" t="s">
        <v>80</v>
      </c>
      <c r="P16" s="33">
        <f>Roberto!Q$11</f>
        <v>485</v>
      </c>
      <c r="Q16" s="22">
        <v>4</v>
      </c>
      <c r="R16" s="22">
        <v>12</v>
      </c>
      <c r="S16" s="22">
        <v>11</v>
      </c>
      <c r="T16" s="22">
        <v>19</v>
      </c>
      <c r="U16" s="22">
        <v>13</v>
      </c>
      <c r="V16" s="38"/>
    </row>
    <row r="17" spans="2:22" x14ac:dyDescent="0.25">
      <c r="B17" s="35" t="s">
        <v>109</v>
      </c>
      <c r="C17" s="27" t="str">
        <f t="shared" si="0"/>
        <v>Julio</v>
      </c>
      <c r="D17" s="27">
        <f t="shared" si="1"/>
        <v>485</v>
      </c>
      <c r="E17" s="27">
        <f t="shared" si="2"/>
        <v>3</v>
      </c>
      <c r="F17" s="27">
        <f t="shared" si="3"/>
        <v>12</v>
      </c>
      <c r="G17" s="27">
        <f t="shared" si="4"/>
        <v>18</v>
      </c>
      <c r="H17" s="27">
        <f t="shared" si="5"/>
        <v>10</v>
      </c>
      <c r="I17" s="28">
        <f t="shared" si="6"/>
        <v>16</v>
      </c>
      <c r="K17" s="36" t="s">
        <v>86</v>
      </c>
      <c r="L17" s="36">
        <f>Julio!Q$11</f>
        <v>485</v>
      </c>
      <c r="M17" s="36"/>
      <c r="N17" s="36"/>
      <c r="O17" s="37" t="s">
        <v>81</v>
      </c>
      <c r="P17" s="33">
        <f>Andréia!Q$11</f>
        <v>345</v>
      </c>
      <c r="Q17" s="22">
        <v>1</v>
      </c>
      <c r="R17" s="22">
        <v>7</v>
      </c>
      <c r="S17" s="22">
        <v>15</v>
      </c>
      <c r="T17" s="22">
        <v>13</v>
      </c>
      <c r="U17" s="22">
        <v>23</v>
      </c>
      <c r="V17" s="38"/>
    </row>
    <row r="18" spans="2:22" x14ac:dyDescent="0.25">
      <c r="B18" s="35" t="s">
        <v>110</v>
      </c>
      <c r="C18" s="27" t="str">
        <f t="shared" si="0"/>
        <v>Roberto</v>
      </c>
      <c r="D18" s="27">
        <f t="shared" si="1"/>
        <v>485</v>
      </c>
      <c r="E18" s="27">
        <f t="shared" si="2"/>
        <v>4</v>
      </c>
      <c r="F18" s="27">
        <f t="shared" si="3"/>
        <v>12</v>
      </c>
      <c r="G18" s="27">
        <f t="shared" si="4"/>
        <v>11</v>
      </c>
      <c r="H18" s="27">
        <f t="shared" si="5"/>
        <v>19</v>
      </c>
      <c r="I18" s="28">
        <f t="shared" si="6"/>
        <v>13</v>
      </c>
      <c r="K18" s="36" t="s">
        <v>80</v>
      </c>
      <c r="L18" s="36">
        <f>Roberto!Q$11</f>
        <v>485</v>
      </c>
      <c r="M18" s="36"/>
      <c r="N18" s="36"/>
      <c r="O18" s="37" t="s">
        <v>82</v>
      </c>
      <c r="P18" s="33">
        <f>Joseir_1!Q$11</f>
        <v>380</v>
      </c>
      <c r="Q18" s="22">
        <v>3</v>
      </c>
      <c r="R18" s="22">
        <v>6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Anderson</v>
      </c>
      <c r="D19" s="27">
        <f t="shared" si="1"/>
        <v>475</v>
      </c>
      <c r="E19" s="27">
        <f t="shared" si="2"/>
        <v>4</v>
      </c>
      <c r="F19" s="27">
        <f t="shared" si="3"/>
        <v>12</v>
      </c>
      <c r="G19" s="27">
        <f t="shared" si="4"/>
        <v>13</v>
      </c>
      <c r="H19" s="27">
        <f t="shared" si="5"/>
        <v>13</v>
      </c>
      <c r="I19" s="28">
        <f t="shared" si="6"/>
        <v>17</v>
      </c>
      <c r="K19" s="36" t="s">
        <v>88</v>
      </c>
      <c r="L19" s="36">
        <f>Anderson!Q$11</f>
        <v>475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Gabriel</v>
      </c>
      <c r="D20" s="27">
        <f t="shared" si="1"/>
        <v>455</v>
      </c>
      <c r="E20" s="27">
        <f t="shared" si="2"/>
        <v>3</v>
      </c>
      <c r="F20" s="27">
        <f t="shared" si="3"/>
        <v>11</v>
      </c>
      <c r="G20" s="27">
        <f t="shared" si="4"/>
        <v>15</v>
      </c>
      <c r="H20" s="27">
        <f t="shared" si="5"/>
        <v>13</v>
      </c>
      <c r="I20" s="28">
        <f t="shared" si="6"/>
        <v>17</v>
      </c>
      <c r="K20" s="36" t="s">
        <v>72</v>
      </c>
      <c r="L20" s="36">
        <f>Gabriel!Q$11</f>
        <v>455</v>
      </c>
      <c r="M20" s="36"/>
      <c r="N20" s="36"/>
      <c r="O20" s="37" t="s">
        <v>84</v>
      </c>
      <c r="P20" s="33">
        <f>Ivani!Q$11</f>
        <v>430</v>
      </c>
      <c r="Q20" s="22">
        <v>5</v>
      </c>
      <c r="R20" s="22">
        <v>8</v>
      </c>
      <c r="S20" s="22">
        <v>13</v>
      </c>
      <c r="T20" s="22">
        <v>11</v>
      </c>
      <c r="U20" s="22">
        <v>23</v>
      </c>
      <c r="V20" s="38"/>
    </row>
    <row r="21" spans="2:22" x14ac:dyDescent="0.25">
      <c r="B21" s="35" t="s">
        <v>113</v>
      </c>
      <c r="C21" s="27" t="str">
        <f t="shared" si="0"/>
        <v>Luis</v>
      </c>
      <c r="D21" s="27">
        <f t="shared" si="1"/>
        <v>450</v>
      </c>
      <c r="E21" s="27">
        <f t="shared" si="2"/>
        <v>6</v>
      </c>
      <c r="F21" s="27">
        <f t="shared" si="3"/>
        <v>9</v>
      </c>
      <c r="G21" s="27">
        <f t="shared" si="4"/>
        <v>11</v>
      </c>
      <c r="H21" s="27">
        <f t="shared" si="5"/>
        <v>11</v>
      </c>
      <c r="I21" s="28">
        <f t="shared" si="6"/>
        <v>22</v>
      </c>
      <c r="K21" s="36" t="s">
        <v>71</v>
      </c>
      <c r="L21" s="36">
        <f>Luis!Q$11</f>
        <v>450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430</v>
      </c>
      <c r="E22" s="27">
        <f t="shared" si="2"/>
        <v>5</v>
      </c>
      <c r="F22" s="27">
        <f t="shared" si="3"/>
        <v>8</v>
      </c>
      <c r="G22" s="27">
        <f t="shared" si="4"/>
        <v>13</v>
      </c>
      <c r="H22" s="27">
        <f t="shared" si="5"/>
        <v>11</v>
      </c>
      <c r="I22" s="28">
        <f t="shared" si="6"/>
        <v>23</v>
      </c>
      <c r="K22" s="36" t="s">
        <v>84</v>
      </c>
      <c r="L22" s="36">
        <f>Ivani!Q$11</f>
        <v>430</v>
      </c>
      <c r="M22" s="36"/>
      <c r="N22" s="36"/>
      <c r="O22" s="37" t="s">
        <v>86</v>
      </c>
      <c r="P22" s="33">
        <f>Julio!Q$11</f>
        <v>485</v>
      </c>
      <c r="Q22" s="22">
        <v>3</v>
      </c>
      <c r="R22" s="22">
        <v>12</v>
      </c>
      <c r="S22" s="22">
        <v>18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405</v>
      </c>
      <c r="E23" s="27">
        <f t="shared" si="2"/>
        <v>3</v>
      </c>
      <c r="F23" s="27">
        <f t="shared" si="3"/>
        <v>11</v>
      </c>
      <c r="G23" s="27">
        <f t="shared" si="4"/>
        <v>9</v>
      </c>
      <c r="H23" s="27">
        <f t="shared" si="5"/>
        <v>15</v>
      </c>
      <c r="I23" s="28">
        <f t="shared" si="6"/>
        <v>21</v>
      </c>
      <c r="K23" s="36" t="s">
        <v>85</v>
      </c>
      <c r="L23" s="36">
        <f>Josimar!Q$11</f>
        <v>405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14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380</v>
      </c>
      <c r="E24" s="27">
        <f t="shared" si="2"/>
        <v>3</v>
      </c>
      <c r="F24" s="27">
        <f t="shared" si="3"/>
        <v>6</v>
      </c>
      <c r="G24" s="27">
        <f t="shared" si="4"/>
        <v>13</v>
      </c>
      <c r="H24" s="27">
        <f t="shared" si="5"/>
        <v>17</v>
      </c>
      <c r="I24" s="28">
        <f t="shared" si="6"/>
        <v>20</v>
      </c>
      <c r="K24" s="36" t="s">
        <v>82</v>
      </c>
      <c r="L24" s="36">
        <f>Joseir_1!Q$11</f>
        <v>380</v>
      </c>
      <c r="M24" s="36"/>
      <c r="N24" s="36"/>
      <c r="O24" s="37" t="s">
        <v>88</v>
      </c>
      <c r="P24" s="33">
        <f>Anderson!Q$11</f>
        <v>475</v>
      </c>
      <c r="Q24" s="22">
        <v>4</v>
      </c>
      <c r="R24" s="22">
        <v>12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345</v>
      </c>
      <c r="E25" s="29">
        <f t="shared" si="2"/>
        <v>1</v>
      </c>
      <c r="F25" s="29">
        <f t="shared" si="3"/>
        <v>7</v>
      </c>
      <c r="G25" s="29">
        <f t="shared" si="4"/>
        <v>15</v>
      </c>
      <c r="H25" s="29">
        <f t="shared" si="5"/>
        <v>13</v>
      </c>
      <c r="I25" s="30">
        <f t="shared" si="6"/>
        <v>23</v>
      </c>
      <c r="K25" s="36" t="s">
        <v>81</v>
      </c>
      <c r="L25" s="36">
        <f>Andréia!Q$11</f>
        <v>345</v>
      </c>
      <c r="M25" s="36"/>
      <c r="N25" s="36"/>
      <c r="O25" s="37" t="s">
        <v>89</v>
      </c>
      <c r="P25" s="33">
        <f>Cléofaz!Q$11</f>
        <v>500</v>
      </c>
      <c r="Q25" s="22">
        <v>5</v>
      </c>
      <c r="R25" s="22">
        <v>9</v>
      </c>
      <c r="S25" s="22">
        <v>19</v>
      </c>
      <c r="T25" s="22">
        <v>10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84"/>
      <c r="C28" s="68"/>
      <c r="D28" s="6"/>
      <c r="E28" s="6"/>
      <c r="F28" s="6"/>
      <c r="G28" s="71"/>
      <c r="H28" s="85"/>
      <c r="I28" s="86"/>
    </row>
    <row r="29" spans="2:22" x14ac:dyDescent="0.25">
      <c r="B29" s="89" t="s">
        <v>33</v>
      </c>
      <c r="C29" s="87"/>
      <c r="D29" s="87"/>
      <c r="E29" s="88"/>
      <c r="F29" s="88"/>
      <c r="G29" s="88"/>
      <c r="H29" s="88"/>
      <c r="I29" s="88"/>
    </row>
    <row r="30" spans="2:22" x14ac:dyDescent="0.25">
      <c r="B30" s="89" t="s">
        <v>33</v>
      </c>
      <c r="C30" s="87"/>
      <c r="D30" s="87"/>
      <c r="E30" s="88"/>
      <c r="F30" s="88"/>
      <c r="G30" s="88"/>
      <c r="H30" s="88"/>
      <c r="I30" s="88"/>
    </row>
    <row r="31" spans="2:22" ht="15.75" x14ac:dyDescent="0.25">
      <c r="B31" s="87"/>
      <c r="C31" s="87"/>
      <c r="D31" s="87"/>
      <c r="E31" s="84"/>
      <c r="F31" s="85"/>
      <c r="G31" s="93" t="s">
        <v>183</v>
      </c>
      <c r="H31" s="85"/>
      <c r="I31" s="86"/>
    </row>
    <row r="32" spans="2:22" ht="15.75" x14ac:dyDescent="0.25">
      <c r="B32" s="87"/>
      <c r="C32" s="87"/>
      <c r="D32" s="87"/>
      <c r="E32" s="84"/>
      <c r="F32" s="85"/>
      <c r="G32" s="93" t="s">
        <v>80</v>
      </c>
      <c r="H32" s="85"/>
      <c r="I32" s="86"/>
    </row>
    <row r="33" spans="2:10" ht="15.75" x14ac:dyDescent="0.25">
      <c r="B33" s="87"/>
      <c r="C33" s="87"/>
      <c r="D33" s="87"/>
      <c r="E33" s="84"/>
      <c r="F33" s="85"/>
      <c r="G33" s="85"/>
      <c r="H33" s="85"/>
      <c r="I33" s="86"/>
    </row>
    <row r="34" spans="2:10" ht="15.75" x14ac:dyDescent="0.25">
      <c r="B34" s="87"/>
      <c r="C34" s="87"/>
      <c r="D34" s="87"/>
      <c r="E34" s="84"/>
      <c r="F34" s="85"/>
      <c r="G34" s="85"/>
      <c r="H34" s="85"/>
      <c r="I34" s="86"/>
    </row>
    <row r="35" spans="2:10" ht="15.75" x14ac:dyDescent="0.25">
      <c r="B35" s="87"/>
      <c r="C35" s="87"/>
      <c r="D35" s="87"/>
      <c r="E35" s="84"/>
      <c r="F35" s="85"/>
      <c r="G35" s="85"/>
      <c r="H35" s="85"/>
      <c r="I35" s="86"/>
    </row>
    <row r="36" spans="2:10" ht="15.75" x14ac:dyDescent="0.25">
      <c r="B36" s="87"/>
      <c r="C36" s="87"/>
      <c r="D36" s="87"/>
      <c r="E36" s="84"/>
      <c r="F36" s="85"/>
      <c r="G36" s="85"/>
      <c r="H36" s="85"/>
      <c r="I36" s="86"/>
    </row>
    <row r="37" spans="2:10" ht="15.75" x14ac:dyDescent="0.25">
      <c r="B37" s="87"/>
      <c r="C37" s="87"/>
      <c r="D37" s="87"/>
      <c r="E37" s="84"/>
      <c r="F37" s="85"/>
      <c r="G37" s="85"/>
      <c r="H37" s="85"/>
      <c r="I37" s="86"/>
    </row>
    <row r="38" spans="2:10" ht="15.75" x14ac:dyDescent="0.25">
      <c r="B38" s="87"/>
      <c r="C38" s="87"/>
      <c r="D38" s="87"/>
      <c r="E38" s="84"/>
      <c r="F38" s="85"/>
      <c r="G38" s="85"/>
      <c r="H38" s="85"/>
      <c r="I38" s="86"/>
    </row>
    <row r="39" spans="2:10" ht="15.75" x14ac:dyDescent="0.25">
      <c r="B39" s="87"/>
      <c r="C39" s="87"/>
      <c r="D39" s="87"/>
      <c r="E39" s="84"/>
      <c r="F39" s="85"/>
      <c r="G39" s="85"/>
      <c r="H39" s="85"/>
      <c r="I39" s="86"/>
    </row>
    <row r="40" spans="2:10" ht="15.75" x14ac:dyDescent="0.25">
      <c r="B40" s="87"/>
      <c r="C40" s="87"/>
      <c r="D40" s="87"/>
      <c r="E40" s="84"/>
      <c r="F40" s="85"/>
      <c r="G40" s="85"/>
      <c r="H40" s="85"/>
      <c r="I40" s="86"/>
    </row>
    <row r="41" spans="2:10" ht="15.75" x14ac:dyDescent="0.25">
      <c r="B41" s="87"/>
      <c r="C41" s="87"/>
      <c r="D41" s="87"/>
      <c r="E41" s="84"/>
      <c r="F41" s="85"/>
      <c r="G41" s="85"/>
      <c r="H41" s="85"/>
      <c r="I41" s="86"/>
    </row>
    <row r="42" spans="2:10" ht="15.75" x14ac:dyDescent="0.25">
      <c r="B42" s="87"/>
      <c r="C42" s="87"/>
      <c r="D42" s="87"/>
      <c r="E42" s="84"/>
      <c r="F42" s="85"/>
      <c r="G42" s="85"/>
      <c r="H42" s="85"/>
      <c r="I42" s="86"/>
    </row>
    <row r="43" spans="2:10" ht="15.75" x14ac:dyDescent="0.25">
      <c r="B43" s="87"/>
      <c r="C43" s="87"/>
      <c r="D43" s="87"/>
      <c r="E43" s="84"/>
      <c r="F43" s="85"/>
      <c r="G43" s="85"/>
      <c r="H43" s="85"/>
      <c r="I43" s="86"/>
    </row>
    <row r="48" spans="2:10" x14ac:dyDescent="0.25">
      <c r="B48" s="98"/>
      <c r="C48" s="98"/>
      <c r="D48" s="98"/>
      <c r="E48" s="50"/>
      <c r="F48" s="50"/>
      <c r="G48" s="50"/>
      <c r="H48" s="98"/>
      <c r="I48" s="98"/>
      <c r="J48" s="98"/>
    </row>
    <row r="54" spans="2:10" x14ac:dyDescent="0.25">
      <c r="B54" s="98"/>
      <c r="C54" s="98"/>
      <c r="D54" s="98"/>
      <c r="E54" s="50"/>
      <c r="F54" s="50"/>
      <c r="G54" s="50"/>
      <c r="H54" s="98"/>
      <c r="I54" s="98"/>
      <c r="J54" s="98"/>
    </row>
    <row r="60" spans="2:10" x14ac:dyDescent="0.25">
      <c r="B60" s="98"/>
      <c r="C60" s="98"/>
      <c r="D60" s="98"/>
      <c r="E60" s="50"/>
      <c r="F60" s="50"/>
      <c r="G60" s="50"/>
      <c r="H60" s="98"/>
      <c r="I60" s="98"/>
      <c r="J60" s="98"/>
    </row>
    <row r="66" spans="2:10" x14ac:dyDescent="0.25">
      <c r="B66" s="98"/>
      <c r="C66" s="98"/>
      <c r="D66" s="98"/>
      <c r="E66" s="50"/>
      <c r="F66" s="50"/>
      <c r="G66" s="50"/>
      <c r="H66" s="98"/>
      <c r="I66" s="98"/>
      <c r="J66" s="98"/>
    </row>
    <row r="67" spans="2:10" x14ac:dyDescent="0.25">
      <c r="B67" s="98"/>
      <c r="C67" s="98"/>
      <c r="D67" s="98"/>
      <c r="E67" s="50"/>
      <c r="F67" s="50"/>
      <c r="G67" s="50"/>
      <c r="H67" s="98"/>
      <c r="I67" s="98"/>
      <c r="J67" s="98"/>
    </row>
    <row r="72" spans="2:10" x14ac:dyDescent="0.25">
      <c r="B72" s="98"/>
      <c r="C72" s="98"/>
      <c r="D72" s="98"/>
      <c r="E72" s="50"/>
      <c r="F72" s="50"/>
      <c r="G72" s="50"/>
      <c r="H72" s="98"/>
      <c r="I72" s="98"/>
      <c r="J72" s="98"/>
    </row>
    <row r="73" spans="2:10" x14ac:dyDescent="0.25">
      <c r="B73" s="98"/>
      <c r="C73" s="98"/>
      <c r="D73" s="98"/>
      <c r="E73" s="50"/>
      <c r="F73" s="50"/>
      <c r="G73" s="50"/>
      <c r="H73" s="98"/>
      <c r="I73" s="98"/>
      <c r="J73" s="98"/>
    </row>
    <row r="78" spans="2:10" x14ac:dyDescent="0.25">
      <c r="B78" s="98"/>
      <c r="C78" s="98"/>
      <c r="D78" s="98"/>
      <c r="E78" s="50"/>
      <c r="F78" s="50"/>
      <c r="G78" s="50"/>
      <c r="H78" s="98"/>
      <c r="I78" s="98"/>
      <c r="J78" s="98"/>
    </row>
    <row r="84" spans="2:10" x14ac:dyDescent="0.25">
      <c r="B84" s="98"/>
      <c r="C84" s="98"/>
      <c r="D84" s="98"/>
      <c r="E84" s="50"/>
      <c r="F84" s="50"/>
      <c r="G84" s="50"/>
      <c r="H84" s="98"/>
      <c r="I84" s="98"/>
      <c r="J84" s="98"/>
    </row>
    <row r="90" spans="2:10" x14ac:dyDescent="0.25">
      <c r="B90" s="98"/>
      <c r="C90" s="98"/>
      <c r="D90" s="98"/>
      <c r="E90" s="50"/>
      <c r="F90" s="50"/>
      <c r="G90" s="50"/>
      <c r="H90" s="98"/>
      <c r="I90" s="98"/>
      <c r="J90" s="98"/>
    </row>
    <row r="91" spans="2:10" x14ac:dyDescent="0.25">
      <c r="B91" s="98"/>
      <c r="C91" s="98"/>
      <c r="D91" s="98"/>
      <c r="E91" s="50"/>
      <c r="F91" s="50"/>
      <c r="G91" s="50"/>
      <c r="H91" s="98"/>
      <c r="I91" s="98"/>
      <c r="J91" s="98"/>
    </row>
    <row r="96" spans="2:10" x14ac:dyDescent="0.25">
      <c r="B96" s="98"/>
      <c r="C96" s="98"/>
      <c r="D96" s="98"/>
      <c r="E96" s="50"/>
      <c r="F96" s="50"/>
      <c r="G96" s="50"/>
      <c r="H96" s="98"/>
      <c r="I96" s="98"/>
      <c r="J96" s="98"/>
    </row>
    <row r="97" spans="2:10" x14ac:dyDescent="0.25">
      <c r="B97" s="98"/>
      <c r="C97" s="98"/>
      <c r="D97" s="98"/>
      <c r="E97" s="50"/>
      <c r="F97" s="50"/>
      <c r="G97" s="50"/>
      <c r="H97" s="98"/>
      <c r="I97" s="98"/>
      <c r="J97" s="98"/>
    </row>
    <row r="98" spans="2:10" x14ac:dyDescent="0.25">
      <c r="B98" s="98"/>
      <c r="C98" s="98"/>
      <c r="D98" s="98"/>
      <c r="E98" s="50"/>
      <c r="F98" s="50"/>
      <c r="G98" s="50"/>
      <c r="H98" s="98"/>
      <c r="I98" s="98"/>
      <c r="J98" s="98"/>
    </row>
    <row r="102" spans="2:10" x14ac:dyDescent="0.25">
      <c r="B102" s="98"/>
      <c r="C102" s="98"/>
      <c r="D102" s="98"/>
      <c r="E102" s="50"/>
      <c r="F102" s="50"/>
      <c r="G102" s="50"/>
      <c r="H102" s="98"/>
      <c r="I102" s="98"/>
      <c r="J102" s="98"/>
    </row>
    <row r="103" spans="2:10" x14ac:dyDescent="0.25">
      <c r="B103" s="98"/>
      <c r="C103" s="98"/>
      <c r="D103" s="98"/>
      <c r="E103" s="50"/>
      <c r="F103" s="50"/>
      <c r="G103" s="50"/>
      <c r="H103" s="98"/>
      <c r="I103" s="98"/>
      <c r="J103" s="98"/>
    </row>
    <row r="108" spans="2:10" x14ac:dyDescent="0.25">
      <c r="B108" s="98"/>
      <c r="C108" s="98"/>
      <c r="D108" s="98"/>
      <c r="E108" s="50"/>
      <c r="F108" s="50"/>
      <c r="G108" s="50"/>
      <c r="H108" s="98"/>
      <c r="I108" s="98"/>
      <c r="J108" s="98"/>
    </row>
    <row r="114" spans="2:10" x14ac:dyDescent="0.25">
      <c r="B114" s="98"/>
      <c r="C114" s="98"/>
      <c r="D114" s="98"/>
      <c r="E114" s="50"/>
      <c r="F114" s="50"/>
      <c r="G114" s="50"/>
      <c r="H114" s="98"/>
      <c r="I114" s="98"/>
      <c r="J114" s="98"/>
    </row>
    <row r="115" spans="2:10" x14ac:dyDescent="0.25">
      <c r="B115" s="98"/>
      <c r="C115" s="98"/>
      <c r="D115" s="98"/>
      <c r="E115" s="50"/>
      <c r="F115" s="50"/>
      <c r="G115" s="50"/>
      <c r="H115" s="98"/>
      <c r="I115" s="98"/>
      <c r="J115" s="98"/>
    </row>
    <row r="116" spans="2:10" x14ac:dyDescent="0.25">
      <c r="B116" s="98"/>
      <c r="C116" s="98"/>
      <c r="D116" s="98"/>
      <c r="E116" s="50"/>
      <c r="F116" s="50"/>
      <c r="G116" s="50"/>
      <c r="H116" s="98"/>
      <c r="I116" s="98"/>
      <c r="J116" s="98"/>
    </row>
    <row r="120" spans="2:10" x14ac:dyDescent="0.25">
      <c r="B120" s="98"/>
      <c r="C120" s="98"/>
      <c r="D120" s="98"/>
      <c r="E120" s="50"/>
      <c r="F120" s="50"/>
      <c r="G120" s="50"/>
      <c r="H120" s="98"/>
      <c r="I120" s="98"/>
      <c r="J120" s="98"/>
    </row>
    <row r="121" spans="2:10" x14ac:dyDescent="0.25">
      <c r="B121" s="98"/>
      <c r="C121" s="98"/>
      <c r="D121" s="98"/>
      <c r="E121" s="50"/>
      <c r="F121" s="50"/>
      <c r="G121" s="50"/>
      <c r="H121" s="98"/>
      <c r="I121" s="98"/>
      <c r="J121" s="98"/>
    </row>
    <row r="126" spans="2:10" x14ac:dyDescent="0.25">
      <c r="B126" s="98"/>
      <c r="C126" s="98"/>
      <c r="D126" s="98"/>
      <c r="E126" s="50"/>
      <c r="F126" s="50"/>
      <c r="G126" s="50"/>
      <c r="H126" s="98"/>
      <c r="I126" s="98"/>
      <c r="J126" s="98"/>
    </row>
    <row r="132" spans="2:10" x14ac:dyDescent="0.25">
      <c r="B132" s="98"/>
      <c r="C132" s="98"/>
      <c r="D132" s="98"/>
      <c r="E132" s="50"/>
      <c r="F132" s="50"/>
      <c r="G132" s="50"/>
      <c r="H132" s="98"/>
      <c r="I132" s="98"/>
      <c r="J132" s="98"/>
    </row>
    <row r="133" spans="2:10" x14ac:dyDescent="0.25">
      <c r="B133" s="98"/>
      <c r="C133" s="98"/>
      <c r="D133" s="98"/>
      <c r="E133" s="50"/>
      <c r="F133" s="50"/>
      <c r="G133" s="50"/>
      <c r="H133" s="98"/>
      <c r="I133" s="98"/>
      <c r="J133" s="98"/>
    </row>
    <row r="134" spans="2:10" x14ac:dyDescent="0.25">
      <c r="B134" s="98"/>
      <c r="C134" s="98"/>
      <c r="D134" s="98"/>
      <c r="E134" s="50"/>
      <c r="F134" s="50"/>
      <c r="G134" s="50"/>
      <c r="H134" s="98"/>
      <c r="I134" s="98"/>
      <c r="J134" s="98"/>
    </row>
    <row r="135" spans="2:10" x14ac:dyDescent="0.25">
      <c r="B135" s="98"/>
      <c r="C135" s="98"/>
      <c r="D135" s="98"/>
      <c r="E135" s="50"/>
      <c r="F135" s="50"/>
      <c r="G135" s="50"/>
      <c r="H135" s="98"/>
      <c r="I135" s="98"/>
      <c r="J135" s="98"/>
    </row>
    <row r="138" spans="2:10" x14ac:dyDescent="0.25">
      <c r="B138" s="98"/>
      <c r="C138" s="98"/>
      <c r="D138" s="98"/>
      <c r="E138" s="50"/>
      <c r="F138" s="50"/>
      <c r="G138" s="50"/>
      <c r="H138" s="98"/>
      <c r="I138" s="98"/>
      <c r="J138" s="98"/>
    </row>
    <row r="144" spans="2:10" x14ac:dyDescent="0.25">
      <c r="B144" s="98"/>
      <c r="C144" s="98"/>
      <c r="D144" s="98"/>
      <c r="E144" s="50"/>
      <c r="F144" s="50"/>
      <c r="G144" s="50"/>
      <c r="H144" s="98"/>
      <c r="I144" s="98"/>
      <c r="J144" s="98"/>
    </row>
    <row r="145" spans="2:10" x14ac:dyDescent="0.25">
      <c r="B145" s="98"/>
      <c r="C145" s="98"/>
      <c r="D145" s="98"/>
      <c r="E145" s="50"/>
      <c r="F145" s="50"/>
      <c r="G145" s="50"/>
      <c r="H145" s="98"/>
      <c r="I145" s="98"/>
      <c r="J145" s="98"/>
    </row>
    <row r="148" spans="2:10" x14ac:dyDescent="0.25">
      <c r="B148" s="98"/>
      <c r="C148" s="98"/>
      <c r="D148" s="98"/>
      <c r="E148" s="50"/>
      <c r="F148" s="50"/>
      <c r="G148" s="50"/>
      <c r="H148" s="98"/>
      <c r="I148" s="98"/>
      <c r="J148" s="98"/>
    </row>
    <row r="154" spans="2:10" x14ac:dyDescent="0.25">
      <c r="B154" s="98"/>
      <c r="C154" s="98"/>
      <c r="D154" s="98"/>
      <c r="E154" s="50"/>
      <c r="F154" s="50"/>
      <c r="G154" s="50"/>
      <c r="H154" s="98"/>
      <c r="I154" s="98"/>
      <c r="J154" s="98"/>
    </row>
    <row r="160" spans="2:10" x14ac:dyDescent="0.25">
      <c r="B160" s="98"/>
      <c r="C160" s="98"/>
      <c r="D160" s="98"/>
      <c r="E160" s="50"/>
      <c r="F160" s="50"/>
      <c r="G160" s="50"/>
      <c r="H160" s="98"/>
      <c r="I160" s="98"/>
      <c r="J160" s="98"/>
    </row>
    <row r="166" spans="2:10" x14ac:dyDescent="0.25">
      <c r="B166" s="98"/>
      <c r="C166" s="98"/>
      <c r="D166" s="98"/>
      <c r="E166" s="50"/>
      <c r="F166" s="50"/>
      <c r="G166" s="50"/>
      <c r="H166" s="98"/>
      <c r="I166" s="98"/>
      <c r="J166" s="98"/>
    </row>
    <row r="172" spans="2:10" x14ac:dyDescent="0.25">
      <c r="B172" s="98"/>
      <c r="C172" s="98"/>
      <c r="D172" s="98"/>
      <c r="E172" s="50"/>
      <c r="F172" s="50"/>
      <c r="G172" s="50"/>
      <c r="H172" s="98"/>
      <c r="I172" s="98"/>
      <c r="J172" s="98"/>
    </row>
    <row r="173" spans="2:10" x14ac:dyDescent="0.25">
      <c r="B173" s="98"/>
      <c r="C173" s="98"/>
      <c r="D173" s="98"/>
      <c r="E173" s="50"/>
      <c r="F173" s="50"/>
      <c r="G173" s="50"/>
      <c r="H173" s="98"/>
      <c r="I173" s="98"/>
      <c r="J173" s="98"/>
    </row>
    <row r="178" spans="2:10" x14ac:dyDescent="0.25">
      <c r="B178" s="98"/>
      <c r="C178" s="98"/>
      <c r="D178" s="98"/>
      <c r="E178" s="50"/>
      <c r="F178" s="50"/>
      <c r="G178" s="50"/>
      <c r="H178" s="98"/>
      <c r="I178" s="98"/>
      <c r="J178" s="98"/>
    </row>
    <row r="179" spans="2:10" x14ac:dyDescent="0.25">
      <c r="B179" s="98"/>
      <c r="C179" s="98"/>
      <c r="D179" s="98"/>
      <c r="E179" s="50"/>
      <c r="F179" s="50"/>
      <c r="G179" s="50"/>
      <c r="H179" s="98"/>
      <c r="I179" s="98"/>
      <c r="J179" s="98"/>
    </row>
    <row r="184" spans="2:10" x14ac:dyDescent="0.25">
      <c r="B184" s="98"/>
      <c r="C184" s="98"/>
      <c r="D184" s="98"/>
      <c r="E184" s="50"/>
      <c r="F184" s="50"/>
      <c r="G184" s="50"/>
      <c r="H184" s="98"/>
      <c r="I184" s="98"/>
      <c r="J184" s="98"/>
    </row>
    <row r="190" spans="2:10" x14ac:dyDescent="0.25">
      <c r="B190" s="98"/>
      <c r="C190" s="98"/>
      <c r="D190" s="98"/>
      <c r="E190" s="50"/>
      <c r="F190" s="50"/>
      <c r="G190" s="50"/>
      <c r="H190" s="98"/>
      <c r="I190" s="98"/>
      <c r="J190" s="98"/>
    </row>
    <row r="196" spans="2:10" x14ac:dyDescent="0.25">
      <c r="B196" s="98"/>
      <c r="C196" s="98"/>
      <c r="D196" s="98"/>
      <c r="E196" s="50"/>
      <c r="F196" s="50"/>
      <c r="G196" s="50"/>
      <c r="H196" s="98"/>
      <c r="I196" s="98"/>
      <c r="J196" s="98"/>
    </row>
    <row r="197" spans="2:10" x14ac:dyDescent="0.25">
      <c r="B197" s="98"/>
      <c r="C197" s="98"/>
      <c r="D197" s="98"/>
      <c r="E197" s="50"/>
      <c r="F197" s="50"/>
      <c r="G197" s="50"/>
      <c r="H197" s="98"/>
      <c r="I197" s="98"/>
      <c r="J197" s="98"/>
    </row>
    <row r="202" spans="2:10" x14ac:dyDescent="0.25">
      <c r="B202" s="98"/>
      <c r="C202" s="98"/>
      <c r="D202" s="98"/>
      <c r="E202" s="50"/>
      <c r="F202" s="50"/>
      <c r="G202" s="50"/>
      <c r="H202" s="98"/>
      <c r="I202" s="98"/>
      <c r="J202" s="98"/>
    </row>
    <row r="203" spans="2:10" x14ac:dyDescent="0.25">
      <c r="B203" s="98"/>
      <c r="C203" s="98"/>
      <c r="D203" s="98"/>
      <c r="E203" s="50"/>
      <c r="F203" s="50"/>
      <c r="G203" s="50"/>
      <c r="H203" s="98"/>
      <c r="I203" s="98"/>
      <c r="J203" s="98"/>
    </row>
    <row r="204" spans="2:10" x14ac:dyDescent="0.25">
      <c r="B204" s="98"/>
      <c r="C204" s="98"/>
      <c r="D204" s="98"/>
      <c r="E204" s="50"/>
      <c r="F204" s="50"/>
      <c r="G204" s="50"/>
      <c r="H204" s="98"/>
      <c r="I204" s="98"/>
      <c r="J204" s="98"/>
    </row>
    <row r="208" spans="2:10" x14ac:dyDescent="0.25">
      <c r="B208" s="98"/>
      <c r="C208" s="98"/>
      <c r="D208" s="98"/>
      <c r="E208" s="50"/>
      <c r="F208" s="50"/>
      <c r="G208" s="50"/>
      <c r="H208" s="98"/>
      <c r="I208" s="98"/>
      <c r="J208" s="98"/>
    </row>
    <row r="209" spans="2:10" x14ac:dyDescent="0.25">
      <c r="B209" s="98"/>
      <c r="C209" s="98"/>
      <c r="D209" s="98"/>
      <c r="E209" s="50"/>
      <c r="F209" s="50"/>
      <c r="G209" s="50"/>
      <c r="H209" s="98"/>
      <c r="I209" s="98"/>
      <c r="J209" s="98"/>
    </row>
    <row r="214" spans="2:10" x14ac:dyDescent="0.25">
      <c r="B214" s="98"/>
      <c r="C214" s="98"/>
      <c r="D214" s="98"/>
      <c r="E214" s="50"/>
      <c r="F214" s="50"/>
      <c r="G214" s="50"/>
      <c r="H214" s="98"/>
      <c r="I214" s="98"/>
      <c r="J214" s="98"/>
    </row>
    <row r="220" spans="2:10" x14ac:dyDescent="0.25">
      <c r="B220" s="98"/>
      <c r="C220" s="98"/>
      <c r="D220" s="98"/>
      <c r="E220" s="50"/>
      <c r="F220" s="50"/>
      <c r="G220" s="50"/>
      <c r="H220" s="98"/>
      <c r="I220" s="98"/>
      <c r="J220" s="98"/>
    </row>
    <row r="221" spans="2:10" x14ac:dyDescent="0.25">
      <c r="B221" s="98"/>
      <c r="C221" s="98"/>
      <c r="D221" s="98"/>
      <c r="E221" s="50"/>
      <c r="F221" s="50"/>
      <c r="G221" s="50"/>
      <c r="H221" s="98"/>
      <c r="I221" s="98"/>
      <c r="J221" s="98"/>
    </row>
    <row r="222" spans="2:10" x14ac:dyDescent="0.25">
      <c r="B222" s="98"/>
      <c r="C222" s="98"/>
      <c r="D222" s="98"/>
      <c r="E222" s="50"/>
      <c r="F222" s="50"/>
      <c r="G222" s="50"/>
      <c r="H222" s="98"/>
      <c r="I222" s="98"/>
      <c r="J222" s="98"/>
    </row>
    <row r="226" spans="2:10" x14ac:dyDescent="0.25">
      <c r="B226" s="98"/>
      <c r="C226" s="98"/>
      <c r="D226" s="98"/>
      <c r="E226" s="50"/>
      <c r="F226" s="50"/>
      <c r="G226" s="50"/>
      <c r="H226" s="98"/>
      <c r="I226" s="98"/>
      <c r="J226" s="98"/>
    </row>
    <row r="227" spans="2:10" x14ac:dyDescent="0.25">
      <c r="B227" s="98"/>
      <c r="C227" s="98"/>
      <c r="D227" s="98"/>
      <c r="E227" s="50"/>
      <c r="F227" s="50"/>
      <c r="G227" s="50"/>
      <c r="H227" s="98"/>
      <c r="I227" s="98"/>
      <c r="J227" s="98"/>
    </row>
    <row r="232" spans="2:10" x14ac:dyDescent="0.25">
      <c r="B232" s="98"/>
      <c r="C232" s="98"/>
      <c r="D232" s="98"/>
      <c r="E232" s="50"/>
      <c r="F232" s="50"/>
      <c r="G232" s="50"/>
      <c r="H232" s="98"/>
      <c r="I232" s="98"/>
      <c r="J232" s="98"/>
    </row>
    <row r="238" spans="2:10" x14ac:dyDescent="0.25">
      <c r="B238" s="98"/>
      <c r="C238" s="98"/>
      <c r="D238" s="98"/>
      <c r="E238" s="50"/>
      <c r="F238" s="50"/>
      <c r="G238" s="50"/>
      <c r="H238" s="98"/>
      <c r="I238" s="98"/>
      <c r="J238" s="98"/>
    </row>
    <row r="239" spans="2:10" x14ac:dyDescent="0.25">
      <c r="B239" s="98"/>
      <c r="C239" s="98"/>
      <c r="D239" s="98"/>
      <c r="E239" s="50"/>
      <c r="F239" s="50"/>
      <c r="G239" s="50"/>
      <c r="H239" s="98"/>
      <c r="I239" s="98"/>
      <c r="J239" s="98"/>
    </row>
    <row r="240" spans="2:10" x14ac:dyDescent="0.25">
      <c r="B240" s="98"/>
      <c r="C240" s="98"/>
      <c r="D240" s="98"/>
      <c r="E240" s="50"/>
      <c r="F240" s="50"/>
      <c r="G240" s="50"/>
      <c r="H240" s="98"/>
      <c r="I240" s="98"/>
      <c r="J240" s="98"/>
    </row>
    <row r="241" spans="2:10" x14ac:dyDescent="0.25">
      <c r="B241" s="98"/>
      <c r="C241" s="98"/>
      <c r="D241" s="98"/>
      <c r="E241" s="50"/>
      <c r="F241" s="50"/>
      <c r="G241" s="50"/>
      <c r="H241" s="98"/>
      <c r="I241" s="98"/>
      <c r="J241" s="98"/>
    </row>
    <row r="244" spans="2:10" x14ac:dyDescent="0.25">
      <c r="B244" s="98"/>
      <c r="C244" s="98"/>
      <c r="D244" s="98"/>
      <c r="E244" s="50"/>
      <c r="F244" s="50"/>
      <c r="G244" s="50"/>
      <c r="H244" s="98"/>
      <c r="I244" s="98"/>
      <c r="J244" s="98"/>
    </row>
    <row r="250" spans="2:10" x14ac:dyDescent="0.25">
      <c r="B250" s="98"/>
      <c r="C250" s="98"/>
      <c r="D250" s="98"/>
      <c r="E250" s="50"/>
      <c r="F250" s="50"/>
      <c r="G250" s="50"/>
      <c r="H250" s="98"/>
      <c r="I250" s="98"/>
      <c r="J250" s="98"/>
    </row>
    <row r="251" spans="2:10" x14ac:dyDescent="0.25">
      <c r="B251" s="98"/>
      <c r="C251" s="98"/>
      <c r="D251" s="98"/>
      <c r="E251" s="50"/>
      <c r="F251" s="50"/>
      <c r="G251" s="50"/>
      <c r="H251" s="98"/>
      <c r="I251" s="98"/>
      <c r="J251" s="98"/>
    </row>
    <row r="256" spans="2:10" x14ac:dyDescent="0.25">
      <c r="B256" s="98"/>
      <c r="C256" s="98"/>
      <c r="D256" s="98"/>
      <c r="E256" s="50"/>
      <c r="F256" s="50"/>
      <c r="G256" s="50"/>
      <c r="H256" s="98"/>
      <c r="I256" s="98"/>
      <c r="J256" s="98"/>
    </row>
    <row r="257" spans="2:10" x14ac:dyDescent="0.25">
      <c r="B257" s="98"/>
      <c r="C257" s="98"/>
      <c r="D257" s="98"/>
      <c r="E257" s="50"/>
      <c r="F257" s="50"/>
      <c r="G257" s="50"/>
      <c r="H257" s="98"/>
      <c r="I257" s="98"/>
      <c r="J257" s="98"/>
    </row>
    <row r="258" spans="2:10" x14ac:dyDescent="0.25">
      <c r="B258" s="98"/>
      <c r="C258" s="98"/>
      <c r="D258" s="98"/>
      <c r="E258" s="50"/>
      <c r="F258" s="50"/>
      <c r="G258" s="50"/>
      <c r="H258" s="98"/>
      <c r="I258" s="98"/>
      <c r="J258" s="98"/>
    </row>
    <row r="259" spans="2:10" x14ac:dyDescent="0.25">
      <c r="B259" s="98"/>
      <c r="C259" s="98"/>
      <c r="D259" s="98"/>
      <c r="E259" s="50"/>
      <c r="F259" s="50"/>
      <c r="G259" s="50"/>
      <c r="H259" s="98"/>
      <c r="I259" s="98"/>
      <c r="J259" s="98"/>
    </row>
    <row r="262" spans="2:10" x14ac:dyDescent="0.25">
      <c r="B262" s="98"/>
      <c r="C262" s="98"/>
      <c r="D262" s="98"/>
      <c r="E262" s="49"/>
      <c r="F262" s="49"/>
      <c r="G262" s="49"/>
      <c r="H262" s="98"/>
      <c r="I262" s="98"/>
      <c r="J262" s="98"/>
    </row>
    <row r="268" spans="2:10" x14ac:dyDescent="0.25">
      <c r="B268" s="98"/>
      <c r="C268" s="98"/>
      <c r="D268" s="98"/>
      <c r="E268" s="49"/>
      <c r="F268" s="49"/>
      <c r="G268" s="49"/>
      <c r="H268" s="98"/>
      <c r="I268" s="98"/>
      <c r="J268" s="98"/>
    </row>
    <row r="274" spans="2:10" x14ac:dyDescent="0.25">
      <c r="B274" s="98"/>
      <c r="C274" s="98"/>
      <c r="D274" s="98"/>
      <c r="E274" s="49"/>
      <c r="F274" s="49"/>
      <c r="G274" s="49"/>
      <c r="H274" s="98"/>
      <c r="I274" s="98"/>
      <c r="J274" s="98"/>
    </row>
    <row r="280" spans="2:10" x14ac:dyDescent="0.25">
      <c r="B280" s="98"/>
      <c r="C280" s="98"/>
      <c r="D280" s="98"/>
      <c r="E280" s="49"/>
      <c r="F280" s="49"/>
      <c r="G280" s="49"/>
      <c r="H280" s="98"/>
      <c r="I280" s="98"/>
      <c r="J280" s="98"/>
    </row>
    <row r="286" spans="2:10" x14ac:dyDescent="0.25">
      <c r="B286" s="98"/>
      <c r="C286" s="98"/>
      <c r="D286" s="98"/>
      <c r="E286" s="49"/>
      <c r="F286" s="49"/>
      <c r="G286" s="49"/>
      <c r="H286" s="98"/>
      <c r="I286" s="98"/>
      <c r="J286" s="98"/>
    </row>
    <row r="287" spans="2:10" x14ac:dyDescent="0.25">
      <c r="B287" s="98"/>
      <c r="C287" s="98"/>
      <c r="D287" s="98"/>
      <c r="E287" s="49"/>
      <c r="F287" s="49"/>
      <c r="G287" s="49"/>
      <c r="H287" s="98"/>
      <c r="I287" s="98"/>
      <c r="J287" s="98"/>
    </row>
    <row r="292" spans="2:10" x14ac:dyDescent="0.25">
      <c r="B292" s="98"/>
      <c r="C292" s="98"/>
      <c r="D292" s="98"/>
      <c r="E292" s="49"/>
      <c r="F292" s="49"/>
      <c r="G292" s="49"/>
      <c r="H292" s="98"/>
      <c r="I292" s="98"/>
      <c r="J292" s="98"/>
    </row>
    <row r="293" spans="2:10" x14ac:dyDescent="0.25">
      <c r="B293" s="98"/>
      <c r="C293" s="98"/>
      <c r="D293" s="98"/>
      <c r="E293" s="49"/>
      <c r="F293" s="49"/>
      <c r="G293" s="49"/>
      <c r="H293" s="98"/>
      <c r="I293" s="98"/>
      <c r="J293" s="98"/>
    </row>
    <row r="298" spans="2:10" x14ac:dyDescent="0.25">
      <c r="B298" s="98"/>
      <c r="C298" s="98"/>
      <c r="D298" s="98"/>
      <c r="E298" s="49"/>
      <c r="F298" s="49"/>
      <c r="G298" s="49"/>
      <c r="H298" s="98"/>
      <c r="I298" s="98"/>
      <c r="J298" s="98"/>
    </row>
    <row r="304" spans="2:10" x14ac:dyDescent="0.25">
      <c r="B304" s="98"/>
      <c r="C304" s="98"/>
      <c r="D304" s="98"/>
      <c r="E304" s="49"/>
      <c r="F304" s="49"/>
      <c r="G304" s="49"/>
      <c r="H304" s="98"/>
      <c r="I304" s="98"/>
      <c r="J304" s="98"/>
    </row>
    <row r="310" spans="2:10" x14ac:dyDescent="0.25">
      <c r="B310" s="98"/>
      <c r="C310" s="98"/>
      <c r="D310" s="98"/>
      <c r="E310" s="49"/>
      <c r="F310" s="49"/>
      <c r="G310" s="49"/>
      <c r="H310" s="98"/>
      <c r="I310" s="98"/>
      <c r="J310" s="98"/>
    </row>
    <row r="311" spans="2:10" x14ac:dyDescent="0.25">
      <c r="B311" s="98"/>
      <c r="C311" s="98"/>
      <c r="D311" s="98"/>
      <c r="E311" s="49"/>
      <c r="F311" s="49"/>
      <c r="G311" s="49"/>
      <c r="H311" s="98"/>
      <c r="I311" s="98"/>
      <c r="J311" s="98"/>
    </row>
    <row r="316" spans="2:10" x14ac:dyDescent="0.25">
      <c r="B316" s="98"/>
      <c r="C316" s="98"/>
      <c r="D316" s="98"/>
      <c r="E316" s="49"/>
      <c r="F316" s="49"/>
      <c r="G316" s="49"/>
      <c r="H316" s="98"/>
      <c r="I316" s="98"/>
      <c r="J316" s="98"/>
    </row>
    <row r="317" spans="2:10" x14ac:dyDescent="0.25">
      <c r="B317" s="98"/>
      <c r="C317" s="98"/>
      <c r="D317" s="98"/>
      <c r="E317" s="49"/>
      <c r="F317" s="49"/>
      <c r="G317" s="49"/>
      <c r="H317" s="98"/>
      <c r="I317" s="98"/>
      <c r="J317" s="98"/>
    </row>
    <row r="318" spans="2:10" x14ac:dyDescent="0.25">
      <c r="B318" s="98"/>
      <c r="C318" s="98"/>
      <c r="D318" s="98"/>
      <c r="E318" s="49"/>
      <c r="F318" s="49"/>
      <c r="G318" s="49"/>
      <c r="H318" s="98"/>
      <c r="I318" s="98"/>
      <c r="J318" s="98"/>
    </row>
    <row r="322" spans="2:10" x14ac:dyDescent="0.25">
      <c r="B322" s="98"/>
      <c r="C322" s="98"/>
      <c r="D322" s="98"/>
      <c r="E322" s="49"/>
      <c r="F322" s="49"/>
      <c r="G322" s="49"/>
      <c r="H322" s="98"/>
      <c r="I322" s="98"/>
      <c r="J322" s="98"/>
    </row>
    <row r="323" spans="2:10" x14ac:dyDescent="0.25">
      <c r="B323" s="98"/>
      <c r="C323" s="98"/>
      <c r="D323" s="98"/>
      <c r="E323" s="49"/>
      <c r="F323" s="49"/>
      <c r="G323" s="49"/>
      <c r="H323" s="98"/>
      <c r="I323" s="98"/>
      <c r="J323" s="98"/>
    </row>
    <row r="328" spans="2:10" x14ac:dyDescent="0.25">
      <c r="B328" s="98"/>
      <c r="C328" s="98"/>
      <c r="D328" s="98"/>
      <c r="E328" s="49"/>
      <c r="F328" s="49"/>
      <c r="G328" s="49"/>
      <c r="H328" s="98"/>
      <c r="I328" s="98"/>
      <c r="J328" s="98"/>
    </row>
    <row r="334" spans="2:10" x14ac:dyDescent="0.25">
      <c r="B334" s="98"/>
      <c r="C334" s="98"/>
      <c r="D334" s="98"/>
      <c r="E334" s="49"/>
      <c r="F334" s="49"/>
      <c r="G334" s="49"/>
      <c r="H334" s="98"/>
      <c r="I334" s="98"/>
      <c r="J334" s="98"/>
    </row>
    <row r="335" spans="2:10" x14ac:dyDescent="0.25">
      <c r="B335" s="98"/>
      <c r="C335" s="98"/>
      <c r="D335" s="98"/>
      <c r="E335" s="49"/>
      <c r="F335" s="49"/>
      <c r="G335" s="49"/>
      <c r="H335" s="98"/>
      <c r="I335" s="98"/>
      <c r="J335" s="98"/>
    </row>
    <row r="336" spans="2:10" x14ac:dyDescent="0.25">
      <c r="B336" s="98"/>
      <c r="C336" s="98"/>
      <c r="D336" s="98"/>
      <c r="E336" s="49"/>
      <c r="F336" s="49"/>
      <c r="G336" s="49"/>
      <c r="H336" s="98"/>
      <c r="I336" s="98"/>
      <c r="J336" s="98"/>
    </row>
    <row r="340" spans="2:10" x14ac:dyDescent="0.25">
      <c r="B340" s="98"/>
      <c r="C340" s="98"/>
      <c r="D340" s="98"/>
      <c r="E340" s="49"/>
      <c r="F340" s="49"/>
      <c r="G340" s="49"/>
      <c r="H340" s="98"/>
      <c r="I340" s="98"/>
      <c r="J340" s="98"/>
    </row>
    <row r="341" spans="2:10" x14ac:dyDescent="0.25">
      <c r="B341" s="98"/>
      <c r="C341" s="98"/>
      <c r="D341" s="98"/>
      <c r="E341" s="49"/>
      <c r="F341" s="49"/>
      <c r="G341" s="49"/>
      <c r="H341" s="98"/>
      <c r="I341" s="98"/>
      <c r="J341" s="98"/>
    </row>
    <row r="346" spans="2:10" x14ac:dyDescent="0.25">
      <c r="B346" s="98"/>
      <c r="C346" s="98"/>
      <c r="D346" s="98"/>
      <c r="E346" s="49"/>
      <c r="F346" s="49"/>
      <c r="G346" s="49"/>
      <c r="H346" s="98"/>
      <c r="I346" s="98"/>
      <c r="J346" s="98"/>
    </row>
    <row r="352" spans="2:10" x14ac:dyDescent="0.25">
      <c r="B352" s="98"/>
      <c r="C352" s="98"/>
      <c r="D352" s="98"/>
      <c r="E352" s="49"/>
      <c r="F352" s="49"/>
      <c r="G352" s="49"/>
      <c r="H352" s="98"/>
      <c r="I352" s="98"/>
      <c r="J352" s="98"/>
    </row>
    <row r="353" spans="2:10" x14ac:dyDescent="0.25">
      <c r="B353" s="98"/>
      <c r="C353" s="98"/>
      <c r="D353" s="98"/>
      <c r="E353" s="49"/>
      <c r="F353" s="49"/>
      <c r="G353" s="49"/>
      <c r="H353" s="98"/>
      <c r="I353" s="98"/>
      <c r="J353" s="98"/>
    </row>
    <row r="354" spans="2:10" x14ac:dyDescent="0.25">
      <c r="B354" s="98"/>
      <c r="C354" s="98"/>
      <c r="D354" s="98"/>
      <c r="E354" s="49"/>
      <c r="F354" s="49"/>
      <c r="G354" s="49"/>
      <c r="H354" s="98"/>
      <c r="I354" s="98"/>
      <c r="J354" s="98"/>
    </row>
    <row r="355" spans="2:10" x14ac:dyDescent="0.25">
      <c r="B355" s="98"/>
      <c r="C355" s="98"/>
      <c r="D355" s="98"/>
      <c r="E355" s="49"/>
      <c r="F355" s="49"/>
      <c r="G355" s="49"/>
      <c r="H355" s="98"/>
      <c r="I355" s="98"/>
      <c r="J355" s="98"/>
    </row>
    <row r="358" spans="2:10" x14ac:dyDescent="0.25">
      <c r="B358" s="98"/>
      <c r="C358" s="98"/>
      <c r="D358" s="98"/>
      <c r="E358" s="49"/>
      <c r="F358" s="49"/>
      <c r="G358" s="49"/>
      <c r="H358" s="98"/>
      <c r="I358" s="98"/>
      <c r="J358" s="98"/>
    </row>
    <row r="364" spans="2:10" x14ac:dyDescent="0.25">
      <c r="B364" s="98"/>
      <c r="C364" s="98"/>
      <c r="D364" s="98"/>
      <c r="E364" s="49"/>
      <c r="F364" s="49"/>
      <c r="G364" s="49"/>
      <c r="H364" s="98"/>
      <c r="I364" s="98"/>
      <c r="J364" s="98"/>
    </row>
    <row r="365" spans="2:10" x14ac:dyDescent="0.25">
      <c r="B365" s="98"/>
      <c r="C365" s="98"/>
      <c r="D365" s="98"/>
      <c r="E365" s="49"/>
      <c r="F365" s="49"/>
      <c r="G365" s="49"/>
      <c r="H365" s="98"/>
      <c r="I365" s="98"/>
      <c r="J365" s="98"/>
    </row>
    <row r="367" spans="2:10" x14ac:dyDescent="0.25">
      <c r="B367" s="98"/>
      <c r="C367" s="98"/>
      <c r="D367" s="98"/>
      <c r="E367" s="49"/>
      <c r="F367" s="49"/>
      <c r="G367" s="49"/>
      <c r="H367" s="98"/>
      <c r="I367" s="98"/>
      <c r="J367" s="98"/>
    </row>
    <row r="373" spans="2:10" x14ac:dyDescent="0.25">
      <c r="B373" s="98"/>
      <c r="C373" s="98"/>
      <c r="D373" s="98"/>
      <c r="E373" s="49"/>
      <c r="F373" s="49"/>
      <c r="G373" s="49"/>
      <c r="H373" s="98"/>
      <c r="I373" s="98"/>
      <c r="J373" s="98"/>
    </row>
    <row r="374" spans="2:10" x14ac:dyDescent="0.25">
      <c r="B374" s="98"/>
      <c r="C374" s="98"/>
      <c r="D374" s="98"/>
      <c r="E374" s="49"/>
      <c r="F374" s="49"/>
      <c r="G374" s="49"/>
      <c r="H374" s="98"/>
      <c r="I374" s="98"/>
      <c r="J374" s="98"/>
    </row>
    <row r="379" spans="2:10" x14ac:dyDescent="0.25">
      <c r="B379" s="98"/>
      <c r="C379" s="98"/>
      <c r="D379" s="98"/>
      <c r="E379" s="49"/>
      <c r="F379" s="49"/>
      <c r="G379" s="49"/>
      <c r="H379" s="98"/>
      <c r="I379" s="98"/>
      <c r="J379" s="98"/>
    </row>
    <row r="380" spans="2:10" x14ac:dyDescent="0.25">
      <c r="B380" s="98"/>
      <c r="C380" s="98"/>
      <c r="D380" s="98"/>
      <c r="E380" s="49"/>
      <c r="F380" s="49"/>
      <c r="G380" s="49"/>
      <c r="H380" s="98"/>
      <c r="I380" s="98"/>
      <c r="J380" s="98"/>
    </row>
    <row r="381" spans="2:10" x14ac:dyDescent="0.25">
      <c r="B381" s="98"/>
      <c r="C381" s="98"/>
      <c r="D381" s="98"/>
      <c r="E381" s="49"/>
      <c r="F381" s="49"/>
      <c r="G381" s="49"/>
      <c r="H381" s="98"/>
      <c r="I381" s="98"/>
      <c r="J381" s="98"/>
    </row>
    <row r="382" spans="2:10" x14ac:dyDescent="0.25">
      <c r="B382" s="98"/>
      <c r="C382" s="98"/>
      <c r="D382" s="98"/>
      <c r="E382" s="49"/>
      <c r="F382" s="49"/>
      <c r="G382" s="49"/>
      <c r="H382" s="98"/>
      <c r="I382" s="98"/>
      <c r="J382" s="98"/>
    </row>
    <row r="383" spans="2:10" x14ac:dyDescent="0.25">
      <c r="B383" s="98"/>
      <c r="C383" s="98"/>
      <c r="D383" s="98"/>
      <c r="E383" s="49"/>
      <c r="F383" s="49"/>
      <c r="G383" s="49"/>
      <c r="H383" s="98"/>
      <c r="I383" s="98"/>
      <c r="J383" s="98"/>
    </row>
    <row r="384" spans="2:10" x14ac:dyDescent="0.25">
      <c r="B384" s="98"/>
      <c r="C384" s="98"/>
      <c r="D384" s="98"/>
      <c r="E384" s="49"/>
      <c r="F384" s="49"/>
      <c r="G384" s="49"/>
      <c r="H384" s="98"/>
      <c r="I384" s="98"/>
      <c r="J384" s="98"/>
    </row>
    <row r="385" spans="2:10" x14ac:dyDescent="0.25">
      <c r="B385" s="98"/>
      <c r="C385" s="98"/>
      <c r="D385" s="98"/>
      <c r="E385" s="49"/>
      <c r="F385" s="49"/>
      <c r="G385" s="49"/>
      <c r="H385" s="98"/>
      <c r="I385" s="98"/>
      <c r="J385" s="98"/>
    </row>
    <row r="386" spans="2:10" x14ac:dyDescent="0.25">
      <c r="B386" s="98"/>
      <c r="C386" s="98"/>
      <c r="D386" s="98"/>
      <c r="E386" s="49"/>
      <c r="F386" s="49"/>
      <c r="G386" s="49"/>
      <c r="H386" s="98"/>
      <c r="I386" s="98"/>
      <c r="J386" s="98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54:D54"/>
    <mergeCell ref="H54:J54"/>
    <mergeCell ref="B48:D48"/>
    <mergeCell ref="H48:J48"/>
    <mergeCell ref="B66:D66"/>
    <mergeCell ref="H66:J66"/>
    <mergeCell ref="B1:I1"/>
    <mergeCell ref="B67:D67"/>
    <mergeCell ref="H67:J67"/>
    <mergeCell ref="B60:D60"/>
    <mergeCell ref="H60:J60"/>
    <mergeCell ref="B78:D78"/>
    <mergeCell ref="H78:J78"/>
    <mergeCell ref="B72:D72"/>
    <mergeCell ref="H72:J72"/>
    <mergeCell ref="B73:D73"/>
    <mergeCell ref="H73:J73"/>
    <mergeCell ref="B90:D90"/>
    <mergeCell ref="H90:J90"/>
    <mergeCell ref="B91:D91"/>
    <mergeCell ref="H91:J91"/>
    <mergeCell ref="B84:D84"/>
    <mergeCell ref="H84:J84"/>
    <mergeCell ref="B96:D96"/>
    <mergeCell ref="H96:J96"/>
    <mergeCell ref="B97:D97"/>
    <mergeCell ref="H97:J97"/>
    <mergeCell ref="B98:D98"/>
    <mergeCell ref="H98:J98"/>
    <mergeCell ref="B108:D108"/>
    <mergeCell ref="H108:J108"/>
    <mergeCell ref="B102:D102"/>
    <mergeCell ref="H102:J102"/>
    <mergeCell ref="B103:D103"/>
    <mergeCell ref="H103:J103"/>
    <mergeCell ref="B114:D114"/>
    <mergeCell ref="H114:J114"/>
    <mergeCell ref="B115:D115"/>
    <mergeCell ref="H115:J115"/>
    <mergeCell ref="B116:D116"/>
    <mergeCell ref="H116:J116"/>
    <mergeCell ref="B135:D135"/>
    <mergeCell ref="H135:J135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33:D133"/>
    <mergeCell ref="H133:J133"/>
    <mergeCell ref="B134:D134"/>
    <mergeCell ref="H134:J134"/>
    <mergeCell ref="B144:D144"/>
    <mergeCell ref="H144:J144"/>
    <mergeCell ref="B145:D145"/>
    <mergeCell ref="H145:J145"/>
    <mergeCell ref="B138:D138"/>
    <mergeCell ref="H138:J138"/>
    <mergeCell ref="B160:D160"/>
    <mergeCell ref="H160:J160"/>
    <mergeCell ref="B154:D154"/>
    <mergeCell ref="H154:J154"/>
    <mergeCell ref="B148:D148"/>
    <mergeCell ref="H148:J148"/>
    <mergeCell ref="B172:D172"/>
    <mergeCell ref="H172:J172"/>
    <mergeCell ref="B173:D173"/>
    <mergeCell ref="H173:J173"/>
    <mergeCell ref="B166:D166"/>
    <mergeCell ref="H166:J166"/>
    <mergeCell ref="B184:D184"/>
    <mergeCell ref="H184:J184"/>
    <mergeCell ref="B178:D178"/>
    <mergeCell ref="H178:J178"/>
    <mergeCell ref="B179:D179"/>
    <mergeCell ref="H179:J179"/>
    <mergeCell ref="B196:D196"/>
    <mergeCell ref="H196:J196"/>
    <mergeCell ref="B197:D197"/>
    <mergeCell ref="H197:J197"/>
    <mergeCell ref="B190:D190"/>
    <mergeCell ref="H190:J190"/>
    <mergeCell ref="B202:D202"/>
    <mergeCell ref="H202:J202"/>
    <mergeCell ref="B203:D203"/>
    <mergeCell ref="H203:J203"/>
    <mergeCell ref="B204:D204"/>
    <mergeCell ref="H204:J204"/>
    <mergeCell ref="B214:D214"/>
    <mergeCell ref="H214:J214"/>
    <mergeCell ref="B208:D208"/>
    <mergeCell ref="H208:J208"/>
    <mergeCell ref="B209:D209"/>
    <mergeCell ref="H209:J209"/>
    <mergeCell ref="B220:D220"/>
    <mergeCell ref="H220:J220"/>
    <mergeCell ref="B221:D221"/>
    <mergeCell ref="H221:J221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44:D244"/>
    <mergeCell ref="H244:J244"/>
    <mergeCell ref="B238:D238"/>
    <mergeCell ref="H238:J238"/>
    <mergeCell ref="B239:D239"/>
    <mergeCell ref="H239:J239"/>
    <mergeCell ref="B240:D240"/>
    <mergeCell ref="H240:J240"/>
    <mergeCell ref="B241:D241"/>
    <mergeCell ref="H241:J241"/>
    <mergeCell ref="B259:D259"/>
    <mergeCell ref="H259:J259"/>
    <mergeCell ref="B250:D250"/>
    <mergeCell ref="H250:J250"/>
    <mergeCell ref="B251:D251"/>
    <mergeCell ref="H251:J251"/>
    <mergeCell ref="B256:D256"/>
    <mergeCell ref="H256:J256"/>
    <mergeCell ref="B257:D257"/>
    <mergeCell ref="H257:J257"/>
    <mergeCell ref="B258:D258"/>
    <mergeCell ref="H258:J258"/>
    <mergeCell ref="B352:D352"/>
    <mergeCell ref="H352:J352"/>
    <mergeCell ref="B353:D353"/>
    <mergeCell ref="H353:J353"/>
    <mergeCell ref="B354:D354"/>
    <mergeCell ref="H354:J354"/>
    <mergeCell ref="B355:D355"/>
    <mergeCell ref="H355:J355"/>
    <mergeCell ref="B385:D385"/>
    <mergeCell ref="H385:J385"/>
    <mergeCell ref="B373:D373"/>
    <mergeCell ref="H373:J373"/>
    <mergeCell ref="B374:D374"/>
    <mergeCell ref="H374:J374"/>
    <mergeCell ref="B367:D367"/>
    <mergeCell ref="H367:J367"/>
    <mergeCell ref="B364:D364"/>
    <mergeCell ref="H364:J364"/>
    <mergeCell ref="B365:D365"/>
    <mergeCell ref="H365:J365"/>
    <mergeCell ref="B358:D358"/>
    <mergeCell ref="H358:J358"/>
    <mergeCell ref="B386:D386"/>
    <mergeCell ref="H386:J386"/>
    <mergeCell ref="B379:D379"/>
    <mergeCell ref="H379:J379"/>
    <mergeCell ref="B380:D380"/>
    <mergeCell ref="H380:J380"/>
    <mergeCell ref="B381:D381"/>
    <mergeCell ref="H381:J381"/>
    <mergeCell ref="B382:D382"/>
    <mergeCell ref="H382:J382"/>
    <mergeCell ref="B383:D383"/>
    <mergeCell ref="H383:J383"/>
    <mergeCell ref="B384:D384"/>
    <mergeCell ref="H384:J384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28:D328"/>
    <mergeCell ref="H328:J328"/>
    <mergeCell ref="B322:D322"/>
    <mergeCell ref="H322:J322"/>
    <mergeCell ref="B323:D323"/>
    <mergeCell ref="H323:J323"/>
    <mergeCell ref="B316:D316"/>
    <mergeCell ref="H316:J316"/>
    <mergeCell ref="B317:D317"/>
    <mergeCell ref="H317:J317"/>
    <mergeCell ref="B318:D318"/>
    <mergeCell ref="H318:J318"/>
    <mergeCell ref="B310:D310"/>
    <mergeCell ref="H310:J310"/>
    <mergeCell ref="B311:D311"/>
    <mergeCell ref="H311:J311"/>
    <mergeCell ref="B304:D304"/>
    <mergeCell ref="H304:J304"/>
    <mergeCell ref="B298:D298"/>
    <mergeCell ref="H298:J298"/>
    <mergeCell ref="B292:D292"/>
    <mergeCell ref="H292:J292"/>
    <mergeCell ref="B293:D293"/>
    <mergeCell ref="H293:J293"/>
    <mergeCell ref="B262:D262"/>
    <mergeCell ref="H262:J262"/>
    <mergeCell ref="B286:D286"/>
    <mergeCell ref="H286:J286"/>
    <mergeCell ref="B287:D287"/>
    <mergeCell ref="H287:J287"/>
    <mergeCell ref="B280:D280"/>
    <mergeCell ref="H280:J280"/>
    <mergeCell ref="B274:D274"/>
    <mergeCell ref="H274:J274"/>
    <mergeCell ref="B268:D268"/>
    <mergeCell ref="H268:J268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5" zoomScale="80" zoomScaleNormal="80" workbookViewId="0">
      <selection activeCell="L36" sqref="L36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9" t="s">
        <v>40</v>
      </c>
      <c r="B1" s="160"/>
      <c r="C1" s="160"/>
      <c r="D1" s="160"/>
      <c r="E1" s="160"/>
      <c r="F1" s="160"/>
      <c r="G1" s="160"/>
      <c r="H1" s="160"/>
      <c r="I1" s="160"/>
      <c r="J1" s="160"/>
      <c r="K1" s="161"/>
    </row>
    <row r="2" spans="1:24" ht="16.5" thickTop="1" x14ac:dyDescent="0.25">
      <c r="A2" s="107" t="s">
        <v>0</v>
      </c>
      <c r="B2" s="108"/>
      <c r="C2" s="108"/>
      <c r="D2" s="108"/>
      <c r="E2" s="108"/>
      <c r="F2" s="24"/>
      <c r="G2" s="108" t="s">
        <v>36</v>
      </c>
      <c r="H2" s="108"/>
      <c r="I2" s="108"/>
      <c r="J2" s="108"/>
      <c r="K2" s="120"/>
      <c r="O2" s="162" t="s">
        <v>35</v>
      </c>
      <c r="P2" s="163"/>
      <c r="R2" s="135" t="s">
        <v>44</v>
      </c>
      <c r="S2" s="136"/>
      <c r="T2" s="137"/>
      <c r="V2" s="132" t="s">
        <v>45</v>
      </c>
      <c r="W2" s="133"/>
      <c r="X2" s="134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21">
        <v>50</v>
      </c>
      <c r="S3" s="122"/>
      <c r="T3" s="123"/>
      <c r="V3" s="138">
        <v>23</v>
      </c>
      <c r="W3" s="139"/>
      <c r="X3" s="140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21"/>
      <c r="S4" s="122"/>
      <c r="T4" s="123"/>
      <c r="V4" s="138"/>
      <c r="W4" s="139"/>
      <c r="X4" s="140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24"/>
      <c r="S5" s="125"/>
      <c r="T5" s="126"/>
      <c r="V5" s="141"/>
      <c r="W5" s="142"/>
      <c r="X5" s="143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56" t="s">
        <v>48</v>
      </c>
      <c r="S7" s="157"/>
      <c r="T7" s="158"/>
      <c r="V7" s="132" t="s">
        <v>46</v>
      </c>
      <c r="W7" s="133"/>
      <c r="X7" s="134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21">
        <f>V16*0.5</f>
        <v>90</v>
      </c>
      <c r="S8" s="122"/>
      <c r="T8" s="123"/>
      <c r="V8" s="144">
        <v>10</v>
      </c>
      <c r="W8" s="145"/>
      <c r="X8" s="146"/>
    </row>
    <row r="9" spans="1:24" x14ac:dyDescent="0.25">
      <c r="A9" s="107" t="s">
        <v>1</v>
      </c>
      <c r="B9" s="108"/>
      <c r="C9" s="108"/>
      <c r="D9" s="108"/>
      <c r="E9" s="108"/>
      <c r="F9" s="25"/>
      <c r="G9" s="108" t="s">
        <v>37</v>
      </c>
      <c r="H9" s="108"/>
      <c r="I9" s="108"/>
      <c r="J9" s="108"/>
      <c r="K9" s="120"/>
      <c r="O9" s="5" t="s">
        <v>9</v>
      </c>
      <c r="P9" s="9" t="s">
        <v>23</v>
      </c>
      <c r="R9" s="124"/>
      <c r="S9" s="125"/>
      <c r="T9" s="126"/>
      <c r="V9" s="147"/>
      <c r="W9" s="148"/>
      <c r="X9" s="149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53" t="s">
        <v>49</v>
      </c>
      <c r="S11" s="154"/>
      <c r="T11" s="155"/>
      <c r="V11" s="132" t="s">
        <v>47</v>
      </c>
      <c r="W11" s="133"/>
      <c r="X11" s="134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21">
        <f>V16*0.3</f>
        <v>54</v>
      </c>
      <c r="S12" s="122"/>
      <c r="T12" s="123"/>
      <c r="V12" s="111">
        <f>V3*V8</f>
        <v>230</v>
      </c>
      <c r="W12" s="112"/>
      <c r="X12" s="113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24"/>
      <c r="S13" s="125"/>
      <c r="T13" s="126"/>
      <c r="V13" s="114"/>
      <c r="W13" s="115"/>
      <c r="X13" s="116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50" t="s">
        <v>50</v>
      </c>
      <c r="S15" s="151"/>
      <c r="T15" s="152"/>
      <c r="V15" s="132" t="s">
        <v>51</v>
      </c>
      <c r="W15" s="133"/>
      <c r="X15" s="134"/>
    </row>
    <row r="16" spans="1:24" ht="21" customHeight="1" x14ac:dyDescent="0.25">
      <c r="A16" s="107" t="s">
        <v>2</v>
      </c>
      <c r="B16" s="108"/>
      <c r="C16" s="108"/>
      <c r="D16" s="108"/>
      <c r="E16" s="108"/>
      <c r="F16" s="25"/>
      <c r="G16" s="108" t="s">
        <v>38</v>
      </c>
      <c r="H16" s="108"/>
      <c r="I16" s="108"/>
      <c r="J16" s="108"/>
      <c r="K16" s="120"/>
      <c r="O16" s="5" t="s">
        <v>14</v>
      </c>
      <c r="P16" s="9" t="s">
        <v>30</v>
      </c>
      <c r="R16" s="121">
        <f>V16*0.2</f>
        <v>36</v>
      </c>
      <c r="S16" s="122"/>
      <c r="T16" s="123"/>
      <c r="V16" s="111">
        <f>V12-R3</f>
        <v>180</v>
      </c>
      <c r="W16" s="112"/>
      <c r="X16" s="113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24"/>
      <c r="S17" s="125"/>
      <c r="T17" s="126"/>
      <c r="V17" s="114"/>
      <c r="W17" s="115"/>
      <c r="X17" s="116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18" t="s">
        <v>125</v>
      </c>
      <c r="P20" s="118"/>
      <c r="Q20" s="118"/>
      <c r="R20" s="117"/>
      <c r="S20" s="117"/>
      <c r="T20" s="117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18" t="s">
        <v>126</v>
      </c>
      <c r="P21" s="118"/>
      <c r="Q21" s="118"/>
      <c r="R21" s="119"/>
      <c r="S21" s="119"/>
      <c r="T21" s="119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07" t="s">
        <v>3</v>
      </c>
      <c r="B23" s="108"/>
      <c r="C23" s="108"/>
      <c r="D23" s="108"/>
      <c r="E23" s="108"/>
      <c r="F23" s="25"/>
      <c r="G23" s="108" t="s">
        <v>39</v>
      </c>
      <c r="H23" s="108"/>
      <c r="I23" s="108"/>
      <c r="J23" s="108"/>
      <c r="K23" s="120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04" t="s">
        <v>53</v>
      </c>
      <c r="B31" s="105"/>
      <c r="C31" s="105"/>
      <c r="D31" s="105"/>
      <c r="E31" s="106"/>
      <c r="G31" s="107" t="s">
        <v>175</v>
      </c>
      <c r="H31" s="108"/>
      <c r="I31" s="108"/>
      <c r="J31" s="108"/>
      <c r="K31" s="108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27" t="s">
        <v>5</v>
      </c>
      <c r="H32" s="128"/>
      <c r="I32" s="128"/>
      <c r="J32" s="128"/>
      <c r="K32" s="129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30" t="s">
        <v>126</v>
      </c>
      <c r="H34" s="131"/>
      <c r="I34" s="131"/>
      <c r="J34" s="131"/>
      <c r="K34" s="131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27" t="s">
        <v>128</v>
      </c>
      <c r="H35" s="128"/>
      <c r="I35" s="128"/>
      <c r="J35" s="128"/>
      <c r="K35" s="129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04" t="s">
        <v>139</v>
      </c>
      <c r="B41" s="105"/>
      <c r="C41" s="105"/>
      <c r="D41" s="105"/>
      <c r="E41" s="106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07" t="s">
        <v>140</v>
      </c>
      <c r="B47" s="108"/>
      <c r="C47" s="108"/>
      <c r="D47" s="108"/>
      <c r="E47" s="108"/>
    </row>
    <row r="48" spans="1:12" x14ac:dyDescent="0.25">
      <c r="A48" s="68" t="s">
        <v>5</v>
      </c>
      <c r="B48" s="6"/>
      <c r="C48" s="6" t="s">
        <v>53</v>
      </c>
      <c r="D48" s="6"/>
      <c r="E48" s="66" t="s">
        <v>12</v>
      </c>
      <c r="F48" s="23" t="s">
        <v>68</v>
      </c>
    </row>
    <row r="49" spans="1:6" x14ac:dyDescent="0.25">
      <c r="A49" s="68" t="s">
        <v>17</v>
      </c>
      <c r="B49" s="6"/>
      <c r="C49" s="6" t="s">
        <v>53</v>
      </c>
      <c r="D49" s="6"/>
      <c r="E49" s="66" t="s">
        <v>23</v>
      </c>
      <c r="F49" s="23" t="s">
        <v>68</v>
      </c>
    </row>
    <row r="51" spans="1:6" x14ac:dyDescent="0.25">
      <c r="A51" s="107" t="s">
        <v>141</v>
      </c>
      <c r="B51" s="108"/>
      <c r="C51" s="108"/>
      <c r="D51" s="108"/>
      <c r="E51" s="108"/>
    </row>
    <row r="52" spans="1:6" x14ac:dyDescent="0.25">
      <c r="A52" s="68"/>
      <c r="B52" s="6"/>
      <c r="C52" s="6" t="s">
        <v>53</v>
      </c>
      <c r="D52" s="6"/>
      <c r="E52" s="66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09" t="s">
        <v>142</v>
      </c>
      <c r="B54" s="110"/>
      <c r="C54" s="110"/>
      <c r="D54" s="110"/>
      <c r="E54" s="110"/>
    </row>
    <row r="55" spans="1:6" x14ac:dyDescent="0.25">
      <c r="A55" s="68"/>
      <c r="B55" s="6"/>
      <c r="C55" s="6" t="s">
        <v>53</v>
      </c>
      <c r="D55" s="6"/>
      <c r="E55" s="66"/>
      <c r="F55" s="23" t="s">
        <v>68</v>
      </c>
    </row>
  </sheetData>
  <mergeCells count="39">
    <mergeCell ref="A1:K1"/>
    <mergeCell ref="O2:P2"/>
    <mergeCell ref="A2:E2"/>
    <mergeCell ref="A9:E9"/>
    <mergeCell ref="A16:E16"/>
    <mergeCell ref="G2:K2"/>
    <mergeCell ref="G9:K9"/>
    <mergeCell ref="G16:K16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G24"/>
  <sheetViews>
    <sheetView workbookViewId="0">
      <selection activeCell="D13" sqref="D13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</cols>
  <sheetData>
    <row r="1" spans="1:7" x14ac:dyDescent="0.25">
      <c r="A1" s="78" t="s">
        <v>118</v>
      </c>
      <c r="B1" s="78" t="s">
        <v>176</v>
      </c>
      <c r="C1" s="78" t="s">
        <v>177</v>
      </c>
      <c r="D1" s="78" t="s">
        <v>178</v>
      </c>
      <c r="E1" s="78" t="s">
        <v>179</v>
      </c>
    </row>
    <row r="2" spans="1:7" x14ac:dyDescent="0.25">
      <c r="A2" t="s">
        <v>89</v>
      </c>
      <c r="B2" s="82" t="s">
        <v>8</v>
      </c>
      <c r="C2" s="82" t="s">
        <v>15</v>
      </c>
      <c r="D2" s="82" t="s">
        <v>129</v>
      </c>
      <c r="E2" s="81" t="s">
        <v>130</v>
      </c>
      <c r="G2" t="s">
        <v>89</v>
      </c>
    </row>
    <row r="3" spans="1:7" x14ac:dyDescent="0.25">
      <c r="A3" s="79" t="s">
        <v>88</v>
      </c>
      <c r="B3" s="82" t="s">
        <v>8</v>
      </c>
      <c r="C3" s="76" t="s">
        <v>17</v>
      </c>
      <c r="D3" s="77" t="s">
        <v>128</v>
      </c>
      <c r="E3" s="77" t="s">
        <v>130</v>
      </c>
      <c r="G3" t="s">
        <v>88</v>
      </c>
    </row>
    <row r="4" spans="1:7" x14ac:dyDescent="0.25">
      <c r="A4" t="s">
        <v>87</v>
      </c>
      <c r="B4" s="82" t="s">
        <v>8</v>
      </c>
      <c r="C4" s="82" t="s">
        <v>27</v>
      </c>
      <c r="D4" s="82" t="s">
        <v>131</v>
      </c>
      <c r="E4" s="81" t="s">
        <v>128</v>
      </c>
      <c r="G4" t="s">
        <v>87</v>
      </c>
    </row>
    <row r="5" spans="1:7" x14ac:dyDescent="0.25">
      <c r="A5" s="79" t="s">
        <v>86</v>
      </c>
      <c r="B5" s="82" t="s">
        <v>8</v>
      </c>
      <c r="C5" s="76" t="s">
        <v>17</v>
      </c>
      <c r="D5" s="82" t="s">
        <v>127</v>
      </c>
      <c r="E5" s="77" t="s">
        <v>128</v>
      </c>
      <c r="G5" t="s">
        <v>86</v>
      </c>
    </row>
    <row r="6" spans="1:7" x14ac:dyDescent="0.25">
      <c r="A6" t="s">
        <v>93</v>
      </c>
      <c r="B6" s="82" t="s">
        <v>8</v>
      </c>
      <c r="C6" s="82" t="s">
        <v>19</v>
      </c>
      <c r="D6" s="82" t="s">
        <v>127</v>
      </c>
      <c r="E6" s="81" t="s">
        <v>130</v>
      </c>
      <c r="G6" t="s">
        <v>93</v>
      </c>
    </row>
    <row r="7" spans="1:7" x14ac:dyDescent="0.25">
      <c r="A7" s="79" t="s">
        <v>84</v>
      </c>
      <c r="B7" s="82" t="s">
        <v>8</v>
      </c>
      <c r="C7" s="82" t="s">
        <v>54</v>
      </c>
      <c r="D7" s="82" t="s">
        <v>127</v>
      </c>
      <c r="E7" s="82" t="s">
        <v>135</v>
      </c>
      <c r="G7" t="s">
        <v>84</v>
      </c>
    </row>
    <row r="8" spans="1:7" x14ac:dyDescent="0.25">
      <c r="A8" t="s">
        <v>83</v>
      </c>
      <c r="B8" s="82" t="s">
        <v>8</v>
      </c>
      <c r="C8" s="82" t="s">
        <v>19</v>
      </c>
      <c r="D8" s="82" t="s">
        <v>133</v>
      </c>
      <c r="E8" s="81" t="s">
        <v>130</v>
      </c>
      <c r="G8" t="s">
        <v>83</v>
      </c>
    </row>
    <row r="9" spans="1:7" x14ac:dyDescent="0.25">
      <c r="A9" s="79" t="s">
        <v>82</v>
      </c>
      <c r="B9" s="82" t="s">
        <v>15</v>
      </c>
      <c r="C9" s="82" t="s">
        <v>6</v>
      </c>
      <c r="D9" s="82" t="s">
        <v>127</v>
      </c>
      <c r="E9" s="82" t="s">
        <v>132</v>
      </c>
      <c r="G9" t="s">
        <v>82</v>
      </c>
    </row>
    <row r="10" spans="1:7" x14ac:dyDescent="0.25">
      <c r="A10" t="s">
        <v>81</v>
      </c>
      <c r="B10" s="82" t="s">
        <v>8</v>
      </c>
      <c r="C10" s="80" t="s">
        <v>5</v>
      </c>
      <c r="D10" s="82" t="s">
        <v>127</v>
      </c>
      <c r="E10" s="82" t="s">
        <v>131</v>
      </c>
      <c r="G10" t="s">
        <v>81</v>
      </c>
    </row>
    <row r="11" spans="1:7" x14ac:dyDescent="0.25">
      <c r="A11" s="79" t="s">
        <v>80</v>
      </c>
      <c r="B11" s="82" t="s">
        <v>8</v>
      </c>
      <c r="C11" s="82" t="s">
        <v>19</v>
      </c>
      <c r="D11" s="82" t="s">
        <v>127</v>
      </c>
      <c r="E11" s="77" t="s">
        <v>130</v>
      </c>
      <c r="G11" t="s">
        <v>80</v>
      </c>
    </row>
    <row r="12" spans="1:7" x14ac:dyDescent="0.25">
      <c r="A12" t="s">
        <v>79</v>
      </c>
      <c r="B12" s="82" t="s">
        <v>8</v>
      </c>
      <c r="C12" s="80" t="s">
        <v>5</v>
      </c>
      <c r="D12" s="82" t="s">
        <v>127</v>
      </c>
      <c r="E12" s="82" t="s">
        <v>131</v>
      </c>
      <c r="G12" t="s">
        <v>79</v>
      </c>
    </row>
    <row r="13" spans="1:7" x14ac:dyDescent="0.25">
      <c r="A13" s="79" t="s">
        <v>78</v>
      </c>
      <c r="B13" s="82" t="s">
        <v>8</v>
      </c>
      <c r="C13" s="82" t="s">
        <v>4</v>
      </c>
      <c r="D13" s="77" t="s">
        <v>128</v>
      </c>
      <c r="E13" s="82" t="s">
        <v>133</v>
      </c>
      <c r="G13" t="s">
        <v>78</v>
      </c>
    </row>
    <row r="14" spans="1:7" x14ac:dyDescent="0.25">
      <c r="A14" t="s">
        <v>94</v>
      </c>
      <c r="B14" s="82" t="s">
        <v>8</v>
      </c>
      <c r="C14" s="80" t="s">
        <v>17</v>
      </c>
      <c r="D14" s="82" t="s">
        <v>127</v>
      </c>
      <c r="E14" s="81" t="s">
        <v>130</v>
      </c>
      <c r="G14" t="s">
        <v>94</v>
      </c>
    </row>
    <row r="15" spans="1:7" x14ac:dyDescent="0.25">
      <c r="A15" s="79" t="s">
        <v>76</v>
      </c>
      <c r="B15" s="82" t="s">
        <v>8</v>
      </c>
      <c r="C15" s="76" t="s">
        <v>5</v>
      </c>
      <c r="D15" s="82" t="s">
        <v>133</v>
      </c>
      <c r="E15" s="77" t="s">
        <v>130</v>
      </c>
      <c r="G15" t="s">
        <v>76</v>
      </c>
    </row>
    <row r="16" spans="1:7" x14ac:dyDescent="0.25">
      <c r="A16" t="s">
        <v>75</v>
      </c>
      <c r="B16" s="82" t="s">
        <v>8</v>
      </c>
      <c r="C16" s="80" t="s">
        <v>5</v>
      </c>
      <c r="D16" s="81" t="s">
        <v>130</v>
      </c>
      <c r="E16" s="82" t="s">
        <v>136</v>
      </c>
      <c r="G16" t="s">
        <v>75</v>
      </c>
    </row>
    <row r="17" spans="1:7" x14ac:dyDescent="0.25">
      <c r="A17" s="79" t="s">
        <v>74</v>
      </c>
      <c r="B17" s="82" t="s">
        <v>8</v>
      </c>
      <c r="C17" s="82" t="s">
        <v>15</v>
      </c>
      <c r="D17" s="82" t="s">
        <v>138</v>
      </c>
      <c r="E17" s="82" t="s">
        <v>137</v>
      </c>
      <c r="G17" t="s">
        <v>74</v>
      </c>
    </row>
    <row r="18" spans="1:7" x14ac:dyDescent="0.25">
      <c r="A18" t="s">
        <v>73</v>
      </c>
      <c r="B18" s="82" t="s">
        <v>8</v>
      </c>
      <c r="C18" s="80" t="s">
        <v>17</v>
      </c>
      <c r="D18" s="82" t="s">
        <v>137</v>
      </c>
      <c r="E18" s="82" t="s">
        <v>138</v>
      </c>
      <c r="G18" t="s">
        <v>73</v>
      </c>
    </row>
    <row r="19" spans="1:7" x14ac:dyDescent="0.25">
      <c r="A19" s="79" t="s">
        <v>71</v>
      </c>
      <c r="B19" s="82" t="s">
        <v>8</v>
      </c>
      <c r="C19" s="76" t="s">
        <v>5</v>
      </c>
      <c r="D19" s="82" t="s">
        <v>127</v>
      </c>
      <c r="E19" s="77" t="s">
        <v>128</v>
      </c>
      <c r="G19" t="s">
        <v>71</v>
      </c>
    </row>
    <row r="20" spans="1:7" x14ac:dyDescent="0.25">
      <c r="A20" t="s">
        <v>72</v>
      </c>
      <c r="B20" s="82" t="s">
        <v>8</v>
      </c>
      <c r="C20" s="80" t="s">
        <v>5</v>
      </c>
      <c r="D20" s="81" t="s">
        <v>128</v>
      </c>
      <c r="E20" s="82" t="s">
        <v>136</v>
      </c>
      <c r="G20" t="s">
        <v>72</v>
      </c>
    </row>
    <row r="21" spans="1:7" x14ac:dyDescent="0.25">
      <c r="A21" s="79" t="s">
        <v>69</v>
      </c>
      <c r="B21" s="76" t="s">
        <v>17</v>
      </c>
      <c r="C21" s="82" t="s">
        <v>7</v>
      </c>
      <c r="D21" s="77" t="s">
        <v>128</v>
      </c>
      <c r="E21" s="77" t="s">
        <v>130</v>
      </c>
      <c r="G21" t="s">
        <v>69</v>
      </c>
    </row>
    <row r="22" spans="1:7" x14ac:dyDescent="0.25">
      <c r="A22" t="s">
        <v>92</v>
      </c>
      <c r="B22" s="82" t="s">
        <v>20</v>
      </c>
      <c r="C22" s="82" t="s">
        <v>8</v>
      </c>
      <c r="D22" s="82" t="s">
        <v>137</v>
      </c>
      <c r="E22" s="82" t="s">
        <v>127</v>
      </c>
      <c r="G22" t="s">
        <v>92</v>
      </c>
    </row>
    <row r="23" spans="1:7" x14ac:dyDescent="0.25">
      <c r="A23" s="79" t="s">
        <v>91</v>
      </c>
      <c r="B23" s="82" t="s">
        <v>8</v>
      </c>
      <c r="C23" s="82" t="s">
        <v>7</v>
      </c>
      <c r="D23" s="82" t="s">
        <v>127</v>
      </c>
      <c r="E23" s="77" t="s">
        <v>128</v>
      </c>
      <c r="G23" t="s">
        <v>91</v>
      </c>
    </row>
    <row r="24" spans="1:7" x14ac:dyDescent="0.25">
      <c r="A24" t="s">
        <v>70</v>
      </c>
      <c r="B24" s="82" t="s">
        <v>8</v>
      </c>
      <c r="C24" s="80" t="s">
        <v>5</v>
      </c>
      <c r="D24" s="82" t="s">
        <v>127</v>
      </c>
      <c r="E24" s="82" t="s">
        <v>136</v>
      </c>
      <c r="G24" t="s">
        <v>70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83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83">
        <v>1</v>
      </c>
      <c r="C2" s="83" t="s">
        <v>53</v>
      </c>
      <c r="D2" s="83">
        <v>1</v>
      </c>
      <c r="E2" s="19" t="s">
        <v>14</v>
      </c>
      <c r="H2" s="16">
        <v>0</v>
      </c>
      <c r="J2" s="21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70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83">
        <v>1</v>
      </c>
      <c r="C3" s="83" t="s">
        <v>53</v>
      </c>
      <c r="D3" s="83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83">
        <v>1</v>
      </c>
      <c r="C4" s="83" t="s">
        <v>53</v>
      </c>
      <c r="D4" s="83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83">
        <v>2</v>
      </c>
      <c r="C5" s="83" t="s">
        <v>53</v>
      </c>
      <c r="D5" s="83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83">
        <v>2</v>
      </c>
      <c r="C6" s="83" t="s">
        <v>53</v>
      </c>
      <c r="D6" s="83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83">
        <v>1</v>
      </c>
      <c r="C7" s="83" t="s">
        <v>53</v>
      </c>
      <c r="D7" s="83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21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83">
        <v>2</v>
      </c>
      <c r="C9" s="83" t="s">
        <v>53</v>
      </c>
      <c r="D9" s="83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83">
        <v>1</v>
      </c>
      <c r="C10" s="83" t="s">
        <v>53</v>
      </c>
      <c r="D10" s="83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14</v>
      </c>
      <c r="X10" s="98"/>
      <c r="Y10" s="98"/>
      <c r="Z10" s="51">
        <v>1</v>
      </c>
      <c r="AB10" s="51">
        <v>2</v>
      </c>
      <c r="AC10" s="98" t="s">
        <v>28</v>
      </c>
      <c r="AD10" s="98"/>
      <c r="AE10" s="98"/>
    </row>
    <row r="11" spans="1:31" ht="15" customHeight="1" x14ac:dyDescent="0.25">
      <c r="A11" s="18" t="s">
        <v>34</v>
      </c>
      <c r="B11" s="83">
        <v>0</v>
      </c>
      <c r="C11" s="83" t="s">
        <v>53</v>
      </c>
      <c r="D11" s="83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570</v>
      </c>
      <c r="R11" s="172"/>
      <c r="S11" s="172"/>
      <c r="T11" s="172"/>
      <c r="U11" s="172"/>
      <c r="W11" s="98" t="s">
        <v>16</v>
      </c>
      <c r="X11" s="98"/>
      <c r="Y11" s="98"/>
      <c r="Z11" s="51">
        <v>1</v>
      </c>
      <c r="AB11" s="51">
        <v>1</v>
      </c>
      <c r="AC11" s="98" t="s">
        <v>34</v>
      </c>
      <c r="AD11" s="98"/>
      <c r="AE11" s="98"/>
    </row>
    <row r="12" spans="1:31" ht="15" customHeight="1" x14ac:dyDescent="0.25">
      <c r="A12" s="18" t="s">
        <v>20</v>
      </c>
      <c r="B12" s="83">
        <v>2</v>
      </c>
      <c r="C12" s="83" t="s">
        <v>53</v>
      </c>
      <c r="D12" s="83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5</v>
      </c>
      <c r="X12" s="98"/>
      <c r="Y12" s="98"/>
      <c r="Z12" s="51">
        <v>2</v>
      </c>
      <c r="AB12" s="51">
        <v>0</v>
      </c>
      <c r="AC12" s="98" t="s">
        <v>24</v>
      </c>
      <c r="AD12" s="98"/>
      <c r="AE12" s="98"/>
    </row>
    <row r="13" spans="1:31" ht="15" customHeight="1" x14ac:dyDescent="0.25">
      <c r="A13" s="18" t="s">
        <v>21</v>
      </c>
      <c r="B13" s="83">
        <v>1</v>
      </c>
      <c r="C13" s="83" t="s">
        <v>53</v>
      </c>
      <c r="D13" s="83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55</v>
      </c>
      <c r="X13" s="98"/>
      <c r="Y13" s="98"/>
      <c r="Z13" s="51">
        <v>1</v>
      </c>
      <c r="AB13" s="51">
        <v>2</v>
      </c>
      <c r="AC13" s="98" t="s">
        <v>24</v>
      </c>
      <c r="AD13" s="98"/>
      <c r="AE13" s="98"/>
    </row>
    <row r="14" spans="1:31" ht="15" customHeight="1" x14ac:dyDescent="0.25">
      <c r="A14" s="18" t="s">
        <v>34</v>
      </c>
      <c r="B14" s="83">
        <v>1</v>
      </c>
      <c r="C14" s="83" t="s">
        <v>53</v>
      </c>
      <c r="D14" s="83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15</v>
      </c>
      <c r="X14" s="98"/>
      <c r="Y14" s="98"/>
      <c r="Z14" s="51">
        <v>1</v>
      </c>
      <c r="AB14" s="51">
        <v>1</v>
      </c>
      <c r="AC14" s="98" t="s">
        <v>4</v>
      </c>
      <c r="AD14" s="98"/>
      <c r="AE14" s="98"/>
    </row>
    <row r="15" spans="1:31" ht="15" customHeight="1" x14ac:dyDescent="0.25">
      <c r="A15" s="166" t="s">
        <v>64</v>
      </c>
      <c r="B15" s="166"/>
      <c r="C15" s="166"/>
      <c r="D15" s="166"/>
      <c r="E15" s="166"/>
      <c r="J15" s="21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10</v>
      </c>
      <c r="X15" s="98"/>
      <c r="Y15" s="98"/>
      <c r="Z15" s="51">
        <v>1</v>
      </c>
      <c r="AB15" s="51">
        <v>2</v>
      </c>
      <c r="AC15" s="98" t="s">
        <v>23</v>
      </c>
      <c r="AD15" s="98"/>
      <c r="AE15" s="98"/>
    </row>
    <row r="16" spans="1:31" x14ac:dyDescent="0.25">
      <c r="A16" s="18" t="s">
        <v>5</v>
      </c>
      <c r="B16" s="83">
        <v>3</v>
      </c>
      <c r="C16" s="83" t="s">
        <v>53</v>
      </c>
      <c r="D16" s="83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8</v>
      </c>
      <c r="X16" s="98"/>
      <c r="Y16" s="98"/>
      <c r="Z16" s="51">
        <v>2</v>
      </c>
      <c r="AB16" s="51">
        <v>0</v>
      </c>
      <c r="AC16" s="98" t="s">
        <v>29</v>
      </c>
      <c r="AD16" s="98"/>
      <c r="AE16" s="98"/>
    </row>
    <row r="17" spans="1:31" x14ac:dyDescent="0.25">
      <c r="A17" s="18" t="s">
        <v>24</v>
      </c>
      <c r="B17" s="83">
        <v>1</v>
      </c>
      <c r="C17" s="83" t="s">
        <v>53</v>
      </c>
      <c r="D17" s="83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22</v>
      </c>
      <c r="X17" s="98"/>
      <c r="Y17" s="98"/>
      <c r="Z17" s="51">
        <v>1</v>
      </c>
      <c r="AB17" s="51">
        <v>1</v>
      </c>
      <c r="AC17" s="98" t="s">
        <v>12</v>
      </c>
      <c r="AD17" s="98"/>
      <c r="AE17" s="98"/>
    </row>
    <row r="18" spans="1:31" x14ac:dyDescent="0.25">
      <c r="A18" s="18" t="s">
        <v>26</v>
      </c>
      <c r="B18" s="83">
        <v>2</v>
      </c>
      <c r="C18" s="83" t="s">
        <v>53</v>
      </c>
      <c r="D18" s="83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83">
        <v>2</v>
      </c>
      <c r="C19" s="83" t="s">
        <v>53</v>
      </c>
      <c r="D19" s="83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10</v>
      </c>
      <c r="S19" s="22">
        <v>14</v>
      </c>
      <c r="T19" s="22">
        <v>16</v>
      </c>
      <c r="U19" s="22">
        <v>12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83">
        <v>1</v>
      </c>
      <c r="C20" s="83" t="s">
        <v>53</v>
      </c>
      <c r="D20" s="83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83">
        <v>1</v>
      </c>
      <c r="C21" s="83" t="s">
        <v>53</v>
      </c>
      <c r="D21" s="83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66" t="s">
        <v>63</v>
      </c>
      <c r="B22" s="166"/>
      <c r="C22" s="166"/>
      <c r="D22" s="166"/>
      <c r="E22" s="166"/>
      <c r="J22" s="21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136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83">
        <v>2</v>
      </c>
      <c r="C23" s="83" t="s">
        <v>53</v>
      </c>
      <c r="D23" s="83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83">
        <v>2</v>
      </c>
      <c r="C24" s="83" t="s">
        <v>53</v>
      </c>
      <c r="D24" s="83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83">
        <v>1</v>
      </c>
      <c r="C25" s="83" t="s">
        <v>53</v>
      </c>
      <c r="D25" s="83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83">
        <v>1</v>
      </c>
      <c r="C26" s="83" t="s">
        <v>53</v>
      </c>
      <c r="D26" s="83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83">
        <v>0</v>
      </c>
      <c r="C27" s="83" t="s">
        <v>53</v>
      </c>
      <c r="D27" s="83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83">
        <v>1</v>
      </c>
      <c r="C28" s="83" t="s">
        <v>53</v>
      </c>
      <c r="D28" s="83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66" t="s">
        <v>62</v>
      </c>
      <c r="B29" s="166"/>
      <c r="C29" s="166"/>
      <c r="D29" s="166"/>
      <c r="E29" s="16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83">
        <v>2</v>
      </c>
      <c r="C30" s="83" t="s">
        <v>53</v>
      </c>
      <c r="D30" s="83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83">
        <v>2</v>
      </c>
      <c r="C31" s="83" t="s">
        <v>53</v>
      </c>
      <c r="D31" s="83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83">
        <v>1</v>
      </c>
      <c r="C32" s="83" t="s">
        <v>53</v>
      </c>
      <c r="D32" s="83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83">
        <v>1</v>
      </c>
      <c r="C33" s="83" t="s">
        <v>53</v>
      </c>
      <c r="D33" s="83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83">
        <v>0</v>
      </c>
      <c r="C34" s="83" t="s">
        <v>53</v>
      </c>
      <c r="D34" s="83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83">
        <v>1</v>
      </c>
      <c r="C35" s="83" t="s">
        <v>53</v>
      </c>
      <c r="D35" s="83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21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83">
        <v>1</v>
      </c>
      <c r="C37" s="83" t="s">
        <v>53</v>
      </c>
      <c r="D37" s="83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83">
        <v>2</v>
      </c>
      <c r="C38" s="83" t="s">
        <v>53</v>
      </c>
      <c r="D38" s="83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83">
        <v>2</v>
      </c>
      <c r="C39" s="83" t="s">
        <v>53</v>
      </c>
      <c r="D39" s="83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83">
        <v>2</v>
      </c>
      <c r="C40" s="83" t="s">
        <v>53</v>
      </c>
      <c r="D40" s="83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83">
        <v>1</v>
      </c>
      <c r="C41" s="83" t="s">
        <v>53</v>
      </c>
      <c r="D41" s="83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83">
        <v>1</v>
      </c>
      <c r="C42" s="83" t="s">
        <v>53</v>
      </c>
      <c r="D42" s="83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21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83">
        <v>2</v>
      </c>
      <c r="C44" s="83" t="s">
        <v>53</v>
      </c>
      <c r="D44" s="83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83">
        <v>2</v>
      </c>
      <c r="C45" s="83" t="s">
        <v>53</v>
      </c>
      <c r="D45" s="83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83">
        <v>2</v>
      </c>
      <c r="C46" s="83" t="s">
        <v>53</v>
      </c>
      <c r="D46" s="83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83">
        <v>2</v>
      </c>
      <c r="C47" s="83" t="s">
        <v>53</v>
      </c>
      <c r="D47" s="83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83">
        <v>0</v>
      </c>
      <c r="C48" s="83" t="s">
        <v>53</v>
      </c>
      <c r="D48" s="83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83">
        <v>1</v>
      </c>
      <c r="C49" s="83" t="s">
        <v>53</v>
      </c>
      <c r="D49" s="83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21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83">
        <v>1</v>
      </c>
      <c r="C51" s="83" t="s">
        <v>53</v>
      </c>
      <c r="D51" s="83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83">
        <v>2</v>
      </c>
      <c r="C52" s="83" t="s">
        <v>53</v>
      </c>
      <c r="D52" s="83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83">
        <v>1</v>
      </c>
      <c r="C53" s="83" t="s">
        <v>53</v>
      </c>
      <c r="D53" s="83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83">
        <v>2</v>
      </c>
      <c r="C54" s="83" t="s">
        <v>53</v>
      </c>
      <c r="D54" s="83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83">
        <v>1</v>
      </c>
      <c r="C55" s="83" t="s">
        <v>53</v>
      </c>
      <c r="D55" s="83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83">
        <v>1</v>
      </c>
      <c r="C56" s="83" t="s">
        <v>53</v>
      </c>
      <c r="D56" s="83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83" t="s">
        <v>172</v>
      </c>
      <c r="J57" s="21" t="str">
        <f>IF(Tabela!L30="","",Tabela!L30)</f>
        <v/>
      </c>
    </row>
    <row r="58" spans="1:15" x14ac:dyDescent="0.25">
      <c r="A58" s="169" t="str">
        <f>_xlfn.CONCAT(W2,A57)</f>
        <v>Macélio - Oitavas de Final</v>
      </c>
      <c r="B58" s="169"/>
      <c r="C58" s="169"/>
      <c r="D58" s="169"/>
      <c r="E58" s="169"/>
      <c r="J58" s="21" t="str">
        <f>IF(Tabela!F47="","",Tabela!F47)</f>
        <v/>
      </c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1</v>
      </c>
      <c r="E61" s="9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21" t="str">
        <f>IF(Tabela!F40="","",Tabela!F40)</f>
        <v/>
      </c>
    </row>
    <row r="68" spans="1:15" x14ac:dyDescent="0.25">
      <c r="A68" s="164" t="str">
        <f>_xlfn.CONCAT(W2,A67)</f>
        <v>Macélio - Quartas de Final</v>
      </c>
      <c r="B68" s="164"/>
      <c r="C68" s="164"/>
      <c r="D68" s="164"/>
      <c r="E68" s="164"/>
      <c r="J68" s="21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21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1</v>
      </c>
      <c r="E71" s="19" t="s">
        <v>17</v>
      </c>
      <c r="H71" s="16">
        <v>0</v>
      </c>
      <c r="J71" s="21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21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21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Macélio - Semi Final</v>
      </c>
      <c r="B74" s="164"/>
      <c r="C74" s="164"/>
      <c r="D74" s="164"/>
      <c r="E74" s="164"/>
      <c r="J74" s="21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C75" s="83" t="s">
        <v>53</v>
      </c>
      <c r="E75" s="19" t="str">
        <f>IF(Tabela!E48="","",Tabela!E48)</f>
        <v>Croácia</v>
      </c>
      <c r="J75" s="21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C76" s="83" t="s">
        <v>53</v>
      </c>
      <c r="E76" s="19" t="str">
        <f>IF(Tabela!E49="","",Tabela!E49)</f>
        <v>Marrocos</v>
      </c>
      <c r="J76" s="21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21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Macélio - Terceiro Lugar</v>
      </c>
      <c r="B78" s="164"/>
      <c r="C78" s="164"/>
      <c r="D78" s="164"/>
      <c r="E78" s="164"/>
      <c r="J78" s="21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C79" s="83" t="s">
        <v>53</v>
      </c>
      <c r="E79" s="19" t="str">
        <f>IF(Tabela!E52="","",Tabela!E52)</f>
        <v/>
      </c>
      <c r="J79" s="21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21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Macélio - Final</v>
      </c>
      <c r="B81" s="164"/>
      <c r="C81" s="164"/>
      <c r="D81" s="164"/>
      <c r="E81" s="164"/>
      <c r="J81" s="21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C82" s="83" t="s">
        <v>53</v>
      </c>
      <c r="E82" s="19" t="str">
        <f>IF(Tabela!E55="","",Tabela!E55)</f>
        <v/>
      </c>
      <c r="J82" s="21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91</v>
      </c>
      <c r="X2" s="173"/>
      <c r="Y2" s="173"/>
      <c r="Z2" s="173"/>
      <c r="AA2" s="173"/>
      <c r="AB2" s="173"/>
      <c r="AC2" s="173"/>
      <c r="AD2" s="173"/>
      <c r="AE2" s="173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19</v>
      </c>
      <c r="X10" s="98"/>
      <c r="Y10" s="98"/>
      <c r="Z10" s="51">
        <v>1</v>
      </c>
      <c r="AB10" s="51">
        <v>1</v>
      </c>
      <c r="AC10" s="98" t="s">
        <v>14</v>
      </c>
      <c r="AD10" s="98"/>
      <c r="AE10" s="98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570</v>
      </c>
      <c r="R11" s="172"/>
      <c r="S11" s="172"/>
      <c r="T11" s="172"/>
      <c r="U11" s="172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34</v>
      </c>
      <c r="X12" s="98"/>
      <c r="Y12" s="98"/>
      <c r="Z12" s="51">
        <v>0</v>
      </c>
      <c r="AB12" s="51">
        <v>3</v>
      </c>
      <c r="AC12" s="98" t="s">
        <v>20</v>
      </c>
      <c r="AD12" s="98"/>
      <c r="AE12" s="98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26</v>
      </c>
      <c r="X13" s="98"/>
      <c r="Y13" s="98"/>
      <c r="Z13" s="51">
        <v>2</v>
      </c>
      <c r="AB13" s="51">
        <v>0</v>
      </c>
      <c r="AC13" s="98" t="s">
        <v>55</v>
      </c>
      <c r="AD13" s="98"/>
      <c r="AE13" s="98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6</v>
      </c>
      <c r="X14" s="98"/>
      <c r="Y14" s="98"/>
      <c r="Z14" s="51">
        <v>1</v>
      </c>
      <c r="AB14" s="51">
        <v>0</v>
      </c>
      <c r="AC14" s="98" t="s">
        <v>13</v>
      </c>
      <c r="AD14" s="98"/>
      <c r="AE14" s="98"/>
      <c r="BD14" s="17">
        <v>5</v>
      </c>
    </row>
    <row r="15" spans="1:56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5</v>
      </c>
      <c r="X16" s="98"/>
      <c r="Y16" s="98"/>
      <c r="Z16" s="51">
        <v>2</v>
      </c>
      <c r="AB16" s="51">
        <v>1</v>
      </c>
      <c r="AC16" s="98" t="s">
        <v>6</v>
      </c>
      <c r="AD16" s="98"/>
      <c r="AE16" s="98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7</v>
      </c>
      <c r="R19" s="42">
        <v>14</v>
      </c>
      <c r="S19" s="42">
        <v>13</v>
      </c>
      <c r="T19" s="42">
        <v>11</v>
      </c>
      <c r="U19" s="42">
        <v>15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128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Z27" s="56"/>
      <c r="AC27" s="98"/>
      <c r="AD27" s="98"/>
      <c r="AE27" s="98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 Alex_1 -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2</v>
      </c>
      <c r="C65" s="95" t="s">
        <v>53</v>
      </c>
      <c r="D65" s="95">
        <v>1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Ivan Alex_1 -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0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3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Ivan Alex_1 -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Ivan Alex_1 -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Ivan Alex_1 -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92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11</v>
      </c>
      <c r="X10" s="98"/>
      <c r="Y10" s="98"/>
      <c r="Z10" s="51">
        <v>0</v>
      </c>
      <c r="AB10" s="51">
        <v>2</v>
      </c>
      <c r="AC10" s="98" t="s">
        <v>14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615</v>
      </c>
      <c r="R11" s="172"/>
      <c r="S11" s="172"/>
      <c r="T11" s="172"/>
      <c r="U11" s="172"/>
      <c r="W11" s="98" t="s">
        <v>28</v>
      </c>
      <c r="X11" s="98"/>
      <c r="Y11" s="98"/>
      <c r="Z11" s="51">
        <v>0</v>
      </c>
      <c r="AB11" s="51">
        <v>2</v>
      </c>
      <c r="AC11" s="98" t="s">
        <v>19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19</v>
      </c>
      <c r="X12" s="98"/>
      <c r="Y12" s="98"/>
      <c r="Z12" s="51">
        <v>1</v>
      </c>
      <c r="AB12" s="51">
        <v>1</v>
      </c>
      <c r="AC12" s="98" t="s">
        <v>14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19</v>
      </c>
      <c r="X13" s="98"/>
      <c r="Y13" s="98"/>
      <c r="Z13" s="51">
        <v>2</v>
      </c>
      <c r="AB13" s="51">
        <v>0</v>
      </c>
      <c r="AC13" s="98" t="s">
        <v>11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21</v>
      </c>
      <c r="X14" s="98"/>
      <c r="Y14" s="98"/>
      <c r="Z14" s="51">
        <v>0</v>
      </c>
      <c r="AB14" s="51">
        <v>1</v>
      </c>
      <c r="AC14" s="98" t="s">
        <v>16</v>
      </c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34</v>
      </c>
      <c r="X15" s="98"/>
      <c r="Y15" s="98"/>
      <c r="Z15" s="51">
        <v>0</v>
      </c>
      <c r="AB15" s="51">
        <v>3</v>
      </c>
      <c r="AC15" s="98" t="s">
        <v>20</v>
      </c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26</v>
      </c>
      <c r="X16" s="98"/>
      <c r="Y16" s="98"/>
      <c r="Z16" s="51">
        <v>2</v>
      </c>
      <c r="AB16" s="51">
        <v>0</v>
      </c>
      <c r="AC16" s="98" t="s">
        <v>55</v>
      </c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31</v>
      </c>
      <c r="X17" s="98"/>
      <c r="Y17" s="98"/>
      <c r="Z17" s="51">
        <v>0</v>
      </c>
      <c r="AB17" s="51">
        <v>1</v>
      </c>
      <c r="AC17" s="98" t="s">
        <v>6</v>
      </c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 t="s">
        <v>22</v>
      </c>
      <c r="X18" s="98"/>
      <c r="Y18" s="98"/>
      <c r="Z18" s="51">
        <v>0</v>
      </c>
      <c r="AB18" s="51">
        <v>1</v>
      </c>
      <c r="AC18" s="98" t="s">
        <v>56</v>
      </c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13</v>
      </c>
      <c r="R19" s="22">
        <v>6</v>
      </c>
      <c r="S19" s="22">
        <v>16</v>
      </c>
      <c r="T19" s="22">
        <v>8</v>
      </c>
      <c r="U19" s="22">
        <v>17</v>
      </c>
      <c r="W19" s="98" t="s">
        <v>15</v>
      </c>
      <c r="X19" s="98"/>
      <c r="Y19" s="98"/>
      <c r="Z19" s="51">
        <v>1</v>
      </c>
      <c r="AB19" s="51">
        <v>1</v>
      </c>
      <c r="AC19" s="98" t="s">
        <v>4</v>
      </c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 t="s">
        <v>30</v>
      </c>
      <c r="X20" s="98"/>
      <c r="Y20" s="98"/>
      <c r="Z20" s="51">
        <v>1</v>
      </c>
      <c r="AB20" s="51">
        <v>0</v>
      </c>
      <c r="AC20" s="98" t="s">
        <v>9</v>
      </c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20</v>
      </c>
      <c r="T21" s="166"/>
      <c r="U21" s="166" t="s">
        <v>8</v>
      </c>
      <c r="V21" s="166"/>
      <c r="W21" s="98" t="s">
        <v>8</v>
      </c>
      <c r="X21" s="98"/>
      <c r="Y21" s="98"/>
      <c r="Z21" s="51">
        <v>2</v>
      </c>
      <c r="AB21" s="51">
        <v>0</v>
      </c>
      <c r="AC21" s="98" t="s">
        <v>29</v>
      </c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137</v>
      </c>
      <c r="T22" s="168"/>
      <c r="U22" s="168" t="s">
        <v>127</v>
      </c>
      <c r="V22" s="168"/>
      <c r="W22" s="98" t="s">
        <v>20</v>
      </c>
      <c r="X22" s="98"/>
      <c r="Y22" s="98"/>
      <c r="Z22" s="51">
        <v>1</v>
      </c>
      <c r="AB22" s="51">
        <v>2</v>
      </c>
      <c r="AC22" s="98" t="s">
        <v>17</v>
      </c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Bruno Flores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2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Bruno Flores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Bruno Flores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Bruno Flores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Bruno Flores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83" customWidth="1"/>
    <col min="3" max="3" width="5.7109375" style="16" customWidth="1"/>
    <col min="4" max="4" width="5.7109375" style="83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83">
        <v>1</v>
      </c>
      <c r="C2" s="16" t="s">
        <v>53</v>
      </c>
      <c r="D2" s="83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69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83">
        <v>1</v>
      </c>
      <c r="C3" s="16" t="s">
        <v>53</v>
      </c>
      <c r="D3" s="83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83">
        <v>1</v>
      </c>
      <c r="C4" s="16" t="s">
        <v>53</v>
      </c>
      <c r="D4" s="83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83">
        <v>1</v>
      </c>
      <c r="C5" s="16" t="s">
        <v>53</v>
      </c>
      <c r="D5" s="83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83">
        <v>2</v>
      </c>
      <c r="C6" s="16" t="s">
        <v>53</v>
      </c>
      <c r="D6" s="83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83">
        <v>2</v>
      </c>
      <c r="C7" s="16" t="s">
        <v>53</v>
      </c>
      <c r="D7" s="83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83">
        <v>1</v>
      </c>
      <c r="C9" s="16" t="s">
        <v>53</v>
      </c>
      <c r="D9" s="83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83">
        <v>1</v>
      </c>
      <c r="C10" s="16" t="s">
        <v>53</v>
      </c>
      <c r="D10" s="83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19</v>
      </c>
      <c r="X10" s="98"/>
      <c r="Y10" s="98"/>
      <c r="Z10" s="51">
        <v>1</v>
      </c>
      <c r="AB10" s="51">
        <v>1</v>
      </c>
      <c r="AC10" s="98" t="s">
        <v>14</v>
      </c>
      <c r="AD10" s="98"/>
      <c r="AE10" s="98"/>
    </row>
    <row r="11" spans="1:31" x14ac:dyDescent="0.25">
      <c r="A11" s="18" t="s">
        <v>34</v>
      </c>
      <c r="B11" s="83">
        <v>1</v>
      </c>
      <c r="C11" s="16" t="s">
        <v>53</v>
      </c>
      <c r="D11" s="83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495</v>
      </c>
      <c r="R11" s="172"/>
      <c r="S11" s="172"/>
      <c r="T11" s="172"/>
      <c r="U11" s="172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31" x14ac:dyDescent="0.25">
      <c r="A12" s="18" t="s">
        <v>20</v>
      </c>
      <c r="B12" s="83">
        <v>2</v>
      </c>
      <c r="C12" s="16" t="s">
        <v>53</v>
      </c>
      <c r="D12" s="83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22</v>
      </c>
      <c r="X12" s="98"/>
      <c r="Y12" s="98"/>
      <c r="Z12" s="51">
        <v>1</v>
      </c>
      <c r="AB12" s="51">
        <v>1</v>
      </c>
      <c r="AC12" s="98" t="s">
        <v>12</v>
      </c>
      <c r="AD12" s="98"/>
      <c r="AE12" s="98"/>
    </row>
    <row r="13" spans="1:31" x14ac:dyDescent="0.25">
      <c r="A13" s="18" t="s">
        <v>21</v>
      </c>
      <c r="B13" s="83">
        <v>0</v>
      </c>
      <c r="C13" s="16" t="s">
        <v>53</v>
      </c>
      <c r="D13" s="83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19</v>
      </c>
      <c r="X13" s="98"/>
      <c r="Y13" s="98"/>
      <c r="Z13" s="51">
        <v>2</v>
      </c>
      <c r="AB13" s="51">
        <v>2</v>
      </c>
      <c r="AC13" s="98" t="s">
        <v>5</v>
      </c>
      <c r="AD13" s="98"/>
      <c r="AE13" s="98"/>
    </row>
    <row r="14" spans="1:31" x14ac:dyDescent="0.25">
      <c r="A14" s="18" t="s">
        <v>34</v>
      </c>
      <c r="B14" s="83">
        <v>0</v>
      </c>
      <c r="C14" s="16" t="s">
        <v>53</v>
      </c>
      <c r="D14" s="83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83">
        <v>2</v>
      </c>
      <c r="C16" s="16" t="s">
        <v>53</v>
      </c>
      <c r="D16" s="83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83">
        <v>1</v>
      </c>
      <c r="C17" s="16" t="s">
        <v>53</v>
      </c>
      <c r="D17" s="83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83">
        <v>1</v>
      </c>
      <c r="C18" s="16" t="s">
        <v>53</v>
      </c>
      <c r="D18" s="83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83">
        <v>3</v>
      </c>
      <c r="C19" s="16" t="s">
        <v>53</v>
      </c>
      <c r="D19" s="83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15</v>
      </c>
      <c r="T19" s="22">
        <v>17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83">
        <v>1</v>
      </c>
      <c r="C20" s="16" t="s">
        <v>53</v>
      </c>
      <c r="D20" s="83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83">
        <v>0</v>
      </c>
      <c r="C21" s="16" t="s">
        <v>53</v>
      </c>
      <c r="D21" s="83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17</v>
      </c>
      <c r="T21" s="166"/>
      <c r="U21" s="166" t="s">
        <v>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128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83">
        <v>1</v>
      </c>
      <c r="C23" s="16" t="s">
        <v>53</v>
      </c>
      <c r="D23" s="83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83">
        <v>2</v>
      </c>
      <c r="C24" s="16" t="s">
        <v>53</v>
      </c>
      <c r="D24" s="83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83">
        <v>1</v>
      </c>
      <c r="C25" s="16" t="s">
        <v>53</v>
      </c>
      <c r="D25" s="83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83">
        <v>1</v>
      </c>
      <c r="C26" s="16" t="s">
        <v>53</v>
      </c>
      <c r="D26" s="83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83">
        <v>0</v>
      </c>
      <c r="C27" s="16" t="s">
        <v>53</v>
      </c>
      <c r="D27" s="83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83">
        <v>1</v>
      </c>
      <c r="C28" s="16" t="s">
        <v>53</v>
      </c>
      <c r="D28" s="83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83">
        <v>2</v>
      </c>
      <c r="C30" s="16" t="s">
        <v>53</v>
      </c>
      <c r="D30" s="83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83">
        <v>2</v>
      </c>
      <c r="C31" s="16" t="s">
        <v>53</v>
      </c>
      <c r="D31" s="83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83">
        <v>3</v>
      </c>
      <c r="C32" s="16" t="s">
        <v>53</v>
      </c>
      <c r="D32" s="83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83">
        <v>2</v>
      </c>
      <c r="C33" s="16" t="s">
        <v>53</v>
      </c>
      <c r="D33" s="83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83">
        <v>2</v>
      </c>
      <c r="C34" s="16" t="s">
        <v>53</v>
      </c>
      <c r="D34" s="83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83">
        <v>1</v>
      </c>
      <c r="C35" s="16" t="s">
        <v>53</v>
      </c>
      <c r="D35" s="83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83">
        <v>0</v>
      </c>
      <c r="C37" s="16" t="s">
        <v>53</v>
      </c>
      <c r="D37" s="83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83">
        <v>3</v>
      </c>
      <c r="C38" s="16" t="s">
        <v>53</v>
      </c>
      <c r="D38" s="83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83">
        <v>3</v>
      </c>
      <c r="C39" s="16" t="s">
        <v>53</v>
      </c>
      <c r="D39" s="83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83">
        <v>2</v>
      </c>
      <c r="C40" s="16" t="s">
        <v>53</v>
      </c>
      <c r="D40" s="83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83">
        <v>1</v>
      </c>
      <c r="C41" s="16" t="s">
        <v>53</v>
      </c>
      <c r="D41" s="83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83">
        <v>1</v>
      </c>
      <c r="C42" s="16" t="s">
        <v>53</v>
      </c>
      <c r="D42" s="83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83">
        <v>2</v>
      </c>
      <c r="C44" s="16" t="s">
        <v>53</v>
      </c>
      <c r="D44" s="83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83">
        <v>3</v>
      </c>
      <c r="C45" s="16" t="s">
        <v>53</v>
      </c>
      <c r="D45" s="83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83">
        <v>1</v>
      </c>
      <c r="C46" s="16" t="s">
        <v>53</v>
      </c>
      <c r="D46" s="83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83">
        <v>2</v>
      </c>
      <c r="C47" s="16" t="s">
        <v>53</v>
      </c>
      <c r="D47" s="83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83">
        <v>0</v>
      </c>
      <c r="C48" s="16" t="s">
        <v>53</v>
      </c>
      <c r="D48" s="83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83">
        <v>0</v>
      </c>
      <c r="C49" s="16" t="s">
        <v>53</v>
      </c>
      <c r="D49" s="83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83">
        <v>1</v>
      </c>
      <c r="C51" s="16" t="s">
        <v>53</v>
      </c>
      <c r="D51" s="83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83">
        <v>2</v>
      </c>
      <c r="C52" s="16" t="s">
        <v>53</v>
      </c>
      <c r="D52" s="83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83">
        <v>2</v>
      </c>
      <c r="C53" s="16" t="s">
        <v>53</v>
      </c>
      <c r="D53" s="83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83">
        <v>1</v>
      </c>
      <c r="C54" s="16" t="s">
        <v>53</v>
      </c>
      <c r="D54" s="83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83">
        <v>1</v>
      </c>
      <c r="C55" s="16" t="s">
        <v>53</v>
      </c>
      <c r="D55" s="83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83">
        <v>1</v>
      </c>
      <c r="C56" s="16" t="s">
        <v>53</v>
      </c>
      <c r="D56" s="83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 Alex_2 -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1</v>
      </c>
      <c r="E59" s="9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1</v>
      </c>
      <c r="E61" s="9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1</v>
      </c>
      <c r="E62" s="9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1</v>
      </c>
      <c r="E64" s="9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Ivan Alex_2 -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2</v>
      </c>
      <c r="E69" s="19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Ivan Alex_2 -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C75" s="83" t="s">
        <v>53</v>
      </c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C76" s="83" t="s">
        <v>53</v>
      </c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Ivan Alex_2 -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C79" s="83" t="s">
        <v>53</v>
      </c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Ivan Alex_2 -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C82" s="83" t="s">
        <v>53</v>
      </c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72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455</v>
      </c>
      <c r="R11" s="172"/>
      <c r="S11" s="172"/>
      <c r="T11" s="172"/>
      <c r="U11" s="172"/>
      <c r="W11" s="98" t="s">
        <v>26</v>
      </c>
      <c r="X11" s="98"/>
      <c r="Y11" s="98"/>
      <c r="Z11" s="51">
        <v>2</v>
      </c>
      <c r="AB11" s="51">
        <v>0</v>
      </c>
      <c r="AC11" s="98" t="s">
        <v>55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19</v>
      </c>
      <c r="X12" s="98"/>
      <c r="Y12" s="98"/>
      <c r="Z12" s="51">
        <v>2</v>
      </c>
      <c r="AB12" s="51">
        <v>2</v>
      </c>
      <c r="AC12" s="98" t="s">
        <v>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/>
      <c r="X13" s="98"/>
      <c r="Y13" s="98"/>
      <c r="AC13" s="98"/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128</v>
      </c>
      <c r="T22" s="168"/>
      <c r="U22" s="168" t="s">
        <v>136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Gabriel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Gabriel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2</v>
      </c>
      <c r="E69" s="19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Gabriel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Gabriel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Gabriel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71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19</v>
      </c>
      <c r="X10" s="98"/>
      <c r="Y10" s="98"/>
      <c r="Z10" s="51">
        <v>2</v>
      </c>
      <c r="AB10" s="51">
        <v>0</v>
      </c>
      <c r="AC10" s="98" t="s">
        <v>11</v>
      </c>
      <c r="AD10" s="98"/>
      <c r="AE10" s="9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450</v>
      </c>
      <c r="R11" s="172"/>
      <c r="S11" s="172"/>
      <c r="T11" s="172"/>
      <c r="U11" s="172"/>
      <c r="W11" s="98" t="s">
        <v>16</v>
      </c>
      <c r="X11" s="98"/>
      <c r="Y11" s="98"/>
      <c r="Z11" s="51">
        <v>1</v>
      </c>
      <c r="AB11" s="51">
        <v>1</v>
      </c>
      <c r="AC11" s="98" t="s">
        <v>34</v>
      </c>
      <c r="AD11" s="98"/>
      <c r="AE11" s="98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55</v>
      </c>
      <c r="X13" s="98"/>
      <c r="Y13" s="98"/>
      <c r="Z13" s="51">
        <v>1</v>
      </c>
      <c r="AB13" s="51">
        <v>2</v>
      </c>
      <c r="AC13" s="98" t="s">
        <v>24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6</v>
      </c>
      <c r="X14" s="98"/>
      <c r="Y14" s="98"/>
      <c r="Z14" s="51">
        <v>1</v>
      </c>
      <c r="AB14" s="51">
        <v>0</v>
      </c>
      <c r="AC14" s="98" t="s">
        <v>13</v>
      </c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11</v>
      </c>
      <c r="T19" s="22">
        <v>11</v>
      </c>
      <c r="U19" s="22">
        <v>22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128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Luis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3</v>
      </c>
      <c r="C59" s="95" t="s">
        <v>53</v>
      </c>
      <c r="D59" s="95">
        <v>2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3</v>
      </c>
      <c r="C60" s="95" t="s">
        <v>53</v>
      </c>
      <c r="D60" s="95">
        <v>1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3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3</v>
      </c>
      <c r="C62" s="95" t="s">
        <v>53</v>
      </c>
      <c r="D62" s="95">
        <v>2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2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2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3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Luis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3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3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Luis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Luis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Luis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73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495</v>
      </c>
      <c r="R11" s="172"/>
      <c r="S11" s="172"/>
      <c r="T11" s="172"/>
      <c r="U11" s="172"/>
      <c r="W11" s="98" t="s">
        <v>34</v>
      </c>
      <c r="X11" s="98"/>
      <c r="Y11" s="98"/>
      <c r="Z11" s="51">
        <v>0</v>
      </c>
      <c r="AB11" s="51">
        <v>3</v>
      </c>
      <c r="AC11" s="98" t="s">
        <v>20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17</v>
      </c>
      <c r="X12" s="98"/>
      <c r="Y12" s="98"/>
      <c r="Z12" s="51">
        <v>2</v>
      </c>
      <c r="AB12" s="51">
        <v>1</v>
      </c>
      <c r="AC12" s="98" t="s">
        <v>13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7</v>
      </c>
      <c r="X13" s="98"/>
      <c r="Y13" s="98"/>
      <c r="Z13" s="51">
        <v>1</v>
      </c>
      <c r="AB13" s="51">
        <v>0</v>
      </c>
      <c r="AC13" s="98" t="s">
        <v>10</v>
      </c>
      <c r="AD13" s="98"/>
      <c r="AE13" s="9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8</v>
      </c>
      <c r="X14" s="98"/>
      <c r="Y14" s="98"/>
      <c r="Z14" s="51">
        <v>2</v>
      </c>
      <c r="AB14" s="51">
        <v>0</v>
      </c>
      <c r="AC14" s="98" t="s">
        <v>29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5</v>
      </c>
      <c r="X15" s="98"/>
      <c r="Y15" s="98"/>
      <c r="Z15" s="51">
        <v>2</v>
      </c>
      <c r="AB15" s="51">
        <v>1</v>
      </c>
      <c r="AC15" s="98" t="s">
        <v>6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7</v>
      </c>
      <c r="S19" s="22">
        <v>16</v>
      </c>
      <c r="T19" s="22">
        <v>16</v>
      </c>
      <c r="U19" s="22">
        <v>15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137</v>
      </c>
      <c r="T22" s="168"/>
      <c r="U22" s="168" t="s">
        <v>138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Juninho_1 -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1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Juninho_1 -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0</v>
      </c>
      <c r="E71" s="19" t="s">
        <v>17</v>
      </c>
      <c r="H71" s="16">
        <v>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Juninho_1 -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Juninho_1 -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Juninho_1 -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74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20</v>
      </c>
      <c r="X10" s="98"/>
      <c r="Y10" s="98"/>
      <c r="Z10" s="51">
        <v>0</v>
      </c>
      <c r="AB10" s="51">
        <v>0</v>
      </c>
      <c r="AC10" s="98" t="s">
        <v>16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495</v>
      </c>
      <c r="R11" s="172"/>
      <c r="S11" s="172"/>
      <c r="T11" s="172"/>
      <c r="U11" s="172"/>
      <c r="W11" s="98" t="s">
        <v>21</v>
      </c>
      <c r="X11" s="98"/>
      <c r="Y11" s="98"/>
      <c r="Z11" s="51">
        <v>0</v>
      </c>
      <c r="AB11" s="51">
        <v>1</v>
      </c>
      <c r="AC11" s="98" t="s">
        <v>16</v>
      </c>
      <c r="AD11" s="98"/>
      <c r="AE11" s="98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34</v>
      </c>
      <c r="X12" s="98"/>
      <c r="Y12" s="98"/>
      <c r="Z12" s="51">
        <v>0</v>
      </c>
      <c r="AB12" s="51">
        <v>3</v>
      </c>
      <c r="AC12" s="98" t="s">
        <v>20</v>
      </c>
      <c r="AD12" s="98"/>
      <c r="AE12" s="98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13</v>
      </c>
      <c r="X13" s="98"/>
      <c r="Y13" s="98"/>
      <c r="Z13" s="51">
        <v>0</v>
      </c>
      <c r="AB13" s="51">
        <v>0</v>
      </c>
      <c r="AC13" s="98" t="s">
        <v>31</v>
      </c>
      <c r="AD13" s="98"/>
      <c r="AE13" s="9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14</v>
      </c>
      <c r="S19" s="22">
        <v>9</v>
      </c>
      <c r="T19" s="22">
        <v>14</v>
      </c>
      <c r="U19" s="22">
        <v>18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138</v>
      </c>
      <c r="T22" s="168"/>
      <c r="U22" s="168" t="s">
        <v>137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Juninho_2 -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Juninho_2 -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Juninho_2 -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Juninho_2 -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Juninho_2 -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75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26</v>
      </c>
      <c r="X10" s="98"/>
      <c r="Y10" s="98"/>
      <c r="Z10" s="51">
        <v>2</v>
      </c>
      <c r="AB10" s="51">
        <v>0</v>
      </c>
      <c r="AC10" s="98" t="s">
        <v>55</v>
      </c>
      <c r="AD10" s="98"/>
      <c r="AE10" s="98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545</v>
      </c>
      <c r="R11" s="172"/>
      <c r="S11" s="172"/>
      <c r="T11" s="172"/>
      <c r="U11" s="172"/>
      <c r="W11" s="98" t="s">
        <v>5</v>
      </c>
      <c r="X11" s="98"/>
      <c r="Y11" s="98"/>
      <c r="Z11" s="51">
        <v>2</v>
      </c>
      <c r="AB11" s="51">
        <v>0</v>
      </c>
      <c r="AC11" s="98" t="s">
        <v>24</v>
      </c>
      <c r="AD11" s="98"/>
      <c r="AE11" s="98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31</v>
      </c>
      <c r="X12" s="98"/>
      <c r="Y12" s="98"/>
      <c r="Z12" s="51">
        <v>0</v>
      </c>
      <c r="AB12" s="51">
        <v>1</v>
      </c>
      <c r="AC12" s="98" t="s">
        <v>6</v>
      </c>
      <c r="AD12" s="98"/>
      <c r="AE12" s="98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6</v>
      </c>
      <c r="X13" s="98"/>
      <c r="Y13" s="98"/>
      <c r="Z13" s="51">
        <v>1</v>
      </c>
      <c r="AB13" s="51">
        <v>0</v>
      </c>
      <c r="AC13" s="98" t="s">
        <v>13</v>
      </c>
      <c r="AD13" s="98"/>
      <c r="AE13" s="98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7</v>
      </c>
      <c r="X14" s="98"/>
      <c r="Y14" s="98"/>
      <c r="Z14" s="51">
        <v>1</v>
      </c>
      <c r="AB14" s="51">
        <v>0</v>
      </c>
      <c r="AC14" s="98" t="s">
        <v>10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8</v>
      </c>
      <c r="X16" s="98"/>
      <c r="Y16" s="98"/>
      <c r="Z16" s="51">
        <v>1</v>
      </c>
      <c r="AB16" s="51">
        <v>0</v>
      </c>
      <c r="AC16" s="98" t="s">
        <v>30</v>
      </c>
      <c r="AD16" s="98"/>
      <c r="AE16" s="98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5</v>
      </c>
      <c r="X17" s="98"/>
      <c r="Y17" s="98"/>
      <c r="Z17" s="51">
        <v>2</v>
      </c>
      <c r="AB17" s="51">
        <v>1</v>
      </c>
      <c r="AC17" s="98" t="s">
        <v>6</v>
      </c>
      <c r="AD17" s="98"/>
      <c r="AE17" s="98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11</v>
      </c>
      <c r="S19" s="22">
        <v>12</v>
      </c>
      <c r="T19" s="22">
        <v>12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130</v>
      </c>
      <c r="T22" s="168"/>
      <c r="U22" s="168" t="s">
        <v>136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177" t="str">
        <f>_xlfn.CONCAT(W2,A57)</f>
        <v>Luana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2</v>
      </c>
      <c r="E61" s="9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0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0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4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Luana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4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Luana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4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Luana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4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Luana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76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11</v>
      </c>
      <c r="X10" s="98"/>
      <c r="Y10" s="98"/>
      <c r="Z10" s="51">
        <v>1</v>
      </c>
      <c r="AB10" s="51">
        <v>3</v>
      </c>
      <c r="AC10" s="98" t="s">
        <v>28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510</v>
      </c>
      <c r="R11" s="172"/>
      <c r="S11" s="172"/>
      <c r="T11" s="172"/>
      <c r="U11" s="172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14</v>
      </c>
      <c r="X12" s="98"/>
      <c r="Y12" s="98"/>
      <c r="Z12" s="51">
        <v>1</v>
      </c>
      <c r="AB12" s="51">
        <v>2</v>
      </c>
      <c r="AC12" s="98" t="s">
        <v>28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26</v>
      </c>
      <c r="X13" s="98"/>
      <c r="Y13" s="98"/>
      <c r="Z13" s="51">
        <v>2</v>
      </c>
      <c r="AB13" s="51">
        <v>0</v>
      </c>
      <c r="AC13" s="98" t="s">
        <v>55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30</v>
      </c>
      <c r="X14" s="98"/>
      <c r="Y14" s="98"/>
      <c r="Z14" s="51">
        <v>1</v>
      </c>
      <c r="AB14" s="51">
        <v>0</v>
      </c>
      <c r="AC14" s="98" t="s">
        <v>9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20</v>
      </c>
      <c r="X16" s="98"/>
      <c r="Y16" s="98"/>
      <c r="Z16" s="51">
        <v>1</v>
      </c>
      <c r="AB16" s="51">
        <v>2</v>
      </c>
      <c r="AC16" s="98" t="s">
        <v>17</v>
      </c>
      <c r="AD16" s="98"/>
      <c r="AE16" s="98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12</v>
      </c>
      <c r="S19" s="22">
        <v>11</v>
      </c>
      <c r="T19" s="22">
        <v>9</v>
      </c>
      <c r="U19" s="22">
        <v>21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134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Mácio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Mácio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0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Mácio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Mácio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Mácio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77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11</v>
      </c>
      <c r="X10" s="98"/>
      <c r="Y10" s="98"/>
      <c r="Z10" s="51">
        <v>0</v>
      </c>
      <c r="AB10" s="51">
        <v>2</v>
      </c>
      <c r="AC10" s="98" t="s">
        <v>14</v>
      </c>
      <c r="AD10" s="98"/>
      <c r="AE10" s="9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505</v>
      </c>
      <c r="R11" s="172"/>
      <c r="S11" s="172"/>
      <c r="T11" s="172"/>
      <c r="U11" s="172"/>
      <c r="W11" s="98" t="s">
        <v>14</v>
      </c>
      <c r="X11" s="98"/>
      <c r="Y11" s="98"/>
      <c r="Z11" s="51">
        <v>1</v>
      </c>
      <c r="AB11" s="51">
        <v>2</v>
      </c>
      <c r="AC11" s="98" t="s">
        <v>28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17</v>
      </c>
      <c r="X13" s="98"/>
      <c r="Y13" s="98"/>
      <c r="Z13" s="51">
        <v>2</v>
      </c>
      <c r="AB13" s="51">
        <v>1</v>
      </c>
      <c r="AC13" s="98" t="s">
        <v>13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30</v>
      </c>
      <c r="X14" s="98"/>
      <c r="Y14" s="98"/>
      <c r="Z14" s="51">
        <v>1</v>
      </c>
      <c r="AB14" s="51">
        <v>0</v>
      </c>
      <c r="AC14" s="98" t="s">
        <v>9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23</v>
      </c>
      <c r="X15" s="98"/>
      <c r="Y15" s="98"/>
      <c r="Z15" s="51">
        <v>1</v>
      </c>
      <c r="AB15" s="51">
        <v>0</v>
      </c>
      <c r="AC15" s="98" t="s">
        <v>27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Alex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0</v>
      </c>
      <c r="C61" s="95" t="s">
        <v>53</v>
      </c>
      <c r="D61" s="95">
        <v>2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1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Alex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2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0</v>
      </c>
      <c r="E72" s="92" t="str">
        <f>Tabela!E45</f>
        <v>Portugal</v>
      </c>
      <c r="H72" s="16">
        <v>25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Alex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Alex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Alex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78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34</v>
      </c>
      <c r="X10" s="98"/>
      <c r="Y10" s="98"/>
      <c r="Z10" s="51">
        <v>0</v>
      </c>
      <c r="AB10" s="51">
        <v>3</v>
      </c>
      <c r="AC10" s="98" t="s">
        <v>20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545</v>
      </c>
      <c r="R11" s="172"/>
      <c r="S11" s="172"/>
      <c r="T11" s="172"/>
      <c r="U11" s="172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56</v>
      </c>
      <c r="X12" s="98"/>
      <c r="Y12" s="98"/>
      <c r="Z12" s="51">
        <v>2</v>
      </c>
      <c r="AB12" s="51">
        <v>4</v>
      </c>
      <c r="AC12" s="98" t="s">
        <v>4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30</v>
      </c>
      <c r="X13" s="98"/>
      <c r="Y13" s="98"/>
      <c r="Z13" s="51">
        <v>1</v>
      </c>
      <c r="AB13" s="51">
        <v>0</v>
      </c>
      <c r="AC13" s="98" t="s">
        <v>9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5</v>
      </c>
      <c r="X14" s="98"/>
      <c r="Y14" s="98"/>
      <c r="Z14" s="51">
        <v>2</v>
      </c>
      <c r="AB14" s="51">
        <v>1</v>
      </c>
      <c r="AC14" s="98" t="s">
        <v>6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20</v>
      </c>
      <c r="X15" s="98"/>
      <c r="Y15" s="98"/>
      <c r="Z15" s="51">
        <v>1</v>
      </c>
      <c r="AB15" s="51">
        <v>2</v>
      </c>
      <c r="AC15" s="98" t="s">
        <v>17</v>
      </c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13</v>
      </c>
      <c r="S19" s="22">
        <v>14</v>
      </c>
      <c r="T19" s="22">
        <v>12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4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128</v>
      </c>
      <c r="T22" s="168"/>
      <c r="U22" s="168" t="s">
        <v>133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Jean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1</v>
      </c>
      <c r="C59" s="95" t="s">
        <v>53</v>
      </c>
      <c r="D59" s="95">
        <v>1</v>
      </c>
      <c r="E59" s="9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0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4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Jean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3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3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2</v>
      </c>
      <c r="C72" s="91" t="s">
        <v>53</v>
      </c>
      <c r="D72" s="91">
        <v>1</v>
      </c>
      <c r="E72" s="92" t="str">
        <f>Tabela!E45</f>
        <v>Portugal</v>
      </c>
      <c r="H72" s="16">
        <v>10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Jean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Jean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Jean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79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21</v>
      </c>
      <c r="X10" s="98"/>
      <c r="Y10" s="98"/>
      <c r="Z10" s="51">
        <v>0</v>
      </c>
      <c r="AB10" s="51">
        <v>1</v>
      </c>
      <c r="AC10" s="98" t="s">
        <v>16</v>
      </c>
      <c r="AD10" s="98"/>
      <c r="AE10" s="9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485</v>
      </c>
      <c r="R11" s="172"/>
      <c r="S11" s="172"/>
      <c r="T11" s="172"/>
      <c r="U11" s="172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31</v>
      </c>
      <c r="X12" s="98"/>
      <c r="Y12" s="98"/>
      <c r="Z12" s="51">
        <v>0</v>
      </c>
      <c r="AB12" s="51">
        <v>1</v>
      </c>
      <c r="AC12" s="98" t="s">
        <v>6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17</v>
      </c>
      <c r="X13" s="98"/>
      <c r="Y13" s="98"/>
      <c r="Z13" s="51">
        <v>2</v>
      </c>
      <c r="AB13" s="51">
        <v>1</v>
      </c>
      <c r="AC13" s="98" t="s">
        <v>13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14</v>
      </c>
      <c r="S19" s="22">
        <v>11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131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Robert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180" t="s">
        <v>170</v>
      </c>
      <c r="B59" s="180"/>
      <c r="C59" s="180"/>
      <c r="D59" s="180"/>
      <c r="E59" s="180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Robert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Robert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Robert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Robert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80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19</v>
      </c>
      <c r="X10" s="98"/>
      <c r="Y10" s="98"/>
      <c r="Z10" s="51">
        <v>2</v>
      </c>
      <c r="AB10" s="51">
        <v>0</v>
      </c>
      <c r="AC10" s="98" t="s">
        <v>11</v>
      </c>
      <c r="AD10" s="98"/>
      <c r="AE10" s="98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485</v>
      </c>
      <c r="R11" s="172"/>
      <c r="S11" s="172"/>
      <c r="T11" s="172"/>
      <c r="U11" s="172"/>
      <c r="W11" s="98" t="s">
        <v>56</v>
      </c>
      <c r="X11" s="98"/>
      <c r="Y11" s="98"/>
      <c r="Z11" s="51">
        <v>2</v>
      </c>
      <c r="AB11" s="51">
        <v>4</v>
      </c>
      <c r="AC11" s="98" t="s">
        <v>4</v>
      </c>
      <c r="AD11" s="98"/>
      <c r="AE11" s="98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32</v>
      </c>
      <c r="X12" s="98"/>
      <c r="Y12" s="98"/>
      <c r="Z12" s="51">
        <v>0</v>
      </c>
      <c r="AB12" s="51">
        <v>0</v>
      </c>
      <c r="AC12" s="98" t="s">
        <v>67</v>
      </c>
      <c r="AD12" s="98"/>
      <c r="AE12" s="98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20</v>
      </c>
      <c r="X13" s="98"/>
      <c r="Y13" s="98"/>
      <c r="Z13" s="51">
        <v>1</v>
      </c>
      <c r="AB13" s="51">
        <v>2</v>
      </c>
      <c r="AC13" s="98" t="s">
        <v>17</v>
      </c>
      <c r="AD13" s="98"/>
      <c r="AE13" s="98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11</v>
      </c>
      <c r="T19" s="22">
        <v>19</v>
      </c>
      <c r="U19" s="22">
        <v>13</v>
      </c>
      <c r="W19" s="98"/>
      <c r="X19" s="98"/>
      <c r="Y19" s="98"/>
      <c r="AC19" s="98"/>
      <c r="AD19" s="98"/>
      <c r="AE19" s="98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177" t="str">
        <f>_xlfn.CONCAT(W2,A57)</f>
        <v>Roberto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0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0</v>
      </c>
      <c r="C62" s="95" t="s">
        <v>53</v>
      </c>
      <c r="D62" s="95">
        <v>1</v>
      </c>
      <c r="E62" s="9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5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Roberto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0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5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Roberto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5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Roberto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5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Roberto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81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5</v>
      </c>
      <c r="X10" s="98"/>
      <c r="Y10" s="98"/>
      <c r="Z10" s="51">
        <v>2</v>
      </c>
      <c r="AB10" s="51">
        <v>1</v>
      </c>
      <c r="AC10" s="98" t="s">
        <v>6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345</v>
      </c>
      <c r="R11" s="172"/>
      <c r="S11" s="172"/>
      <c r="T11" s="172"/>
      <c r="U11" s="172"/>
      <c r="W11" s="98"/>
      <c r="X11" s="98"/>
      <c r="Y11" s="98"/>
      <c r="AC11" s="98"/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/>
      <c r="X12" s="98"/>
      <c r="Y12" s="98"/>
      <c r="AC12" s="98"/>
      <c r="AD12" s="98"/>
      <c r="AE12" s="98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7</v>
      </c>
      <c r="S19" s="22">
        <v>15</v>
      </c>
      <c r="T19" s="22">
        <v>13</v>
      </c>
      <c r="U19" s="22">
        <v>23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131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Andréia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2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Andréia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2</v>
      </c>
      <c r="C72" s="91" t="s">
        <v>53</v>
      </c>
      <c r="D72" s="91">
        <v>3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Andréia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Andréia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Andréia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82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21</v>
      </c>
      <c r="X10" s="98"/>
      <c r="Y10" s="98"/>
      <c r="Z10" s="51">
        <v>0</v>
      </c>
      <c r="AB10" s="51">
        <v>1</v>
      </c>
      <c r="AC10" s="98" t="s">
        <v>16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380</v>
      </c>
      <c r="R11" s="172"/>
      <c r="S11" s="172"/>
      <c r="T11" s="172"/>
      <c r="U11" s="172"/>
      <c r="W11" s="98" t="s">
        <v>31</v>
      </c>
      <c r="X11" s="98"/>
      <c r="Y11" s="98"/>
      <c r="Z11" s="51">
        <v>0</v>
      </c>
      <c r="AB11" s="51">
        <v>1</v>
      </c>
      <c r="AC11" s="98" t="s">
        <v>6</v>
      </c>
      <c r="AD11" s="98"/>
      <c r="AE11" s="98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22</v>
      </c>
      <c r="X12" s="98"/>
      <c r="Y12" s="98"/>
      <c r="Z12" s="51">
        <v>0</v>
      </c>
      <c r="AB12" s="51">
        <v>1</v>
      </c>
      <c r="AC12" s="98" t="s">
        <v>56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6</v>
      </c>
      <c r="S19" s="22">
        <v>13</v>
      </c>
      <c r="T19" s="22">
        <v>17</v>
      </c>
      <c r="U19" s="22">
        <v>20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15</v>
      </c>
      <c r="T21" s="166"/>
      <c r="U21" s="166" t="s">
        <v>6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132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Joseir_1 -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0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Joseir_1 -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1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1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Joseir_1 -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Joseir_1 -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Joseir_1 -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83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31</v>
      </c>
      <c r="X10" s="98"/>
      <c r="Y10" s="98"/>
      <c r="Z10" s="51">
        <v>1</v>
      </c>
      <c r="AB10" s="51">
        <v>0</v>
      </c>
      <c r="AC10" s="98" t="s">
        <v>17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530</v>
      </c>
      <c r="R11" s="172"/>
      <c r="S11" s="172"/>
      <c r="T11" s="172"/>
      <c r="U11" s="172"/>
      <c r="W11" s="98" t="s">
        <v>6</v>
      </c>
      <c r="X11" s="98"/>
      <c r="Y11" s="98"/>
      <c r="Z11" s="51">
        <v>1</v>
      </c>
      <c r="AB11" s="51">
        <v>0</v>
      </c>
      <c r="AC11" s="98" t="s">
        <v>13</v>
      </c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7</v>
      </c>
      <c r="X12" s="98"/>
      <c r="Y12" s="98"/>
      <c r="Z12" s="51">
        <v>1</v>
      </c>
      <c r="AB12" s="51">
        <v>0</v>
      </c>
      <c r="AC12" s="98" t="s">
        <v>10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30</v>
      </c>
      <c r="X13" s="98"/>
      <c r="Y13" s="98"/>
      <c r="Z13" s="51">
        <v>1</v>
      </c>
      <c r="AB13" s="51">
        <v>0</v>
      </c>
      <c r="AC13" s="98" t="s">
        <v>9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8</v>
      </c>
      <c r="X14" s="98"/>
      <c r="Y14" s="98"/>
      <c r="Z14" s="51">
        <v>1</v>
      </c>
      <c r="AB14" s="51">
        <v>0</v>
      </c>
      <c r="AC14" s="98" t="s">
        <v>30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9</v>
      </c>
      <c r="X15" s="98"/>
      <c r="Y15" s="98"/>
      <c r="Z15" s="51">
        <v>1</v>
      </c>
      <c r="AB15" s="51">
        <v>0</v>
      </c>
      <c r="AC15" s="98" t="s">
        <v>8</v>
      </c>
      <c r="AD15" s="98"/>
      <c r="AE15" s="98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12</v>
      </c>
      <c r="X16" s="98"/>
      <c r="Y16" s="98"/>
      <c r="Z16" s="51">
        <v>1</v>
      </c>
      <c r="AB16" s="51">
        <v>1</v>
      </c>
      <c r="AC16" s="98" t="s">
        <v>8</v>
      </c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12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133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Joseir_2 -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Joseir_2 -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1</v>
      </c>
      <c r="E70" s="92" t="s">
        <v>8</v>
      </c>
      <c r="H70" s="16">
        <v>25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1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Joseir_2 -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Joseir_2 -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Joseir_2 -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84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4</v>
      </c>
      <c r="X10" s="98"/>
      <c r="Y10" s="98"/>
      <c r="Z10" s="51">
        <v>1</v>
      </c>
      <c r="AB10" s="51">
        <v>2</v>
      </c>
      <c r="AC10" s="98" t="s">
        <v>22</v>
      </c>
      <c r="AD10" s="98"/>
      <c r="AE10" s="98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430</v>
      </c>
      <c r="R11" s="172"/>
      <c r="S11" s="172"/>
      <c r="T11" s="172"/>
      <c r="U11" s="172"/>
      <c r="W11" s="98" t="s">
        <v>15</v>
      </c>
      <c r="X11" s="98"/>
      <c r="Y11" s="98"/>
      <c r="Z11" s="51">
        <v>1</v>
      </c>
      <c r="AB11" s="51">
        <v>1</v>
      </c>
      <c r="AC11" s="98" t="s">
        <v>4</v>
      </c>
      <c r="AD11" s="98"/>
      <c r="AE11" s="98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22</v>
      </c>
      <c r="X12" s="98"/>
      <c r="Y12" s="98"/>
      <c r="Z12" s="51">
        <v>2</v>
      </c>
      <c r="AB12" s="51">
        <v>1</v>
      </c>
      <c r="AC12" s="98" t="s">
        <v>15</v>
      </c>
      <c r="AD12" s="98"/>
      <c r="AE12" s="98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7</v>
      </c>
      <c r="X13" s="98"/>
      <c r="Y13" s="98"/>
      <c r="Z13" s="51">
        <v>1</v>
      </c>
      <c r="AB13" s="51">
        <v>0</v>
      </c>
      <c r="AC13" s="98" t="s">
        <v>10</v>
      </c>
      <c r="AD13" s="98"/>
      <c r="AE13" s="98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17</v>
      </c>
      <c r="X14" s="98"/>
      <c r="Y14" s="98"/>
      <c r="Z14" s="51">
        <v>3</v>
      </c>
      <c r="AB14" s="51">
        <v>1</v>
      </c>
      <c r="AC14" s="98" t="s">
        <v>26</v>
      </c>
      <c r="AD14" s="98"/>
      <c r="AE14" s="98"/>
    </row>
    <row r="15" spans="1:31" ht="15" customHeight="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8</v>
      </c>
      <c r="S19" s="22">
        <v>13</v>
      </c>
      <c r="T19" s="22">
        <v>11</v>
      </c>
      <c r="U19" s="22">
        <v>23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54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135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Ivani - Oitavas de Final</v>
      </c>
      <c r="B58" s="177"/>
      <c r="C58" s="177"/>
      <c r="D58" s="177"/>
      <c r="E58" s="177"/>
      <c r="K58" s="165" t="s">
        <v>171</v>
      </c>
      <c r="L58" s="165"/>
      <c r="M58" s="165"/>
      <c r="N58" s="165"/>
      <c r="O58" s="165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1</v>
      </c>
      <c r="E64" s="9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64" t="str">
        <f>_xlfn.CONCAT(W2,A67)</f>
        <v>Ivani - Quartas de Final</v>
      </c>
      <c r="B68" s="164"/>
      <c r="C68" s="164"/>
      <c r="D68" s="164"/>
      <c r="E68" s="164"/>
      <c r="J68" s="17" t="str">
        <f>IF(Tabela!F41="","",Tabela!F41)</f>
        <v/>
      </c>
      <c r="K68" s="165" t="s">
        <v>139</v>
      </c>
      <c r="L68" s="165"/>
      <c r="M68" s="165"/>
      <c r="N68" s="165"/>
      <c r="O68" s="16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3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3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64" t="str">
        <f>_xlfn.CONCAT(W$2,A73)</f>
        <v>Ivani - Semi Final</v>
      </c>
      <c r="B74" s="164"/>
      <c r="C74" s="164"/>
      <c r="D74" s="164"/>
      <c r="E74" s="164"/>
      <c r="J74" s="17" t="str">
        <f>IF(Tabela!F47="","",Tabela!F47)</f>
        <v/>
      </c>
      <c r="K74" s="165" t="s">
        <v>140</v>
      </c>
      <c r="L74" s="165"/>
      <c r="M74" s="165"/>
      <c r="N74" s="165"/>
      <c r="O74" s="16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64" t="str">
        <f>_xlfn.CONCAT(W$2,A77)</f>
        <v>Ivani - Terceiro Lugar</v>
      </c>
      <c r="B78" s="164"/>
      <c r="C78" s="164"/>
      <c r="D78" s="164"/>
      <c r="E78" s="164"/>
      <c r="J78" s="17" t="str">
        <f>IF(Tabela!F51="","",Tabela!F51)</f>
        <v/>
      </c>
      <c r="K78" s="165" t="s">
        <v>141</v>
      </c>
      <c r="L78" s="165"/>
      <c r="M78" s="165"/>
      <c r="N78" s="165"/>
      <c r="O78" s="16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64" t="str">
        <f>_xlfn.CONCAT(W$2,A80)</f>
        <v>Ivani - Final</v>
      </c>
      <c r="B81" s="164"/>
      <c r="C81" s="164"/>
      <c r="D81" s="164"/>
      <c r="E81" s="164"/>
      <c r="J81" s="17" t="str">
        <f>IF(Tabela!F54="","",Tabela!F54)</f>
        <v/>
      </c>
      <c r="K81" s="165" t="s">
        <v>142</v>
      </c>
      <c r="L81" s="165"/>
      <c r="M81" s="165"/>
      <c r="N81" s="165"/>
      <c r="O81" s="16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93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31</v>
      </c>
      <c r="X10" s="98"/>
      <c r="Y10" s="98"/>
      <c r="Z10" s="51">
        <v>0</v>
      </c>
      <c r="AB10" s="51">
        <v>1</v>
      </c>
      <c r="AC10" s="98" t="s">
        <v>6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405</v>
      </c>
      <c r="R11" s="172"/>
      <c r="S11" s="172"/>
      <c r="T11" s="172"/>
      <c r="U11" s="172"/>
      <c r="W11" s="98" t="s">
        <v>15</v>
      </c>
      <c r="X11" s="98"/>
      <c r="Y11" s="98"/>
      <c r="Z11" s="51">
        <v>1</v>
      </c>
      <c r="AB11" s="51">
        <v>1</v>
      </c>
      <c r="AC11" s="98" t="s">
        <v>4</v>
      </c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5</v>
      </c>
      <c r="X12" s="98"/>
      <c r="Y12" s="98"/>
      <c r="Z12" s="51">
        <v>2</v>
      </c>
      <c r="AB12" s="51">
        <v>1</v>
      </c>
      <c r="AC12" s="98" t="s">
        <v>6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21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Q29" s="21"/>
      <c r="R29" s="21"/>
      <c r="S29" s="21"/>
      <c r="T29" s="21"/>
      <c r="U29" s="21"/>
      <c r="V29" s="21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Josimar 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3</v>
      </c>
      <c r="C59" s="95" t="s">
        <v>53</v>
      </c>
      <c r="D59" s="95">
        <v>0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3</v>
      </c>
      <c r="C61" s="95" t="s">
        <v>53</v>
      </c>
      <c r="D61" s="95">
        <v>2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3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1</v>
      </c>
      <c r="E63" s="9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4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3</v>
      </c>
      <c r="C66" s="95" t="s">
        <v>53</v>
      </c>
      <c r="D66" s="95">
        <v>2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Josimar 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3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Josimar 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Josimar 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Josimar 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86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485</v>
      </c>
      <c r="R11" s="172"/>
      <c r="S11" s="172"/>
      <c r="T11" s="172"/>
      <c r="U11" s="172"/>
      <c r="W11" s="98" t="s">
        <v>34</v>
      </c>
      <c r="X11" s="98"/>
      <c r="Y11" s="98"/>
      <c r="Z11" s="51">
        <v>0</v>
      </c>
      <c r="AB11" s="51">
        <v>3</v>
      </c>
      <c r="AC11" s="98" t="s">
        <v>20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12</v>
      </c>
      <c r="S19" s="22">
        <v>18</v>
      </c>
      <c r="T19" s="22">
        <v>10</v>
      </c>
      <c r="U19" s="22">
        <v>16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127</v>
      </c>
      <c r="T22" s="168"/>
      <c r="U22" s="168" t="s">
        <v>128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Julio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1</v>
      </c>
      <c r="E63" s="9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Julio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0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Julio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Julio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Julio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87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500</v>
      </c>
      <c r="R11" s="172"/>
      <c r="S11" s="172"/>
      <c r="T11" s="172"/>
      <c r="U11" s="172"/>
      <c r="W11" s="98" t="s">
        <v>19</v>
      </c>
      <c r="X11" s="98"/>
      <c r="Y11" s="98"/>
      <c r="Z11" s="51">
        <v>1</v>
      </c>
      <c r="AB11" s="51">
        <v>1</v>
      </c>
      <c r="AC11" s="98" t="s">
        <v>14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26</v>
      </c>
      <c r="X12" s="98"/>
      <c r="Y12" s="98"/>
      <c r="Z12" s="51">
        <v>0</v>
      </c>
      <c r="AB12" s="51">
        <v>2</v>
      </c>
      <c r="AC12" s="98" t="s">
        <v>5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15</v>
      </c>
      <c r="X13" s="98"/>
      <c r="Y13" s="98"/>
      <c r="Z13" s="51">
        <v>1</v>
      </c>
      <c r="AB13" s="51">
        <v>1</v>
      </c>
      <c r="AC13" s="98" t="s">
        <v>4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18</v>
      </c>
      <c r="X14" s="98"/>
      <c r="Y14" s="98"/>
      <c r="Z14" s="51">
        <v>0</v>
      </c>
      <c r="AB14" s="51">
        <v>2</v>
      </c>
      <c r="AC14" s="98" t="s">
        <v>32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 t="s">
        <v>5</v>
      </c>
      <c r="X15" s="98"/>
      <c r="Y15" s="98"/>
      <c r="Z15" s="51">
        <v>2</v>
      </c>
      <c r="AB15" s="51">
        <v>1</v>
      </c>
      <c r="AC15" s="98" t="s">
        <v>6</v>
      </c>
      <c r="AD15" s="98"/>
      <c r="AE15" s="98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27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131</v>
      </c>
      <c r="T22" s="168"/>
      <c r="U22" s="168" t="s">
        <v>128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Talita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1</v>
      </c>
      <c r="E64" s="9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Talita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Talita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Talita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Talita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88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475</v>
      </c>
      <c r="R11" s="172"/>
      <c r="S11" s="172"/>
      <c r="T11" s="172"/>
      <c r="U11" s="172"/>
      <c r="W11" s="98" t="s">
        <v>26</v>
      </c>
      <c r="X11" s="98"/>
      <c r="Y11" s="98"/>
      <c r="Z11" s="51">
        <v>2</v>
      </c>
      <c r="AB11" s="51">
        <v>0</v>
      </c>
      <c r="AC11" s="98" t="s">
        <v>55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18</v>
      </c>
      <c r="X12" s="98"/>
      <c r="Y12" s="98"/>
      <c r="Z12" s="51">
        <v>0</v>
      </c>
      <c r="AB12" s="51">
        <v>2</v>
      </c>
      <c r="AC12" s="98" t="s">
        <v>32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5</v>
      </c>
      <c r="X13" s="98"/>
      <c r="Y13" s="98"/>
      <c r="Z13" s="51">
        <v>2</v>
      </c>
      <c r="AB13" s="51">
        <v>1</v>
      </c>
      <c r="AC13" s="98" t="s">
        <v>6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/>
      <c r="X14" s="98"/>
      <c r="Y14" s="98"/>
      <c r="AC14" s="98"/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13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128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Anderson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0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0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Anderson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Anderson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Anderson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Anderson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176" t="s">
        <v>58</v>
      </c>
      <c r="B1" s="176"/>
      <c r="C1" s="176"/>
      <c r="D1" s="176"/>
      <c r="E1" s="176"/>
      <c r="K1" s="170" t="s">
        <v>58</v>
      </c>
      <c r="L1" s="170"/>
      <c r="M1" s="170"/>
      <c r="N1" s="170"/>
      <c r="O1" s="170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73" t="s">
        <v>89</v>
      </c>
      <c r="X2" s="173"/>
      <c r="Y2" s="173"/>
      <c r="Z2" s="173"/>
      <c r="AA2" s="173"/>
      <c r="AB2" s="173"/>
      <c r="AC2" s="173"/>
      <c r="AD2" s="173"/>
      <c r="AE2" s="173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73"/>
      <c r="X3" s="173"/>
      <c r="Y3" s="173"/>
      <c r="Z3" s="173"/>
      <c r="AA3" s="173"/>
      <c r="AB3" s="173"/>
      <c r="AC3" s="173"/>
      <c r="AD3" s="173"/>
      <c r="AE3" s="173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73"/>
      <c r="X4" s="173"/>
      <c r="Y4" s="173"/>
      <c r="Z4" s="173"/>
      <c r="AA4" s="173"/>
      <c r="AB4" s="173"/>
      <c r="AC4" s="173"/>
      <c r="AD4" s="173"/>
      <c r="AE4" s="173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73"/>
      <c r="X5" s="173"/>
      <c r="Y5" s="173"/>
      <c r="Z5" s="173"/>
      <c r="AA5" s="173"/>
      <c r="AB5" s="173"/>
      <c r="AC5" s="173"/>
      <c r="AD5" s="173"/>
      <c r="AE5" s="173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73"/>
      <c r="X6" s="173"/>
      <c r="Y6" s="173"/>
      <c r="Z6" s="173"/>
      <c r="AA6" s="173"/>
      <c r="AB6" s="173"/>
      <c r="AC6" s="173"/>
      <c r="AD6" s="173"/>
      <c r="AE6" s="173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6" t="s">
        <v>65</v>
      </c>
      <c r="B8" s="176"/>
      <c r="C8" s="176"/>
      <c r="D8" s="176"/>
      <c r="E8" s="176"/>
      <c r="J8" s="17" t="str">
        <f>IF(Tabela!F9="","",Tabela!F9)</f>
        <v/>
      </c>
      <c r="K8" s="170" t="s">
        <v>65</v>
      </c>
      <c r="L8" s="170"/>
      <c r="M8" s="170"/>
      <c r="N8" s="170"/>
      <c r="O8" s="170"/>
    </row>
    <row r="9" spans="1:31" x14ac:dyDescent="0.25">
      <c r="A9" s="179" t="s">
        <v>43</v>
      </c>
      <c r="B9" s="179"/>
      <c r="C9" s="179"/>
      <c r="D9" s="179"/>
      <c r="E9" s="179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71" t="s">
        <v>66</v>
      </c>
      <c r="R9" s="171"/>
      <c r="S9" s="171"/>
      <c r="T9" s="171"/>
      <c r="U9" s="171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71"/>
      <c r="R10" s="171"/>
      <c r="S10" s="171"/>
      <c r="T10" s="171"/>
      <c r="U10" s="171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72">
        <f>SUM(H2:H85)</f>
        <v>500</v>
      </c>
      <c r="R11" s="172"/>
      <c r="S11" s="172"/>
      <c r="T11" s="172"/>
      <c r="U11" s="172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72"/>
      <c r="R12" s="172"/>
      <c r="S12" s="172"/>
      <c r="T12" s="172"/>
      <c r="U12" s="172"/>
      <c r="W12" s="98" t="s">
        <v>10</v>
      </c>
      <c r="X12" s="98"/>
      <c r="Y12" s="98"/>
      <c r="Z12" s="51">
        <v>1</v>
      </c>
      <c r="AB12" s="51">
        <v>2</v>
      </c>
      <c r="AC12" s="98" t="s">
        <v>23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72"/>
      <c r="R13" s="172"/>
      <c r="S13" s="172"/>
      <c r="T13" s="172"/>
      <c r="U13" s="172"/>
      <c r="W13" s="98" t="s">
        <v>5</v>
      </c>
      <c r="X13" s="98"/>
      <c r="Y13" s="98"/>
      <c r="Z13" s="51">
        <v>2</v>
      </c>
      <c r="AB13" s="51">
        <v>1</v>
      </c>
      <c r="AC13" s="98" t="s">
        <v>6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72"/>
      <c r="R14" s="172"/>
      <c r="S14" s="172"/>
      <c r="T14" s="172"/>
      <c r="U14" s="172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6" t="s">
        <v>64</v>
      </c>
      <c r="B15" s="176"/>
      <c r="C15" s="176"/>
      <c r="D15" s="176"/>
      <c r="E15" s="176"/>
      <c r="J15" s="17" t="str">
        <f>IF(Tabela!F16="","",Tabela!F16)</f>
        <v/>
      </c>
      <c r="K15" s="170" t="s">
        <v>64</v>
      </c>
      <c r="L15" s="170"/>
      <c r="M15" s="170"/>
      <c r="N15" s="170"/>
      <c r="O15" s="170"/>
      <c r="Q15" s="172"/>
      <c r="R15" s="172"/>
      <c r="S15" s="172"/>
      <c r="T15" s="172"/>
      <c r="U15" s="172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19</v>
      </c>
      <c r="T19" s="22">
        <v>10</v>
      </c>
      <c r="U19" s="22">
        <v>15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7" t="s">
        <v>42</v>
      </c>
      <c r="R21" s="167"/>
      <c r="S21" s="166" t="s">
        <v>8</v>
      </c>
      <c r="T21" s="166"/>
      <c r="U21" s="166" t="s">
        <v>15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6" t="s">
        <v>63</v>
      </c>
      <c r="B22" s="176"/>
      <c r="C22" s="176"/>
      <c r="D22" s="176"/>
      <c r="E22" s="176"/>
      <c r="J22" s="17" t="str">
        <f>IF(Tabela!F23="","",Tabela!F23)</f>
        <v/>
      </c>
      <c r="K22" s="170" t="s">
        <v>63</v>
      </c>
      <c r="L22" s="170"/>
      <c r="M22" s="170"/>
      <c r="N22" s="170"/>
      <c r="O22" s="170"/>
      <c r="Q22" s="167" t="s">
        <v>41</v>
      </c>
      <c r="R22" s="167"/>
      <c r="S22" s="168" t="s">
        <v>129</v>
      </c>
      <c r="T22" s="168"/>
      <c r="U22" s="168" t="s">
        <v>130</v>
      </c>
      <c r="V22" s="168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6" t="s">
        <v>62</v>
      </c>
      <c r="B29" s="176"/>
      <c r="C29" s="176"/>
      <c r="D29" s="176"/>
      <c r="E29" s="176"/>
      <c r="K29" s="170" t="s">
        <v>62</v>
      </c>
      <c r="L29" s="170"/>
      <c r="M29" s="170"/>
      <c r="N29" s="170"/>
      <c r="O29" s="170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6" t="s">
        <v>61</v>
      </c>
      <c r="B36" s="176"/>
      <c r="C36" s="176"/>
      <c r="D36" s="176"/>
      <c r="E36" s="176"/>
      <c r="J36" s="17" t="str">
        <f>IF(Tabela!L9="","",Tabela!L9)</f>
        <v/>
      </c>
      <c r="K36" s="170" t="s">
        <v>61</v>
      </c>
      <c r="L36" s="170"/>
      <c r="M36" s="170"/>
      <c r="N36" s="170"/>
      <c r="O36" s="170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6" t="s">
        <v>60</v>
      </c>
      <c r="B43" s="176"/>
      <c r="C43" s="176"/>
      <c r="D43" s="176"/>
      <c r="E43" s="176"/>
      <c r="J43" s="17" t="str">
        <f>IF(Tabela!L16="","",Tabela!L16)</f>
        <v/>
      </c>
      <c r="K43" s="170" t="s">
        <v>60</v>
      </c>
      <c r="L43" s="170"/>
      <c r="M43" s="170"/>
      <c r="N43" s="170"/>
      <c r="O43" s="170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6" t="s">
        <v>59</v>
      </c>
      <c r="B50" s="176"/>
      <c r="C50" s="176"/>
      <c r="D50" s="176"/>
      <c r="E50" s="176"/>
      <c r="J50" s="17" t="str">
        <f>IF(Tabela!L23="","",Tabela!L23)</f>
        <v/>
      </c>
      <c r="K50" s="170" t="s">
        <v>59</v>
      </c>
      <c r="L50" s="170"/>
      <c r="M50" s="170"/>
      <c r="N50" s="170"/>
      <c r="O50" s="170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Cléofaz - Oitavas de Final</v>
      </c>
      <c r="B58" s="177"/>
      <c r="C58" s="177"/>
      <c r="D58" s="177"/>
      <c r="E58" s="177"/>
      <c r="K58" s="175" t="s">
        <v>171</v>
      </c>
      <c r="L58" s="175"/>
      <c r="M58" s="175"/>
      <c r="N58" s="175"/>
      <c r="O58" s="175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4" t="str">
        <f>_xlfn.CONCAT(W2,A67)</f>
        <v>Cléofaz - Quartas de Final</v>
      </c>
      <c r="B68" s="174"/>
      <c r="C68" s="174"/>
      <c r="D68" s="174"/>
      <c r="E68" s="174"/>
      <c r="J68" s="17" t="str">
        <f>IF(Tabela!F41="","",Tabela!F41)</f>
        <v/>
      </c>
      <c r="K68" s="175" t="s">
        <v>139</v>
      </c>
      <c r="L68" s="175"/>
      <c r="M68" s="175"/>
      <c r="N68" s="175"/>
      <c r="O68" s="175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4" t="str">
        <f>_xlfn.CONCAT(W$2,A73)</f>
        <v>Cléofaz - Semi Final</v>
      </c>
      <c r="B74" s="174"/>
      <c r="C74" s="174"/>
      <c r="D74" s="174"/>
      <c r="E74" s="174"/>
      <c r="J74" s="17" t="str">
        <f>IF(Tabela!F47="","",Tabela!F47)</f>
        <v/>
      </c>
      <c r="K74" s="175" t="s">
        <v>140</v>
      </c>
      <c r="L74" s="175"/>
      <c r="M74" s="175"/>
      <c r="N74" s="175"/>
      <c r="O74" s="175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4" t="str">
        <f>_xlfn.CONCAT(W$2,A77)</f>
        <v>Cléofaz - Terceiro Lugar</v>
      </c>
      <c r="B78" s="174"/>
      <c r="C78" s="174"/>
      <c r="D78" s="174"/>
      <c r="E78" s="174"/>
      <c r="J78" s="17" t="str">
        <f>IF(Tabela!F51="","",Tabela!F51)</f>
        <v/>
      </c>
      <c r="K78" s="175" t="s">
        <v>141</v>
      </c>
      <c r="L78" s="175"/>
      <c r="M78" s="175"/>
      <c r="N78" s="175"/>
      <c r="O78" s="175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4" t="str">
        <f>_xlfn.CONCAT(W$2,A80)</f>
        <v>Cléofaz - Final</v>
      </c>
      <c r="B81" s="174"/>
      <c r="C81" s="174"/>
      <c r="D81" s="174"/>
      <c r="E81" s="174"/>
      <c r="J81" s="17" t="str">
        <f>IF(Tabela!F54="","",Tabela!F54)</f>
        <v/>
      </c>
      <c r="K81" s="175" t="s">
        <v>142</v>
      </c>
      <c r="L81" s="175"/>
      <c r="M81" s="175"/>
      <c r="N81" s="175"/>
      <c r="O81" s="175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A74:E74"/>
    <mergeCell ref="A78:E78"/>
    <mergeCell ref="A81:E81"/>
    <mergeCell ref="K74:O74"/>
    <mergeCell ref="K78:O78"/>
    <mergeCell ref="K81:O8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2022-12-11T14:00:23Z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2022-12-11T14:00:23Z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f73279e7-e6be-48b4-9078-9959d10e2507</vt:lpwstr>
  </property>
  <property fmtid="{D5CDD505-2E9C-101B-9397-08002B2CF9AE}" pid="8" name="MSIP_Label_c06de4a7-0f08-40d9-aeea-6b6c28cbe58e_ContentBits">
    <vt:lpwstr>2</vt:lpwstr>
  </property>
</Properties>
</file>