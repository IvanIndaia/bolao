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55D0C482-8D7A-4D4D-964D-5B22CE4B8246}" xr6:coauthVersionLast="47" xr6:coauthVersionMax="47" xr10:uidLastSave="{00000000-0000-0000-0000-000000000000}"/>
  <bookViews>
    <workbookView xWindow="-2061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Macélio" sheetId="11" r:id="rId5"/>
    <sheet name="Ivan Alex_1" sheetId="3" r:id="rId6"/>
    <sheet name="Bruno Flores" sheetId="6" r:id="rId7"/>
    <sheet name="Ivan Alex_2" sheetId="10" r:id="rId8"/>
    <sheet name="Gabriel" sheetId="28" r:id="rId9"/>
    <sheet name="Luis" sheetId="29" r:id="rId10"/>
    <sheet name="Juninho_1" sheetId="17" r:id="rId11"/>
    <sheet name="Juninho_2" sheetId="18" r:id="rId12"/>
    <sheet name="Luana" sheetId="12" r:id="rId13"/>
    <sheet name="Mácio" sheetId="16" r:id="rId14"/>
    <sheet name="Alex" sheetId="13" r:id="rId15"/>
    <sheet name="Jean" sheetId="19" r:id="rId16"/>
    <sheet name="Robert" sheetId="20" r:id="rId17"/>
    <sheet name="Roberto" sheetId="21" r:id="rId18"/>
    <sheet name="Andréia" sheetId="22" r:id="rId19"/>
    <sheet name="Joseir_1" sheetId="23" r:id="rId20"/>
    <sheet name="Joseir_2" sheetId="24" r:id="rId21"/>
    <sheet name="Ivani" sheetId="25" r:id="rId22"/>
    <sheet name="Josimar" sheetId="26" r:id="rId23"/>
    <sheet name="Julio" sheetId="27" r:id="rId24"/>
    <sheet name="Talita" sheetId="30" r:id="rId25"/>
    <sheet name="Anderson" sheetId="32" r:id="rId26"/>
    <sheet name="Cléofaz" sheetId="34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3" i="31" s="1"/>
  <c r="Q11" i="32"/>
  <c r="P24" i="31" s="1"/>
  <c r="Q11" i="30"/>
  <c r="L9" i="31" s="1"/>
  <c r="Q11" i="27"/>
  <c r="P22" i="31" s="1"/>
  <c r="Q11" i="26"/>
  <c r="L24" i="31" s="1"/>
  <c r="Q11" i="25"/>
  <c r="L22" i="31" s="1"/>
  <c r="Q11" i="24"/>
  <c r="P19" i="31" s="1"/>
  <c r="Q11" i="23"/>
  <c r="L23" i="31" s="1"/>
  <c r="Q11" i="22"/>
  <c r="P17" i="31" s="1"/>
  <c r="Q11" i="21"/>
  <c r="L16" i="31" s="1"/>
  <c r="Q11" i="20"/>
  <c r="P15" i="31" s="1"/>
  <c r="Q11" i="19"/>
  <c r="L7" i="31" s="1"/>
  <c r="Q11" i="13"/>
  <c r="L11" i="31" s="1"/>
  <c r="Q11" i="16"/>
  <c r="L8" i="31" s="1"/>
  <c r="Q11" i="12"/>
  <c r="L6" i="31" s="1"/>
  <c r="Q11" i="18"/>
  <c r="L18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5" i="31"/>
  <c r="P20" i="31"/>
  <c r="L10" i="31"/>
  <c r="P18" i="31"/>
  <c r="L25" i="31"/>
  <c r="P16" i="31"/>
  <c r="L14" i="31"/>
  <c r="P14" i="31"/>
  <c r="P13" i="31"/>
  <c r="P12" i="31"/>
  <c r="P11" i="31"/>
  <c r="P10" i="31"/>
  <c r="L12" i="31"/>
  <c r="L21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<sst xmlns="http://schemas.openxmlformats.org/spreadsheetml/2006/main" count="5951" uniqueCount="175">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</sst>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</fills>
  <borders count="21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4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79" t="s">
        <v>16</v>
      </c>
      <c r="C2" s="79"/>
      <c r="D2" s="79"/>
      <c r="E2" s="68">
        <v>1</v>
      </c>
      <c r="F2" s="68"/>
      <c r="G2" s="68">
        <v>1</v>
      </c>
      <c r="H2" s="79" t="s">
        <v>34</v>
      </c>
      <c r="I2" s="79"/>
      <c r="J2" s="79"/>
      <c r="L2" t="s">
        <v>89</v>
      </c>
    </row>
    <row r="3" spans="2:12" x14ac:dyDescent="0.25">
      <c r="B3" s="79" t="s">
        <v>55</v>
      </c>
      <c r="C3" s="79"/>
      <c r="D3" s="79"/>
      <c r="E3" s="68">
        <v>1</v>
      </c>
      <c r="F3" s="68"/>
      <c r="G3" s="68">
        <v>2</v>
      </c>
      <c r="H3" s="79" t="s">
        <v>24</v>
      </c>
      <c r="I3" s="79"/>
      <c r="J3" s="79"/>
    </row>
    <row r="4" spans="2:12" x14ac:dyDescent="0.25">
      <c r="B4" s="79" t="s">
        <v>10</v>
      </c>
      <c r="C4" s="79"/>
      <c r="D4" s="79"/>
      <c r="E4" s="68">
        <v>1</v>
      </c>
      <c r="F4" s="68"/>
      <c r="G4" s="68">
        <v>2</v>
      </c>
      <c r="H4" s="79" t="s">
        <v>23</v>
      </c>
      <c r="I4" s="79"/>
      <c r="J4" s="79"/>
    </row>
    <row r="5" spans="2:12" x14ac:dyDescent="0.25">
      <c r="B5" s="79" t="s">
        <v>5</v>
      </c>
      <c r="C5" s="79"/>
      <c r="D5" s="79"/>
      <c r="E5" s="68">
        <v>2</v>
      </c>
      <c r="F5" s="68"/>
      <c r="G5" s="68">
        <v>1</v>
      </c>
      <c r="H5" s="79" t="s">
        <v>6</v>
      </c>
      <c r="I5" s="79"/>
      <c r="J5" s="79"/>
    </row>
    <row r="7" spans="2:12" x14ac:dyDescent="0.25">
      <c r="B7" s="79" t="s">
        <v>28</v>
      </c>
      <c r="C7" s="79"/>
      <c r="D7" s="79"/>
      <c r="E7" s="68">
        <v>0</v>
      </c>
      <c r="F7" s="68"/>
      <c r="G7" s="68">
        <v>2</v>
      </c>
      <c r="H7" s="79" t="s">
        <v>19</v>
      </c>
      <c r="I7" s="79"/>
      <c r="J7" s="79"/>
      <c r="L7" t="s">
        <v>88</v>
      </c>
    </row>
    <row r="8" spans="2:12" x14ac:dyDescent="0.25">
      <c r="B8" s="79" t="s">
        <v>26</v>
      </c>
      <c r="C8" s="79"/>
      <c r="D8" s="79"/>
      <c r="E8" s="68">
        <v>2</v>
      </c>
      <c r="F8" s="68"/>
      <c r="G8" s="68">
        <v>0</v>
      </c>
      <c r="H8" s="79" t="s">
        <v>55</v>
      </c>
      <c r="I8" s="79"/>
      <c r="J8" s="79"/>
    </row>
    <row r="9" spans="2:12" x14ac:dyDescent="0.25">
      <c r="B9" s="79" t="s">
        <v>18</v>
      </c>
      <c r="C9" s="79"/>
      <c r="D9" s="79"/>
      <c r="E9" s="68">
        <v>0</v>
      </c>
      <c r="F9" s="68"/>
      <c r="G9" s="68">
        <v>2</v>
      </c>
      <c r="H9" s="79" t="s">
        <v>32</v>
      </c>
      <c r="I9" s="79"/>
      <c r="J9" s="79"/>
    </row>
    <row r="10" spans="2:12" x14ac:dyDescent="0.25">
      <c r="B10" s="79" t="s">
        <v>5</v>
      </c>
      <c r="C10" s="79"/>
      <c r="D10" s="79"/>
      <c r="E10" s="68">
        <v>2</v>
      </c>
      <c r="F10" s="68"/>
      <c r="G10" s="68">
        <v>1</v>
      </c>
      <c r="H10" s="79" t="s">
        <v>6</v>
      </c>
      <c r="I10" s="79"/>
      <c r="J10" s="79"/>
    </row>
    <row r="12" spans="2:12" x14ac:dyDescent="0.25">
      <c r="B12" s="79" t="s">
        <v>28</v>
      </c>
      <c r="C12" s="79"/>
      <c r="D12" s="79"/>
      <c r="E12" s="68">
        <v>0</v>
      </c>
      <c r="F12" s="68"/>
      <c r="G12" s="68">
        <v>2</v>
      </c>
      <c r="H12" s="79" t="s">
        <v>19</v>
      </c>
      <c r="I12" s="79"/>
      <c r="J12" s="79"/>
      <c r="L12" t="s">
        <v>87</v>
      </c>
    </row>
    <row r="13" spans="2:12" x14ac:dyDescent="0.25">
      <c r="B13" s="79" t="s">
        <v>19</v>
      </c>
      <c r="C13" s="79"/>
      <c r="D13" s="79"/>
      <c r="E13" s="68">
        <v>1</v>
      </c>
      <c r="F13" s="68"/>
      <c r="G13" s="68">
        <v>1</v>
      </c>
      <c r="H13" s="79" t="s">
        <v>14</v>
      </c>
      <c r="I13" s="79"/>
      <c r="J13" s="79"/>
    </row>
    <row r="14" spans="2:12" x14ac:dyDescent="0.25">
      <c r="B14" s="79" t="s">
        <v>26</v>
      </c>
      <c r="C14" s="79"/>
      <c r="D14" s="79"/>
      <c r="E14" s="68">
        <v>0</v>
      </c>
      <c r="F14" s="68"/>
      <c r="G14" s="68">
        <v>2</v>
      </c>
      <c r="H14" s="79" t="s">
        <v>5</v>
      </c>
      <c r="I14" s="79"/>
      <c r="J14" s="79"/>
    </row>
    <row r="15" spans="2:12" x14ac:dyDescent="0.25">
      <c r="B15" s="79" t="s">
        <v>15</v>
      </c>
      <c r="C15" s="79"/>
      <c r="D15" s="79"/>
      <c r="E15" s="68">
        <v>1</v>
      </c>
      <c r="F15" s="68"/>
      <c r="G15" s="68">
        <v>1</v>
      </c>
      <c r="H15" s="79" t="s">
        <v>4</v>
      </c>
      <c r="I15" s="79"/>
      <c r="J15" s="79"/>
    </row>
    <row r="16" spans="2:12" x14ac:dyDescent="0.25">
      <c r="B16" s="79" t="s">
        <v>18</v>
      </c>
      <c r="C16" s="79"/>
      <c r="D16" s="79"/>
      <c r="E16" s="68">
        <v>0</v>
      </c>
      <c r="F16" s="68"/>
      <c r="G16" s="68">
        <v>2</v>
      </c>
      <c r="H16" s="79" t="s">
        <v>32</v>
      </c>
      <c r="I16" s="79"/>
      <c r="J16" s="79"/>
    </row>
    <row r="17" spans="2:12" x14ac:dyDescent="0.25">
      <c r="B17" s="79" t="s">
        <v>5</v>
      </c>
      <c r="C17" s="79"/>
      <c r="D17" s="79"/>
      <c r="E17" s="68">
        <v>2</v>
      </c>
      <c r="F17" s="68"/>
      <c r="G17" s="68">
        <v>1</v>
      </c>
      <c r="H17" s="79" t="s">
        <v>6</v>
      </c>
      <c r="I17" s="79"/>
      <c r="J17" s="79"/>
    </row>
    <row r="19" spans="2:12" x14ac:dyDescent="0.25">
      <c r="B19" s="79" t="s">
        <v>16</v>
      </c>
      <c r="C19" s="79"/>
      <c r="D19" s="79"/>
      <c r="E19" s="68">
        <v>1</v>
      </c>
      <c r="F19" s="68"/>
      <c r="G19" s="68">
        <v>1</v>
      </c>
      <c r="H19" s="79" t="s">
        <v>34</v>
      </c>
      <c r="I19" s="79"/>
      <c r="J19" s="79"/>
      <c r="L19" t="s">
        <v>86</v>
      </c>
    </row>
    <row r="20" spans="2:12" x14ac:dyDescent="0.25">
      <c r="B20" s="79" t="s">
        <v>34</v>
      </c>
      <c r="C20" s="79"/>
      <c r="D20" s="79"/>
      <c r="E20" s="68">
        <v>0</v>
      </c>
      <c r="F20" s="68"/>
      <c r="G20" s="68">
        <v>3</v>
      </c>
      <c r="H20" s="79" t="s">
        <v>20</v>
      </c>
      <c r="I20" s="79"/>
      <c r="J20" s="79"/>
    </row>
    <row r="21" spans="2:12" x14ac:dyDescent="0.25">
      <c r="B21" s="79" t="s">
        <v>26</v>
      </c>
      <c r="C21" s="79"/>
      <c r="D21" s="79"/>
      <c r="E21" s="68">
        <v>2</v>
      </c>
      <c r="F21" s="68"/>
      <c r="G21" s="68">
        <v>0</v>
      </c>
      <c r="H21" s="79" t="s">
        <v>55</v>
      </c>
      <c r="I21" s="79"/>
      <c r="J21" s="79"/>
    </row>
    <row r="23" spans="2:12" x14ac:dyDescent="0.25">
      <c r="B23" s="79" t="s">
        <v>31</v>
      </c>
      <c r="C23" s="79"/>
      <c r="D23" s="79"/>
      <c r="E23" s="68">
        <v>0</v>
      </c>
      <c r="F23" s="68"/>
      <c r="G23" s="68">
        <v>1</v>
      </c>
      <c r="H23" s="79" t="s">
        <v>6</v>
      </c>
      <c r="I23" s="79"/>
      <c r="J23" s="79"/>
      <c r="L23" t="s">
        <v>85</v>
      </c>
    </row>
    <row r="24" spans="2:12" x14ac:dyDescent="0.25">
      <c r="B24" s="79" t="s">
        <v>15</v>
      </c>
      <c r="C24" s="79"/>
      <c r="D24" s="79"/>
      <c r="E24" s="68">
        <v>1</v>
      </c>
      <c r="F24" s="68"/>
      <c r="G24" s="68">
        <v>1</v>
      </c>
      <c r="H24" s="79" t="s">
        <v>4</v>
      </c>
      <c r="I24" s="79"/>
      <c r="J24" s="79"/>
    </row>
    <row r="25" spans="2:12" x14ac:dyDescent="0.25">
      <c r="B25" s="79" t="s">
        <v>5</v>
      </c>
      <c r="C25" s="79"/>
      <c r="D25" s="79"/>
      <c r="E25" s="68">
        <v>2</v>
      </c>
      <c r="F25" s="68"/>
      <c r="G25" s="68">
        <v>1</v>
      </c>
      <c r="H25" s="79" t="s">
        <v>6</v>
      </c>
      <c r="I25" s="79"/>
      <c r="J25" s="79"/>
    </row>
    <row r="27" spans="2:12" x14ac:dyDescent="0.25">
      <c r="B27" s="79" t="s">
        <v>4</v>
      </c>
      <c r="C27" s="79"/>
      <c r="D27" s="79"/>
      <c r="E27" s="68">
        <v>1</v>
      </c>
      <c r="F27" s="68"/>
      <c r="G27" s="68">
        <v>2</v>
      </c>
      <c r="H27" s="79" t="s">
        <v>22</v>
      </c>
      <c r="I27" s="79"/>
      <c r="J27" s="79"/>
      <c r="L27" t="s">
        <v>84</v>
      </c>
    </row>
    <row r="28" spans="2:12" x14ac:dyDescent="0.25">
      <c r="B28" s="79" t="s">
        <v>15</v>
      </c>
      <c r="C28" s="79"/>
      <c r="D28" s="79"/>
      <c r="E28" s="68">
        <v>1</v>
      </c>
      <c r="F28" s="68"/>
      <c r="G28" s="68">
        <v>1</v>
      </c>
      <c r="H28" s="79" t="s">
        <v>4</v>
      </c>
      <c r="I28" s="79"/>
      <c r="J28" s="79"/>
    </row>
    <row r="29" spans="2:12" x14ac:dyDescent="0.25">
      <c r="B29" s="79" t="s">
        <v>22</v>
      </c>
      <c r="C29" s="79"/>
      <c r="D29" s="79"/>
      <c r="E29" s="68">
        <v>2</v>
      </c>
      <c r="F29" s="68"/>
      <c r="G29" s="68">
        <v>1</v>
      </c>
      <c r="H29" s="79" t="s">
        <v>15</v>
      </c>
      <c r="I29" s="79"/>
      <c r="J29" s="79"/>
    </row>
    <row r="30" spans="2:12" x14ac:dyDescent="0.25">
      <c r="B30" s="79" t="s">
        <v>7</v>
      </c>
      <c r="C30" s="79"/>
      <c r="D30" s="79"/>
      <c r="E30" s="68">
        <v>1</v>
      </c>
      <c r="F30" s="68"/>
      <c r="G30" s="68">
        <v>0</v>
      </c>
      <c r="H30" s="79" t="s">
        <v>10</v>
      </c>
      <c r="I30" s="79"/>
      <c r="J30" s="79"/>
    </row>
    <row r="32" spans="2:12" x14ac:dyDescent="0.25">
      <c r="B32" s="79" t="s">
        <v>31</v>
      </c>
      <c r="C32" s="79"/>
      <c r="D32" s="79"/>
      <c r="E32" s="68">
        <v>1</v>
      </c>
      <c r="F32" s="68"/>
      <c r="G32" s="68">
        <v>0</v>
      </c>
      <c r="H32" s="79" t="s">
        <v>17</v>
      </c>
      <c r="I32" s="79"/>
      <c r="J32" s="79"/>
      <c r="L32" t="s">
        <v>83</v>
      </c>
    </row>
    <row r="33" spans="2:12" x14ac:dyDescent="0.25">
      <c r="B33" s="79" t="s">
        <v>6</v>
      </c>
      <c r="C33" s="79"/>
      <c r="D33" s="79"/>
      <c r="E33" s="68">
        <v>1</v>
      </c>
      <c r="F33" s="68"/>
      <c r="G33" s="68">
        <v>0</v>
      </c>
      <c r="H33" s="79" t="s">
        <v>13</v>
      </c>
      <c r="I33" s="79"/>
      <c r="J33" s="79"/>
    </row>
    <row r="34" spans="2:12" x14ac:dyDescent="0.25">
      <c r="B34" s="79" t="s">
        <v>7</v>
      </c>
      <c r="C34" s="79"/>
      <c r="D34" s="79"/>
      <c r="E34" s="68">
        <v>1</v>
      </c>
      <c r="F34" s="68"/>
      <c r="G34" s="68">
        <v>0</v>
      </c>
      <c r="H34" s="79" t="s">
        <v>10</v>
      </c>
      <c r="I34" s="79"/>
      <c r="J34" s="79"/>
    </row>
    <row r="35" spans="2:12" x14ac:dyDescent="0.25">
      <c r="B35" s="79" t="s">
        <v>30</v>
      </c>
      <c r="C35" s="79"/>
      <c r="D35" s="79"/>
      <c r="E35" s="68">
        <v>1</v>
      </c>
      <c r="F35" s="68"/>
      <c r="G35" s="68">
        <v>0</v>
      </c>
      <c r="H35" s="79" t="s">
        <v>9</v>
      </c>
      <c r="I35" s="79"/>
      <c r="J35" s="79"/>
    </row>
    <row r="36" spans="2:12" x14ac:dyDescent="0.25">
      <c r="B36" s="79" t="s">
        <v>8</v>
      </c>
      <c r="C36" s="79"/>
      <c r="D36" s="79"/>
      <c r="E36" s="68">
        <v>1</v>
      </c>
      <c r="F36" s="68"/>
      <c r="G36" s="68">
        <v>0</v>
      </c>
      <c r="H36" s="79" t="s">
        <v>30</v>
      </c>
      <c r="I36" s="79"/>
      <c r="J36" s="79"/>
    </row>
    <row r="37" spans="2:12" x14ac:dyDescent="0.25">
      <c r="B37" s="79" t="s">
        <v>9</v>
      </c>
      <c r="C37" s="79"/>
      <c r="D37" s="79"/>
      <c r="E37" s="68">
        <v>1</v>
      </c>
      <c r="F37" s="68"/>
      <c r="G37" s="68">
        <v>0</v>
      </c>
      <c r="H37" s="79" t="s">
        <v>8</v>
      </c>
      <c r="I37" s="79"/>
      <c r="J37" s="79"/>
    </row>
    <row r="39" spans="2:12" x14ac:dyDescent="0.25">
      <c r="B39" s="79" t="s">
        <v>21</v>
      </c>
      <c r="C39" s="79"/>
      <c r="D39" s="79"/>
      <c r="E39" s="68">
        <v>0</v>
      </c>
      <c r="F39" s="68"/>
      <c r="G39" s="68">
        <v>1</v>
      </c>
      <c r="H39" s="79" t="s">
        <v>16</v>
      </c>
      <c r="I39" s="79"/>
      <c r="J39" s="79"/>
      <c r="L39" t="s">
        <v>82</v>
      </c>
    </row>
    <row r="40" spans="2:12" x14ac:dyDescent="0.25">
      <c r="B40" s="79" t="s">
        <v>31</v>
      </c>
      <c r="C40" s="79"/>
      <c r="D40" s="79"/>
      <c r="E40" s="68">
        <v>0</v>
      </c>
      <c r="F40" s="68"/>
      <c r="G40" s="68">
        <v>1</v>
      </c>
      <c r="H40" s="79" t="s">
        <v>6</v>
      </c>
      <c r="I40" s="79"/>
      <c r="J40" s="79"/>
    </row>
    <row r="41" spans="2:12" x14ac:dyDescent="0.25">
      <c r="B41" s="79" t="s">
        <v>22</v>
      </c>
      <c r="C41" s="79"/>
      <c r="D41" s="79"/>
      <c r="E41" s="68">
        <v>0</v>
      </c>
      <c r="F41" s="68"/>
      <c r="G41" s="68">
        <v>1</v>
      </c>
      <c r="H41" s="79" t="s">
        <v>56</v>
      </c>
      <c r="I41" s="79"/>
      <c r="J41" s="79"/>
    </row>
    <row r="43" spans="2:12" x14ac:dyDescent="0.25">
      <c r="B43" s="79" t="s">
        <v>5</v>
      </c>
      <c r="C43" s="79"/>
      <c r="D43" s="79"/>
      <c r="E43" s="68">
        <v>2</v>
      </c>
      <c r="F43" s="68"/>
      <c r="G43" s="68">
        <v>1</v>
      </c>
      <c r="H43" s="79" t="s">
        <v>6</v>
      </c>
      <c r="I43" s="79"/>
      <c r="J43" s="79"/>
      <c r="L43" t="s">
        <v>81</v>
      </c>
    </row>
    <row r="45" spans="2:12" x14ac:dyDescent="0.25">
      <c r="B45" s="79" t="s">
        <v>19</v>
      </c>
      <c r="C45" s="79"/>
      <c r="D45" s="79"/>
      <c r="E45" s="68">
        <v>2</v>
      </c>
      <c r="F45" s="68"/>
      <c r="G45" s="68">
        <v>0</v>
      </c>
      <c r="H45" s="79" t="s">
        <v>11</v>
      </c>
      <c r="I45" s="79"/>
      <c r="J45" s="79"/>
      <c r="L45" t="s">
        <v>80</v>
      </c>
    </row>
    <row r="46" spans="2:12" x14ac:dyDescent="0.25">
      <c r="B46" s="79" t="s">
        <v>56</v>
      </c>
      <c r="C46" s="79"/>
      <c r="D46" s="79"/>
      <c r="E46" s="68">
        <v>2</v>
      </c>
      <c r="F46" s="68"/>
      <c r="G46" s="68">
        <v>4</v>
      </c>
      <c r="H46" s="79" t="s">
        <v>4</v>
      </c>
      <c r="I46" s="79"/>
      <c r="J46" s="79"/>
    </row>
    <row r="47" spans="2:12" x14ac:dyDescent="0.25">
      <c r="B47" s="79" t="s">
        <v>32</v>
      </c>
      <c r="C47" s="79"/>
      <c r="D47" s="79"/>
      <c r="E47" s="68">
        <v>0</v>
      </c>
      <c r="F47" s="68"/>
      <c r="G47" s="68">
        <v>0</v>
      </c>
      <c r="H47" s="79" t="s">
        <v>67</v>
      </c>
      <c r="I47" s="79"/>
      <c r="J47" s="79"/>
    </row>
    <row r="49" spans="2:12" x14ac:dyDescent="0.25">
      <c r="B49" s="79" t="s">
        <v>21</v>
      </c>
      <c r="C49" s="79"/>
      <c r="D49" s="79"/>
      <c r="E49" s="68">
        <v>0</v>
      </c>
      <c r="F49" s="68"/>
      <c r="G49" s="68">
        <v>1</v>
      </c>
      <c r="H49" s="79" t="s">
        <v>16</v>
      </c>
      <c r="I49" s="79"/>
      <c r="J49" s="79"/>
      <c r="L49" t="s">
        <v>79</v>
      </c>
    </row>
    <row r="50" spans="2:12" x14ac:dyDescent="0.25">
      <c r="B50" s="79" t="s">
        <v>55</v>
      </c>
      <c r="C50" s="79"/>
      <c r="D50" s="79"/>
      <c r="E50" s="68">
        <v>1</v>
      </c>
      <c r="F50" s="68"/>
      <c r="G50" s="68">
        <v>2</v>
      </c>
      <c r="H50" s="79" t="s">
        <v>24</v>
      </c>
      <c r="I50" s="79"/>
      <c r="J50" s="79"/>
    </row>
    <row r="51" spans="2:12" x14ac:dyDescent="0.25">
      <c r="B51" s="79" t="s">
        <v>31</v>
      </c>
      <c r="C51" s="79"/>
      <c r="D51" s="79"/>
      <c r="E51" s="68">
        <v>0</v>
      </c>
      <c r="F51" s="68"/>
      <c r="G51" s="68">
        <v>1</v>
      </c>
      <c r="H51" s="79" t="s">
        <v>6</v>
      </c>
      <c r="I51" s="79"/>
      <c r="J51" s="79"/>
    </row>
    <row r="52" spans="2:12" x14ac:dyDescent="0.25">
      <c r="B52" s="79" t="s">
        <v>17</v>
      </c>
      <c r="C52" s="79"/>
      <c r="D52" s="79"/>
      <c r="E52" s="68">
        <v>2</v>
      </c>
      <c r="F52" s="68"/>
      <c r="G52" s="68">
        <v>1</v>
      </c>
      <c r="H52" s="79" t="s">
        <v>13</v>
      </c>
      <c r="I52" s="79"/>
      <c r="J52" s="79"/>
    </row>
    <row r="54" spans="2:12" x14ac:dyDescent="0.25">
      <c r="B54" s="79" t="s">
        <v>34</v>
      </c>
      <c r="C54" s="79"/>
      <c r="D54" s="79"/>
      <c r="E54" s="68">
        <v>0</v>
      </c>
      <c r="F54" s="68"/>
      <c r="G54" s="68">
        <v>3</v>
      </c>
      <c r="H54" s="79" t="s">
        <v>20</v>
      </c>
      <c r="I54" s="79"/>
      <c r="J54" s="79"/>
      <c r="L54" t="s">
        <v>78</v>
      </c>
    </row>
    <row r="55" spans="2:12" x14ac:dyDescent="0.25">
      <c r="B55" s="79" t="s">
        <v>55</v>
      </c>
      <c r="C55" s="79"/>
      <c r="D55" s="79"/>
      <c r="E55" s="68">
        <v>1</v>
      </c>
      <c r="F55" s="68"/>
      <c r="G55" s="68">
        <v>2</v>
      </c>
      <c r="H55" s="79" t="s">
        <v>24</v>
      </c>
      <c r="I55" s="79"/>
      <c r="J55" s="79"/>
    </row>
    <row r="56" spans="2:12" x14ac:dyDescent="0.25">
      <c r="B56" s="79" t="s">
        <v>56</v>
      </c>
      <c r="C56" s="79"/>
      <c r="D56" s="79"/>
      <c r="E56" s="68">
        <v>2</v>
      </c>
      <c r="F56" s="68"/>
      <c r="G56" s="68">
        <v>4</v>
      </c>
      <c r="H56" s="79" t="s">
        <v>4</v>
      </c>
      <c r="I56" s="79"/>
      <c r="J56" s="79"/>
    </row>
    <row r="57" spans="2:12" x14ac:dyDescent="0.25">
      <c r="B57" s="79" t="s">
        <v>30</v>
      </c>
      <c r="C57" s="79"/>
      <c r="D57" s="79"/>
      <c r="E57" s="68">
        <v>1</v>
      </c>
      <c r="F57" s="68"/>
      <c r="G57" s="68">
        <v>0</v>
      </c>
      <c r="H57" s="79" t="s">
        <v>9</v>
      </c>
      <c r="I57" s="79"/>
      <c r="J57" s="79"/>
    </row>
    <row r="58" spans="2:12" x14ac:dyDescent="0.25">
      <c r="B58" s="79" t="s">
        <v>5</v>
      </c>
      <c r="C58" s="79"/>
      <c r="D58" s="79"/>
      <c r="E58" s="68">
        <v>2</v>
      </c>
      <c r="F58" s="68"/>
      <c r="G58" s="68">
        <v>1</v>
      </c>
      <c r="H58" s="79" t="s">
        <v>6</v>
      </c>
      <c r="I58" s="79"/>
      <c r="J58" s="79"/>
    </row>
    <row r="60" spans="2:12" x14ac:dyDescent="0.25">
      <c r="B60" s="79" t="s">
        <v>11</v>
      </c>
      <c r="C60" s="79"/>
      <c r="D60" s="79"/>
      <c r="E60" s="68">
        <v>0</v>
      </c>
      <c r="F60" s="68"/>
      <c r="G60" s="68">
        <v>2</v>
      </c>
      <c r="H60" s="79" t="s">
        <v>14</v>
      </c>
      <c r="I60" s="79"/>
      <c r="J60" s="79"/>
      <c r="L60" t="s">
        <v>77</v>
      </c>
    </row>
    <row r="61" spans="2:12" x14ac:dyDescent="0.25">
      <c r="B61" s="79" t="s">
        <v>14</v>
      </c>
      <c r="C61" s="79"/>
      <c r="D61" s="79"/>
      <c r="E61" s="68">
        <v>1</v>
      </c>
      <c r="F61" s="68"/>
      <c r="G61" s="68">
        <v>2</v>
      </c>
      <c r="H61" s="79" t="s">
        <v>28</v>
      </c>
      <c r="I61" s="79"/>
      <c r="J61" s="79"/>
    </row>
    <row r="62" spans="2:12" x14ac:dyDescent="0.25">
      <c r="B62" s="79" t="s">
        <v>26</v>
      </c>
      <c r="C62" s="79"/>
      <c r="D62" s="79"/>
      <c r="E62" s="68">
        <v>2</v>
      </c>
      <c r="F62" s="68"/>
      <c r="G62" s="68">
        <v>0</v>
      </c>
      <c r="H62" s="79" t="s">
        <v>55</v>
      </c>
      <c r="I62" s="79"/>
      <c r="J62" s="79"/>
    </row>
    <row r="63" spans="2:12" x14ac:dyDescent="0.25">
      <c r="B63" s="79" t="s">
        <v>17</v>
      </c>
      <c r="C63" s="79"/>
      <c r="D63" s="79"/>
      <c r="E63" s="68">
        <v>2</v>
      </c>
      <c r="F63" s="68"/>
      <c r="G63" s="68">
        <v>1</v>
      </c>
      <c r="H63" s="79" t="s">
        <v>13</v>
      </c>
      <c r="I63" s="79"/>
      <c r="J63" s="79"/>
    </row>
    <row r="64" spans="2:12" x14ac:dyDescent="0.25">
      <c r="B64" s="79" t="s">
        <v>30</v>
      </c>
      <c r="C64" s="79"/>
      <c r="D64" s="79"/>
      <c r="E64" s="68">
        <v>1</v>
      </c>
      <c r="F64" s="68"/>
      <c r="G64" s="68">
        <v>0</v>
      </c>
      <c r="H64" s="79" t="s">
        <v>9</v>
      </c>
      <c r="I64" s="79"/>
      <c r="J64" s="79"/>
    </row>
    <row r="66" spans="2:12" x14ac:dyDescent="0.25">
      <c r="B66" s="79" t="s">
        <v>11</v>
      </c>
      <c r="C66" s="79"/>
      <c r="D66" s="79"/>
      <c r="E66" s="68">
        <v>1</v>
      </c>
      <c r="F66" s="68"/>
      <c r="G66" s="68">
        <v>3</v>
      </c>
      <c r="H66" s="79" t="s">
        <v>28</v>
      </c>
      <c r="I66" s="79"/>
      <c r="J66" s="79"/>
      <c r="L66" t="s">
        <v>76</v>
      </c>
    </row>
    <row r="67" spans="2:12" x14ac:dyDescent="0.25">
      <c r="B67" s="79" t="s">
        <v>19</v>
      </c>
      <c r="C67" s="79"/>
      <c r="D67" s="79"/>
      <c r="E67" s="68">
        <v>2</v>
      </c>
      <c r="F67" s="68"/>
      <c r="G67" s="68">
        <v>0</v>
      </c>
      <c r="H67" s="79" t="s">
        <v>11</v>
      </c>
      <c r="I67" s="79"/>
      <c r="J67" s="79"/>
    </row>
    <row r="68" spans="2:12" x14ac:dyDescent="0.25">
      <c r="B68" s="79" t="s">
        <v>14</v>
      </c>
      <c r="C68" s="79"/>
      <c r="D68" s="79"/>
      <c r="E68" s="68">
        <v>1</v>
      </c>
      <c r="F68" s="68"/>
      <c r="G68" s="68">
        <v>2</v>
      </c>
      <c r="H68" s="79" t="s">
        <v>28</v>
      </c>
      <c r="I68" s="79"/>
      <c r="J68" s="79"/>
    </row>
    <row r="69" spans="2:12" x14ac:dyDescent="0.25">
      <c r="B69" s="79" t="s">
        <v>26</v>
      </c>
      <c r="C69" s="79"/>
      <c r="D69" s="79"/>
      <c r="E69" s="68">
        <v>2</v>
      </c>
      <c r="F69" s="68"/>
      <c r="G69" s="68">
        <v>0</v>
      </c>
      <c r="H69" s="79" t="s">
        <v>55</v>
      </c>
      <c r="I69" s="79"/>
      <c r="J69" s="79"/>
    </row>
    <row r="70" spans="2:12" x14ac:dyDescent="0.25">
      <c r="B70" s="79" t="s">
        <v>30</v>
      </c>
      <c r="C70" s="79"/>
      <c r="D70" s="79"/>
      <c r="E70" s="68">
        <v>1</v>
      </c>
      <c r="F70" s="68"/>
      <c r="G70" s="68">
        <v>0</v>
      </c>
      <c r="H70" s="79" t="s">
        <v>9</v>
      </c>
      <c r="I70" s="79"/>
      <c r="J70" s="79"/>
    </row>
    <row r="71" spans="2:12" x14ac:dyDescent="0.25">
      <c r="B71" s="79" t="s">
        <v>8</v>
      </c>
      <c r="C71" s="79"/>
      <c r="D71" s="79"/>
      <c r="E71" s="68">
        <v>2</v>
      </c>
      <c r="F71" s="68"/>
      <c r="G71" s="68">
        <v>0</v>
      </c>
      <c r="H71" s="79" t="s">
        <v>29</v>
      </c>
      <c r="I71" s="79"/>
      <c r="J71" s="79"/>
    </row>
    <row r="73" spans="2:12" x14ac:dyDescent="0.25">
      <c r="B73" s="79" t="s">
        <v>26</v>
      </c>
      <c r="C73" s="79"/>
      <c r="D73" s="79"/>
      <c r="E73" s="68">
        <v>2</v>
      </c>
      <c r="F73" s="68"/>
      <c r="G73" s="68">
        <v>0</v>
      </c>
      <c r="H73" s="79" t="s">
        <v>55</v>
      </c>
      <c r="I73" s="79"/>
      <c r="J73" s="79"/>
      <c r="L73" t="s">
        <v>75</v>
      </c>
    </row>
    <row r="74" spans="2:12" x14ac:dyDescent="0.25">
      <c r="B74" s="79" t="s">
        <v>5</v>
      </c>
      <c r="C74" s="79"/>
      <c r="D74" s="79"/>
      <c r="E74" s="68">
        <v>2</v>
      </c>
      <c r="F74" s="68"/>
      <c r="G74" s="68">
        <v>0</v>
      </c>
      <c r="H74" s="79" t="s">
        <v>24</v>
      </c>
      <c r="I74" s="79"/>
      <c r="J74" s="79"/>
    </row>
    <row r="75" spans="2:12" x14ac:dyDescent="0.25">
      <c r="B75" s="79" t="s">
        <v>31</v>
      </c>
      <c r="C75" s="79"/>
      <c r="D75" s="79"/>
      <c r="E75" s="68">
        <v>0</v>
      </c>
      <c r="F75" s="68"/>
      <c r="G75" s="68">
        <v>1</v>
      </c>
      <c r="H75" s="79" t="s">
        <v>6</v>
      </c>
      <c r="I75" s="79"/>
      <c r="J75" s="79"/>
    </row>
    <row r="76" spans="2:12" x14ac:dyDescent="0.25">
      <c r="B76" s="79" t="s">
        <v>6</v>
      </c>
      <c r="C76" s="79"/>
      <c r="D76" s="79"/>
      <c r="E76" s="68">
        <v>1</v>
      </c>
      <c r="F76" s="68"/>
      <c r="G76" s="68">
        <v>0</v>
      </c>
      <c r="H76" s="79" t="s">
        <v>13</v>
      </c>
      <c r="I76" s="79"/>
      <c r="J76" s="79"/>
    </row>
    <row r="77" spans="2:12" x14ac:dyDescent="0.25">
      <c r="B77" s="79" t="s">
        <v>7</v>
      </c>
      <c r="C77" s="79"/>
      <c r="D77" s="79"/>
      <c r="E77" s="68">
        <v>1</v>
      </c>
      <c r="F77" s="68"/>
      <c r="G77" s="68">
        <v>0</v>
      </c>
      <c r="H77" s="79" t="s">
        <v>10</v>
      </c>
      <c r="I77" s="79"/>
      <c r="J77" s="79"/>
    </row>
    <row r="78" spans="2:12" x14ac:dyDescent="0.25">
      <c r="B78" s="79" t="s">
        <v>8</v>
      </c>
      <c r="C78" s="79"/>
      <c r="D78" s="79"/>
      <c r="E78" s="68">
        <v>2</v>
      </c>
      <c r="F78" s="68"/>
      <c r="G78" s="68">
        <v>0</v>
      </c>
      <c r="H78" s="79" t="s">
        <v>29</v>
      </c>
      <c r="I78" s="79"/>
      <c r="J78" s="79"/>
    </row>
    <row r="79" spans="2:12" x14ac:dyDescent="0.25">
      <c r="B79" s="79" t="s">
        <v>8</v>
      </c>
      <c r="C79" s="79"/>
      <c r="D79" s="79"/>
      <c r="E79" s="68">
        <v>1</v>
      </c>
      <c r="F79" s="68"/>
      <c r="G79" s="68">
        <v>0</v>
      </c>
      <c r="H79" s="79" t="s">
        <v>30</v>
      </c>
      <c r="I79" s="79"/>
      <c r="J79" s="79"/>
    </row>
    <row r="80" spans="2:12" x14ac:dyDescent="0.25">
      <c r="B80" s="79" t="s">
        <v>5</v>
      </c>
      <c r="C80" s="79"/>
      <c r="D80" s="79"/>
      <c r="E80" s="68">
        <v>2</v>
      </c>
      <c r="F80" s="68"/>
      <c r="G80" s="68">
        <v>1</v>
      </c>
      <c r="H80" s="79" t="s">
        <v>6</v>
      </c>
      <c r="I80" s="79"/>
      <c r="J80" s="79"/>
    </row>
    <row r="82" spans="2:12" x14ac:dyDescent="0.25">
      <c r="B82" s="79" t="s">
        <v>20</v>
      </c>
      <c r="C82" s="79"/>
      <c r="D82" s="79"/>
      <c r="E82" s="68">
        <v>0</v>
      </c>
      <c r="F82" s="68"/>
      <c r="G82" s="68">
        <v>0</v>
      </c>
      <c r="H82" s="79" t="s">
        <v>16</v>
      </c>
      <c r="I82" s="79"/>
      <c r="J82" s="79"/>
      <c r="L82" t="s">
        <v>74</v>
      </c>
    </row>
    <row r="83" spans="2:12" x14ac:dyDescent="0.25">
      <c r="B83" s="79" t="s">
        <v>21</v>
      </c>
      <c r="C83" s="79"/>
      <c r="D83" s="79"/>
      <c r="E83" s="68">
        <v>0</v>
      </c>
      <c r="F83" s="68"/>
      <c r="G83" s="68">
        <v>1</v>
      </c>
      <c r="H83" s="79" t="s">
        <v>16</v>
      </c>
      <c r="I83" s="79"/>
      <c r="J83" s="79"/>
    </row>
    <row r="84" spans="2:12" x14ac:dyDescent="0.25">
      <c r="B84" s="79" t="s">
        <v>34</v>
      </c>
      <c r="C84" s="79"/>
      <c r="D84" s="79"/>
      <c r="E84" s="68">
        <v>0</v>
      </c>
      <c r="F84" s="68"/>
      <c r="G84" s="68">
        <v>3</v>
      </c>
      <c r="H84" s="79" t="s">
        <v>20</v>
      </c>
      <c r="I84" s="79"/>
      <c r="J84" s="79"/>
    </row>
    <row r="85" spans="2:12" x14ac:dyDescent="0.25">
      <c r="B85" s="79" t="s">
        <v>13</v>
      </c>
      <c r="C85" s="79"/>
      <c r="D85" s="79"/>
      <c r="E85" s="68">
        <v>0</v>
      </c>
      <c r="F85" s="68"/>
      <c r="G85" s="68">
        <v>0</v>
      </c>
      <c r="H85" s="79" t="s">
        <v>31</v>
      </c>
      <c r="I85" s="79"/>
      <c r="J85" s="79"/>
    </row>
    <row r="87" spans="2:12" x14ac:dyDescent="0.25">
      <c r="B87" s="79" t="s">
        <v>28</v>
      </c>
      <c r="C87" s="79"/>
      <c r="D87" s="79"/>
      <c r="E87" s="68">
        <v>0</v>
      </c>
      <c r="F87" s="68"/>
      <c r="G87" s="68">
        <v>2</v>
      </c>
      <c r="H87" s="79" t="s">
        <v>19</v>
      </c>
      <c r="I87" s="79"/>
      <c r="J87" s="79"/>
      <c r="L87" t="s">
        <v>73</v>
      </c>
    </row>
    <row r="88" spans="2:12" x14ac:dyDescent="0.25">
      <c r="B88" s="79" t="s">
        <v>34</v>
      </c>
      <c r="C88" s="79"/>
      <c r="D88" s="79"/>
      <c r="E88" s="68">
        <v>0</v>
      </c>
      <c r="F88" s="68"/>
      <c r="G88" s="68">
        <v>3</v>
      </c>
      <c r="H88" s="79" t="s">
        <v>20</v>
      </c>
      <c r="I88" s="79"/>
      <c r="J88" s="79"/>
    </row>
    <row r="89" spans="2:12" x14ac:dyDescent="0.25">
      <c r="B89" s="79" t="s">
        <v>17</v>
      </c>
      <c r="C89" s="79"/>
      <c r="D89" s="79"/>
      <c r="E89" s="68">
        <v>2</v>
      </c>
      <c r="F89" s="68"/>
      <c r="G89" s="68">
        <v>1</v>
      </c>
      <c r="H89" s="79" t="s">
        <v>13</v>
      </c>
      <c r="I89" s="79"/>
      <c r="J89" s="79"/>
    </row>
    <row r="90" spans="2:12" x14ac:dyDescent="0.25">
      <c r="B90" s="79" t="s">
        <v>7</v>
      </c>
      <c r="C90" s="79"/>
      <c r="D90" s="79"/>
      <c r="E90" s="68">
        <v>1</v>
      </c>
      <c r="F90" s="68"/>
      <c r="G90" s="68">
        <v>0</v>
      </c>
      <c r="H90" s="79" t="s">
        <v>10</v>
      </c>
      <c r="I90" s="79"/>
      <c r="J90" s="79"/>
    </row>
    <row r="91" spans="2:12" x14ac:dyDescent="0.25">
      <c r="B91" s="79" t="s">
        <v>8</v>
      </c>
      <c r="C91" s="79"/>
      <c r="D91" s="79"/>
      <c r="E91" s="68">
        <v>2</v>
      </c>
      <c r="F91" s="68"/>
      <c r="G91" s="68">
        <v>0</v>
      </c>
      <c r="H91" s="79" t="s">
        <v>29</v>
      </c>
      <c r="I91" s="79"/>
      <c r="J91" s="79"/>
    </row>
    <row r="92" spans="2:12" x14ac:dyDescent="0.25">
      <c r="B92" s="79" t="s">
        <v>5</v>
      </c>
      <c r="C92" s="79"/>
      <c r="D92" s="79"/>
      <c r="E92" s="68">
        <v>2</v>
      </c>
      <c r="F92" s="68"/>
      <c r="G92" s="68">
        <v>1</v>
      </c>
      <c r="H92" s="79" t="s">
        <v>6</v>
      </c>
      <c r="I92" s="79"/>
      <c r="J92" s="79"/>
    </row>
    <row r="94" spans="2:12" x14ac:dyDescent="0.25">
      <c r="B94" s="79" t="s">
        <v>19</v>
      </c>
      <c r="C94" s="79"/>
      <c r="D94" s="79"/>
      <c r="E94" s="68">
        <v>2</v>
      </c>
      <c r="F94" s="68"/>
      <c r="G94" s="68">
        <v>0</v>
      </c>
      <c r="H94" s="79" t="s">
        <v>11</v>
      </c>
      <c r="I94" s="79"/>
      <c r="J94" s="79"/>
      <c r="L94" t="s">
        <v>71</v>
      </c>
    </row>
    <row r="95" spans="2:12" x14ac:dyDescent="0.25">
      <c r="B95" s="79" t="s">
        <v>16</v>
      </c>
      <c r="C95" s="79"/>
      <c r="D95" s="79"/>
      <c r="E95" s="68">
        <v>1</v>
      </c>
      <c r="F95" s="68"/>
      <c r="G95" s="68">
        <v>1</v>
      </c>
      <c r="H95" s="79" t="s">
        <v>34</v>
      </c>
      <c r="I95" s="79"/>
      <c r="J95" s="79"/>
    </row>
    <row r="96" spans="2:12" x14ac:dyDescent="0.25">
      <c r="B96" s="79" t="s">
        <v>26</v>
      </c>
      <c r="C96" s="79"/>
      <c r="D96" s="79"/>
      <c r="E96" s="68">
        <v>2</v>
      </c>
      <c r="F96" s="68"/>
      <c r="G96" s="68">
        <v>0</v>
      </c>
      <c r="H96" s="79" t="s">
        <v>55</v>
      </c>
      <c r="I96" s="79"/>
      <c r="J96" s="79"/>
    </row>
    <row r="97" spans="2:12" x14ac:dyDescent="0.25">
      <c r="B97" s="79" t="s">
        <v>55</v>
      </c>
      <c r="C97" s="79"/>
      <c r="D97" s="79"/>
      <c r="E97" s="68">
        <v>1</v>
      </c>
      <c r="F97" s="68"/>
      <c r="G97" s="68">
        <v>2</v>
      </c>
      <c r="H97" s="79" t="s">
        <v>24</v>
      </c>
      <c r="I97" s="79"/>
      <c r="J97" s="79"/>
    </row>
    <row r="98" spans="2:12" x14ac:dyDescent="0.25">
      <c r="B98" s="79" t="s">
        <v>6</v>
      </c>
      <c r="C98" s="79"/>
      <c r="D98" s="79"/>
      <c r="E98" s="68">
        <v>1</v>
      </c>
      <c r="F98" s="68"/>
      <c r="G98" s="68">
        <v>0</v>
      </c>
      <c r="H98" s="79" t="s">
        <v>13</v>
      </c>
      <c r="I98" s="79"/>
      <c r="J98" s="79"/>
    </row>
    <row r="99" spans="2:12" x14ac:dyDescent="0.25">
      <c r="B99" s="79" t="s">
        <v>8</v>
      </c>
      <c r="C99" s="79"/>
      <c r="D99" s="79"/>
      <c r="E99" s="68">
        <v>2</v>
      </c>
      <c r="F99" s="68"/>
      <c r="G99" s="68">
        <v>0</v>
      </c>
      <c r="H99" s="79" t="s">
        <v>29</v>
      </c>
      <c r="I99" s="79"/>
      <c r="J99" s="79"/>
    </row>
    <row r="101" spans="2:12" x14ac:dyDescent="0.25">
      <c r="B101" s="79" t="s">
        <v>16</v>
      </c>
      <c r="C101" s="79"/>
      <c r="D101" s="79"/>
      <c r="E101" s="68">
        <v>1</v>
      </c>
      <c r="F101" s="68"/>
      <c r="G101" s="68">
        <v>1</v>
      </c>
      <c r="H101" s="79" t="s">
        <v>34</v>
      </c>
      <c r="I101" s="79"/>
      <c r="J101" s="79"/>
      <c r="L101" t="s">
        <v>72</v>
      </c>
    </row>
    <row r="102" spans="2:12" x14ac:dyDescent="0.25">
      <c r="B102" s="79" t="s">
        <v>26</v>
      </c>
      <c r="C102" s="79"/>
      <c r="D102" s="79"/>
      <c r="E102" s="68">
        <v>2</v>
      </c>
      <c r="F102" s="68"/>
      <c r="G102" s="68">
        <v>0</v>
      </c>
      <c r="H102" s="79" t="s">
        <v>55</v>
      </c>
      <c r="I102" s="79"/>
      <c r="J102" s="79"/>
    </row>
    <row r="104" spans="2:12" x14ac:dyDescent="0.25">
      <c r="B104" s="79" t="s">
        <v>19</v>
      </c>
      <c r="C104" s="79"/>
      <c r="D104" s="79"/>
      <c r="E104" s="68">
        <v>1</v>
      </c>
      <c r="F104" s="68"/>
      <c r="G104" s="68">
        <v>1</v>
      </c>
      <c r="H104" s="79" t="s">
        <v>14</v>
      </c>
      <c r="I104" s="79"/>
      <c r="J104" s="79"/>
      <c r="L104" t="s">
        <v>69</v>
      </c>
    </row>
    <row r="105" spans="2:12" x14ac:dyDescent="0.25">
      <c r="B105" s="79" t="s">
        <v>19</v>
      </c>
      <c r="C105" s="79"/>
      <c r="D105" s="79"/>
      <c r="E105" s="68">
        <v>2</v>
      </c>
      <c r="F105" s="68"/>
      <c r="G105" s="68">
        <v>0</v>
      </c>
      <c r="H105" s="79" t="s">
        <v>11</v>
      </c>
      <c r="I105" s="79"/>
      <c r="J105" s="79"/>
    </row>
    <row r="107" spans="2:12" x14ac:dyDescent="0.25">
      <c r="B107" s="79" t="s">
        <v>11</v>
      </c>
      <c r="C107" s="79"/>
      <c r="D107" s="79"/>
      <c r="E107" s="68">
        <v>0</v>
      </c>
      <c r="F107" s="68"/>
      <c r="G107" s="68">
        <v>2</v>
      </c>
      <c r="H107" s="79" t="s">
        <v>14</v>
      </c>
      <c r="I107" s="79"/>
      <c r="J107" s="79"/>
      <c r="L107" t="s">
        <v>92</v>
      </c>
    </row>
    <row r="108" spans="2:12" x14ac:dyDescent="0.25">
      <c r="B108" s="79" t="s">
        <v>28</v>
      </c>
      <c r="C108" s="79"/>
      <c r="D108" s="79"/>
      <c r="E108" s="68">
        <v>0</v>
      </c>
      <c r="F108" s="68"/>
      <c r="G108" s="68">
        <v>2</v>
      </c>
      <c r="H108" s="79" t="s">
        <v>19</v>
      </c>
      <c r="I108" s="79"/>
      <c r="J108" s="79"/>
    </row>
    <row r="109" spans="2:12" x14ac:dyDescent="0.25">
      <c r="B109" s="79" t="s">
        <v>19</v>
      </c>
      <c r="C109" s="79"/>
      <c r="D109" s="79"/>
      <c r="E109" s="68">
        <v>1</v>
      </c>
      <c r="F109" s="68"/>
      <c r="G109" s="68">
        <v>1</v>
      </c>
      <c r="H109" s="79" t="s">
        <v>14</v>
      </c>
      <c r="I109" s="79"/>
      <c r="J109" s="79"/>
    </row>
    <row r="110" spans="2:12" x14ac:dyDescent="0.25">
      <c r="B110" s="79" t="s">
        <v>19</v>
      </c>
      <c r="C110" s="79"/>
      <c r="D110" s="79"/>
      <c r="E110" s="68">
        <v>2</v>
      </c>
      <c r="F110" s="68"/>
      <c r="G110" s="68">
        <v>0</v>
      </c>
      <c r="H110" s="79" t="s">
        <v>11</v>
      </c>
      <c r="I110" s="79"/>
      <c r="J110" s="79"/>
    </row>
    <row r="111" spans="2:12" x14ac:dyDescent="0.25">
      <c r="B111" s="79" t="s">
        <v>21</v>
      </c>
      <c r="C111" s="79"/>
      <c r="D111" s="79"/>
      <c r="E111" s="68">
        <v>0</v>
      </c>
      <c r="F111" s="68"/>
      <c r="G111" s="68">
        <v>1</v>
      </c>
      <c r="H111" s="79" t="s">
        <v>16</v>
      </c>
      <c r="I111" s="79"/>
      <c r="J111" s="79"/>
    </row>
    <row r="112" spans="2:12" x14ac:dyDescent="0.25">
      <c r="B112" s="79" t="s">
        <v>34</v>
      </c>
      <c r="C112" s="79"/>
      <c r="D112" s="79"/>
      <c r="E112" s="68">
        <v>0</v>
      </c>
      <c r="F112" s="68"/>
      <c r="G112" s="68">
        <v>3</v>
      </c>
      <c r="H112" s="79" t="s">
        <v>20</v>
      </c>
      <c r="I112" s="79"/>
      <c r="J112" s="79"/>
    </row>
    <row r="113" spans="2:12" x14ac:dyDescent="0.25">
      <c r="B113" s="79" t="s">
        <v>26</v>
      </c>
      <c r="C113" s="79"/>
      <c r="D113" s="79"/>
      <c r="E113" s="68">
        <v>2</v>
      </c>
      <c r="F113" s="68"/>
      <c r="G113" s="68">
        <v>0</v>
      </c>
      <c r="H113" s="79" t="s">
        <v>55</v>
      </c>
      <c r="I113" s="79"/>
      <c r="J113" s="79"/>
    </row>
    <row r="114" spans="2:12" x14ac:dyDescent="0.25">
      <c r="B114" s="79" t="s">
        <v>31</v>
      </c>
      <c r="C114" s="79"/>
      <c r="D114" s="79"/>
      <c r="E114" s="68">
        <v>0</v>
      </c>
      <c r="F114" s="68"/>
      <c r="G114" s="68">
        <v>1</v>
      </c>
      <c r="H114" s="79" t="s">
        <v>6</v>
      </c>
      <c r="I114" s="79"/>
      <c r="J114" s="79"/>
    </row>
    <row r="115" spans="2:12" x14ac:dyDescent="0.25">
      <c r="B115" s="79" t="s">
        <v>22</v>
      </c>
      <c r="C115" s="79"/>
      <c r="D115" s="79"/>
      <c r="E115" s="68">
        <v>0</v>
      </c>
      <c r="F115" s="68"/>
      <c r="G115" s="68">
        <v>1</v>
      </c>
      <c r="H115" s="79" t="s">
        <v>56</v>
      </c>
      <c r="I115" s="79"/>
      <c r="J115" s="79"/>
    </row>
    <row r="116" spans="2:12" x14ac:dyDescent="0.25">
      <c r="B116" s="79" t="s">
        <v>15</v>
      </c>
      <c r="C116" s="79"/>
      <c r="D116" s="79"/>
      <c r="E116" s="68">
        <v>1</v>
      </c>
      <c r="F116" s="68"/>
      <c r="G116" s="68">
        <v>1</v>
      </c>
      <c r="H116" s="79" t="s">
        <v>4</v>
      </c>
      <c r="I116" s="79"/>
      <c r="J116" s="79"/>
    </row>
    <row r="117" spans="2:12" x14ac:dyDescent="0.25">
      <c r="B117" s="79" t="s">
        <v>30</v>
      </c>
      <c r="C117" s="79"/>
      <c r="D117" s="79"/>
      <c r="E117" s="68">
        <v>1</v>
      </c>
      <c r="F117" s="68"/>
      <c r="G117" s="68">
        <v>0</v>
      </c>
      <c r="H117" s="79" t="s">
        <v>9</v>
      </c>
      <c r="I117" s="79"/>
      <c r="J117" s="79"/>
    </row>
    <row r="118" spans="2:12" x14ac:dyDescent="0.25">
      <c r="B118" s="79" t="s">
        <v>8</v>
      </c>
      <c r="C118" s="79"/>
      <c r="D118" s="79"/>
      <c r="E118" s="68">
        <v>2</v>
      </c>
      <c r="F118" s="68"/>
      <c r="G118" s="68">
        <v>0</v>
      </c>
      <c r="H118" s="79" t="s">
        <v>29</v>
      </c>
      <c r="I118" s="79"/>
      <c r="J118" s="79"/>
    </row>
    <row r="120" spans="2:12" x14ac:dyDescent="0.25">
      <c r="B120" s="79" t="s">
        <v>19</v>
      </c>
      <c r="C120" s="79"/>
      <c r="D120" s="79"/>
      <c r="E120" s="68">
        <v>1</v>
      </c>
      <c r="F120" s="68"/>
      <c r="G120" s="68">
        <v>1</v>
      </c>
      <c r="H120" s="79" t="s">
        <v>14</v>
      </c>
      <c r="I120" s="79"/>
      <c r="J120" s="79"/>
      <c r="L120" t="s">
        <v>91</v>
      </c>
    </row>
    <row r="121" spans="2:12" x14ac:dyDescent="0.25">
      <c r="B121" s="79" t="s">
        <v>19</v>
      </c>
      <c r="C121" s="79"/>
      <c r="D121" s="79"/>
      <c r="E121" s="68">
        <v>2</v>
      </c>
      <c r="F121" s="68"/>
      <c r="G121" s="68">
        <v>0</v>
      </c>
      <c r="H121" s="79" t="s">
        <v>11</v>
      </c>
      <c r="I121" s="79"/>
      <c r="J121" s="79"/>
    </row>
    <row r="122" spans="2:12" x14ac:dyDescent="0.25">
      <c r="B122" s="79" t="s">
        <v>34</v>
      </c>
      <c r="C122" s="79"/>
      <c r="D122" s="79"/>
      <c r="E122" s="68">
        <v>0</v>
      </c>
      <c r="F122" s="68"/>
      <c r="G122" s="68">
        <v>3</v>
      </c>
      <c r="H122" s="79" t="s">
        <v>20</v>
      </c>
      <c r="I122" s="79"/>
      <c r="J122" s="79"/>
    </row>
    <row r="123" spans="2:12" x14ac:dyDescent="0.25">
      <c r="B123" s="79" t="s">
        <v>26</v>
      </c>
      <c r="C123" s="79"/>
      <c r="D123" s="79"/>
      <c r="E123" s="68">
        <v>2</v>
      </c>
      <c r="F123" s="68"/>
      <c r="G123" s="68">
        <v>0</v>
      </c>
      <c r="H123" s="79" t="s">
        <v>55</v>
      </c>
      <c r="I123" s="79"/>
      <c r="J123" s="79"/>
    </row>
    <row r="124" spans="2:12" x14ac:dyDescent="0.25">
      <c r="B124" s="79" t="s">
        <v>6</v>
      </c>
      <c r="C124" s="79"/>
      <c r="D124" s="79"/>
      <c r="E124" s="68">
        <v>1</v>
      </c>
      <c r="F124" s="68"/>
      <c r="G124" s="68">
        <v>0</v>
      </c>
      <c r="H124" s="79" t="s">
        <v>13</v>
      </c>
      <c r="I124" s="79"/>
      <c r="J124" s="79"/>
    </row>
    <row r="125" spans="2:12" x14ac:dyDescent="0.25">
      <c r="B125" s="79" t="s">
        <v>8</v>
      </c>
      <c r="C125" s="79"/>
      <c r="D125" s="79"/>
      <c r="E125" s="68">
        <v>2</v>
      </c>
      <c r="F125" s="68"/>
      <c r="G125" s="68">
        <v>0</v>
      </c>
      <c r="H125" s="79" t="s">
        <v>29</v>
      </c>
      <c r="I125" s="79"/>
      <c r="J125" s="79"/>
    </row>
    <row r="126" spans="2:12" x14ac:dyDescent="0.25">
      <c r="B126" s="79" t="s">
        <v>5</v>
      </c>
      <c r="C126" s="79"/>
      <c r="D126" s="79"/>
      <c r="E126" s="68">
        <v>2</v>
      </c>
      <c r="F126" s="68"/>
      <c r="G126" s="68">
        <v>1</v>
      </c>
      <c r="H126" s="79" t="s">
        <v>6</v>
      </c>
      <c r="I126" s="79"/>
      <c r="J126" s="79"/>
    </row>
    <row r="128" spans="2:12" x14ac:dyDescent="0.25">
      <c r="B128" s="79" t="s">
        <v>14</v>
      </c>
      <c r="C128" s="79"/>
      <c r="D128" s="79"/>
      <c r="E128" s="68">
        <v>1</v>
      </c>
      <c r="F128" s="68"/>
      <c r="G128" s="68">
        <v>2</v>
      </c>
      <c r="H128" s="79" t="s">
        <v>28</v>
      </c>
      <c r="I128" s="79"/>
      <c r="J128" s="79"/>
      <c r="L128" t="s">
        <v>70</v>
      </c>
    </row>
    <row r="129" spans="2:10" x14ac:dyDescent="0.25">
      <c r="B129" s="79" t="s">
        <v>16</v>
      </c>
      <c r="C129" s="79"/>
      <c r="D129" s="79"/>
      <c r="E129" s="68">
        <v>1</v>
      </c>
      <c r="F129" s="68"/>
      <c r="G129" s="68">
        <v>1</v>
      </c>
      <c r="H129" s="79" t="s">
        <v>34</v>
      </c>
      <c r="I129" s="79"/>
      <c r="J129" s="79"/>
    </row>
    <row r="130" spans="2:10" x14ac:dyDescent="0.25">
      <c r="B130" s="79" t="s">
        <v>5</v>
      </c>
      <c r="C130" s="79"/>
      <c r="D130" s="79"/>
      <c r="E130" s="68">
        <v>2</v>
      </c>
      <c r="F130" s="68"/>
      <c r="G130" s="68">
        <v>0</v>
      </c>
      <c r="H130" s="79" t="s">
        <v>24</v>
      </c>
      <c r="I130" s="79"/>
      <c r="J130" s="79"/>
    </row>
    <row r="131" spans="2:10" x14ac:dyDescent="0.25">
      <c r="B131" s="79" t="s">
        <v>55</v>
      </c>
      <c r="C131" s="79"/>
      <c r="D131" s="79"/>
      <c r="E131" s="68">
        <v>1</v>
      </c>
      <c r="F131" s="68"/>
      <c r="G131" s="68">
        <v>2</v>
      </c>
      <c r="H131" s="79" t="s">
        <v>24</v>
      </c>
      <c r="I131" s="79"/>
      <c r="J131" s="79"/>
    </row>
    <row r="132" spans="2:10" x14ac:dyDescent="0.25">
      <c r="B132" s="79" t="s">
        <v>15</v>
      </c>
      <c r="C132" s="79"/>
      <c r="D132" s="79"/>
      <c r="E132" s="68">
        <v>1</v>
      </c>
      <c r="F132" s="68"/>
      <c r="G132" s="68">
        <v>1</v>
      </c>
      <c r="H132" s="79" t="s">
        <v>4</v>
      </c>
      <c r="I132" s="79"/>
      <c r="J132" s="79"/>
    </row>
    <row r="133" spans="2:10" x14ac:dyDescent="0.25">
      <c r="B133" s="79" t="s">
        <v>10</v>
      </c>
      <c r="C133" s="79"/>
      <c r="D133" s="79"/>
      <c r="E133" s="68">
        <v>1</v>
      </c>
      <c r="F133" s="68"/>
      <c r="G133" s="68">
        <v>2</v>
      </c>
      <c r="H133" s="79" t="s">
        <v>23</v>
      </c>
      <c r="I133" s="79"/>
      <c r="J133" s="79"/>
    </row>
    <row r="134" spans="2:10" x14ac:dyDescent="0.25">
      <c r="B134" s="79" t="s">
        <v>8</v>
      </c>
      <c r="C134" s="79"/>
      <c r="D134" s="79"/>
      <c r="E134" s="68">
        <v>2</v>
      </c>
      <c r="F134" s="68"/>
      <c r="G134" s="68">
        <v>0</v>
      </c>
      <c r="H134" s="79" t="s">
        <v>29</v>
      </c>
      <c r="I134" s="79"/>
      <c r="J134" s="79"/>
    </row>
  </sheetData>
  <mergeCells count="222">
    <mergeCell ref="B7:D7"/>
    <mergeCell ref="H7:J7"/>
    <mergeCell ref="B8:D8"/>
    <mergeCell ref="H8:J8"/>
    <mergeCell ref="B9:D9"/>
    <mergeCell ref="H9:J9"/>
    <mergeCell ref="B10:D10"/>
    <mergeCell ref="H10:J10"/>
    <mergeCell ref="B2:D2"/>
    <mergeCell ref="H2:J2"/>
    <mergeCell ref="B3:D3"/>
    <mergeCell ref="H3:J3"/>
    <mergeCell ref="B4:D4"/>
    <mergeCell ref="H4:J4"/>
    <mergeCell ref="B5:D5"/>
    <mergeCell ref="H5:J5"/>
    <mergeCell ref="B19:D19"/>
    <mergeCell ref="H19:J19"/>
    <mergeCell ref="B20:D20"/>
    <mergeCell ref="H20:J20"/>
    <mergeCell ref="B21:D21"/>
    <mergeCell ref="H21:J21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7:D27"/>
    <mergeCell ref="H27:J27"/>
    <mergeCell ref="B28:D28"/>
    <mergeCell ref="H28:J28"/>
    <mergeCell ref="B29:D29"/>
    <mergeCell ref="H29:J29"/>
    <mergeCell ref="B30:D30"/>
    <mergeCell ref="H30:J30"/>
    <mergeCell ref="B23:D23"/>
    <mergeCell ref="H23:J23"/>
    <mergeCell ref="B24:D24"/>
    <mergeCell ref="H24:J24"/>
    <mergeCell ref="B25:D25"/>
    <mergeCell ref="H25:J25"/>
    <mergeCell ref="B43:D43"/>
    <mergeCell ref="H43:J43"/>
    <mergeCell ref="B39:D39"/>
    <mergeCell ref="H39:J39"/>
    <mergeCell ref="B40:D40"/>
    <mergeCell ref="H40:J40"/>
    <mergeCell ref="B41:D41"/>
    <mergeCell ref="H41:J41"/>
    <mergeCell ref="B32:D32"/>
    <mergeCell ref="H32:J32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49:D49"/>
    <mergeCell ref="H49:J49"/>
    <mergeCell ref="B50:D50"/>
    <mergeCell ref="H50:J50"/>
    <mergeCell ref="B51:D51"/>
    <mergeCell ref="H51:J51"/>
    <mergeCell ref="B52:D52"/>
    <mergeCell ref="H52:J52"/>
    <mergeCell ref="B45:D45"/>
    <mergeCell ref="H45:J45"/>
    <mergeCell ref="B46:D46"/>
    <mergeCell ref="H46:J46"/>
    <mergeCell ref="B47:D47"/>
    <mergeCell ref="H47:J47"/>
    <mergeCell ref="B54:D54"/>
    <mergeCell ref="H54:J54"/>
    <mergeCell ref="B55:D55"/>
    <mergeCell ref="H55:J55"/>
    <mergeCell ref="B56:D56"/>
    <mergeCell ref="H56:J56"/>
    <mergeCell ref="B57:D57"/>
    <mergeCell ref="H57:J57"/>
    <mergeCell ref="B58:D58"/>
    <mergeCell ref="H58:J58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78:D78"/>
    <mergeCell ref="H78:J78"/>
    <mergeCell ref="B79:D79"/>
    <mergeCell ref="H79:J79"/>
    <mergeCell ref="B80:D80"/>
    <mergeCell ref="H80:J80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92:D92"/>
    <mergeCell ref="H92:J92"/>
    <mergeCell ref="B82:D82"/>
    <mergeCell ref="H82:J82"/>
    <mergeCell ref="B83:D83"/>
    <mergeCell ref="H83:J83"/>
    <mergeCell ref="B84:D84"/>
    <mergeCell ref="H84:J84"/>
    <mergeCell ref="B85:D85"/>
    <mergeCell ref="H85:J85"/>
    <mergeCell ref="B87:D87"/>
    <mergeCell ref="H87:J87"/>
    <mergeCell ref="B88:D88"/>
    <mergeCell ref="H88:J88"/>
    <mergeCell ref="B89:D89"/>
    <mergeCell ref="H89:J89"/>
    <mergeCell ref="B90:D90"/>
    <mergeCell ref="H90:J90"/>
    <mergeCell ref="B91:D91"/>
    <mergeCell ref="H91:J91"/>
    <mergeCell ref="B104:D104"/>
    <mergeCell ref="H104:J104"/>
    <mergeCell ref="B105:D105"/>
    <mergeCell ref="H105:J105"/>
    <mergeCell ref="B101:D101"/>
    <mergeCell ref="H101:J101"/>
    <mergeCell ref="B102:D102"/>
    <mergeCell ref="H102:J102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25:D125"/>
    <mergeCell ref="H125:J125"/>
    <mergeCell ref="B126:D126"/>
    <mergeCell ref="H126:J12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24:D124"/>
    <mergeCell ref="H124:J124"/>
    <mergeCell ref="B133:D133"/>
    <mergeCell ref="H133:J133"/>
    <mergeCell ref="B134:D134"/>
    <mergeCell ref="H134:J134"/>
    <mergeCell ref="B128:D128"/>
    <mergeCell ref="H128:J128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17:D117"/>
    <mergeCell ref="H117:J117"/>
    <mergeCell ref="B118:D118"/>
    <mergeCell ref="H118:J1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82" t="s">
        <v>90</v>
      </c>
      <c r="C1" s="83"/>
      <c r="D1" s="83"/>
      <c r="E1" s="83"/>
      <c r="F1" s="83"/>
      <c r="G1" s="83"/>
      <c r="H1" s="83"/>
      <c r="I1" s="84"/>
      <c r="M1" s="80"/>
      <c r="N1" s="80"/>
      <c r="O1" s="80"/>
      <c r="P1" s="81"/>
      <c r="Q1" s="81"/>
      <c r="R1" s="81"/>
      <c r="S1" s="80"/>
      <c r="T1" s="80"/>
      <c r="U1" s="80"/>
      <c r="V1" s="81"/>
      <c r="W1" s="81"/>
      <c r="X1" s="81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545</v>
      </c>
      <c r="E3" s="44">
        <f>VLOOKUP(C3,O$3:U$25,3,0)</f>
        <v>12</v>
      </c>
      <c r="F3" s="44">
        <f>VLOOKUP(C3,O$3:U$25,4,0)</f>
        <v>6</v>
      </c>
      <c r="G3" s="44">
        <f>VLOOKUP(C3,O$3:U$25,5,0)</f>
        <v>12</v>
      </c>
      <c r="H3" s="44">
        <f>VLOOKUP(C3,O$3:U$25,6,0)</f>
        <v>7</v>
      </c>
      <c r="I3" s="45">
        <f>VLOOKUP(C3,O$3:U$25,7,0)</f>
        <v>13</v>
      </c>
      <c r="K3" s="36" t="s">
        <v>92</v>
      </c>
      <c r="L3" s="36">
        <f>'Bruno Flores'!Q$11</f>
        <v>545</v>
      </c>
      <c r="M3" s="36"/>
      <c r="N3" s="36"/>
      <c r="O3" s="37" t="s">
        <v>70</v>
      </c>
      <c r="P3" s="33">
        <f>Macélio!Q$11</f>
        <v>480</v>
      </c>
      <c r="Q3" s="22">
        <v>7</v>
      </c>
      <c r="R3" s="22">
        <v>8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505</v>
      </c>
      <c r="E4" s="47">
        <f t="shared" ref="E4:E25" si="2">VLOOKUP(C4,O$3:U$25,3,0)</f>
        <v>7</v>
      </c>
      <c r="F4" s="47">
        <f t="shared" ref="F4:F25" si="3">VLOOKUP(C4,O$3:U$25,4,0)</f>
        <v>11</v>
      </c>
      <c r="G4" s="47">
        <f t="shared" ref="G4:G25" si="4">VLOOKUP(C4,O$3:U$25,5,0)</f>
        <v>12</v>
      </c>
      <c r="H4" s="47">
        <f t="shared" ref="H4:H25" si="5">VLOOKUP(C4,O$3:U$25,6,0)</f>
        <v>9</v>
      </c>
      <c r="I4" s="48">
        <f t="shared" ref="I4:I25" si="6">VLOOKUP(C4,O$3:U$25,7,0)</f>
        <v>11</v>
      </c>
      <c r="K4" s="36" t="s">
        <v>91</v>
      </c>
      <c r="L4" s="36">
        <f>'Ivan Alex_1'!Q$11</f>
        <v>505</v>
      </c>
      <c r="M4" s="36"/>
      <c r="N4" s="36"/>
      <c r="O4" s="37" t="s">
        <v>91</v>
      </c>
      <c r="P4" s="33">
        <f>'Ivan Alex_1'!Q$11</f>
        <v>505</v>
      </c>
      <c r="Q4" s="42">
        <v>7</v>
      </c>
      <c r="R4" s="42">
        <v>11</v>
      </c>
      <c r="S4" s="42">
        <v>12</v>
      </c>
      <c r="T4" s="42">
        <v>9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480</v>
      </c>
      <c r="E5" s="50">
        <f t="shared" si="2"/>
        <v>7</v>
      </c>
      <c r="F5" s="50">
        <f t="shared" si="3"/>
        <v>8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480</v>
      </c>
      <c r="M5" s="36"/>
      <c r="N5" s="36"/>
      <c r="O5" s="37" t="s">
        <v>92</v>
      </c>
      <c r="P5" s="33">
        <f>'Bruno Flores'!Q$11</f>
        <v>545</v>
      </c>
      <c r="Q5" s="22">
        <v>12</v>
      </c>
      <c r="R5" s="22">
        <v>6</v>
      </c>
      <c r="S5" s="22">
        <v>12</v>
      </c>
      <c r="T5" s="22">
        <v>7</v>
      </c>
      <c r="U5" s="22">
        <v>13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470</v>
      </c>
      <c r="E6" s="63">
        <f t="shared" si="2"/>
        <v>8</v>
      </c>
      <c r="F6" s="63">
        <f t="shared" si="3"/>
        <v>8</v>
      </c>
      <c r="G6" s="63">
        <f t="shared" si="4"/>
        <v>10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470</v>
      </c>
      <c r="M6" s="36"/>
      <c r="N6" s="36"/>
      <c r="O6" s="37" t="s">
        <v>69</v>
      </c>
      <c r="P6" s="33">
        <f>'Ivan Alex_2'!Q$11</f>
        <v>385</v>
      </c>
      <c r="Q6" s="22">
        <v>2</v>
      </c>
      <c r="R6" s="22">
        <v>9</v>
      </c>
      <c r="S6" s="22">
        <v>14</v>
      </c>
      <c r="T6" s="22">
        <v>12</v>
      </c>
      <c r="U6" s="22">
        <v>13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455</v>
      </c>
      <c r="E7" s="63">
        <f t="shared" si="2"/>
        <v>5</v>
      </c>
      <c r="F7" s="63">
        <f t="shared" si="3"/>
        <v>11</v>
      </c>
      <c r="G7" s="63">
        <f t="shared" si="4"/>
        <v>11</v>
      </c>
      <c r="H7" s="63">
        <f t="shared" si="5"/>
        <v>11</v>
      </c>
      <c r="I7" s="64">
        <f t="shared" si="6"/>
        <v>11</v>
      </c>
      <c r="K7" s="36" t="s">
        <v>78</v>
      </c>
      <c r="L7" s="36">
        <f>Jean!Q$11</f>
        <v>455</v>
      </c>
      <c r="M7" s="36"/>
      <c r="N7" s="36"/>
      <c r="O7" s="37" t="s">
        <v>72</v>
      </c>
      <c r="P7" s="33">
        <f>Gabriel!Q$11</f>
        <v>370</v>
      </c>
      <c r="Q7" s="22">
        <v>2</v>
      </c>
      <c r="R7" s="22">
        <v>9</v>
      </c>
      <c r="S7" s="22">
        <v>13</v>
      </c>
      <c r="T7" s="22">
        <v>11</v>
      </c>
      <c r="U7" s="22">
        <v>14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430</v>
      </c>
      <c r="E8" s="63">
        <f t="shared" si="2"/>
        <v>6</v>
      </c>
      <c r="F8" s="63">
        <f t="shared" si="3"/>
        <v>11</v>
      </c>
      <c r="G8" s="63">
        <f t="shared" si="4"/>
        <v>8</v>
      </c>
      <c r="H8" s="63">
        <f t="shared" si="5"/>
        <v>7</v>
      </c>
      <c r="I8" s="64">
        <f t="shared" si="6"/>
        <v>18</v>
      </c>
      <c r="K8" s="36" t="s">
        <v>76</v>
      </c>
      <c r="L8" s="36">
        <f>Mácio!Q$11</f>
        <v>430</v>
      </c>
      <c r="M8" s="36"/>
      <c r="N8" s="36"/>
      <c r="O8" s="37" t="s">
        <v>71</v>
      </c>
      <c r="P8" s="33">
        <f>Luis!Q$11</f>
        <v>375</v>
      </c>
      <c r="Q8" s="22">
        <v>6</v>
      </c>
      <c r="R8" s="22">
        <v>6</v>
      </c>
      <c r="S8" s="22">
        <v>9</v>
      </c>
      <c r="T8" s="22">
        <v>9</v>
      </c>
      <c r="U8" s="22">
        <v>19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430</v>
      </c>
      <c r="E9" s="63">
        <f t="shared" si="2"/>
        <v>6</v>
      </c>
      <c r="F9" s="63">
        <f t="shared" si="3"/>
        <v>8</v>
      </c>
      <c r="G9" s="63">
        <f t="shared" si="4"/>
        <v>9</v>
      </c>
      <c r="H9" s="63">
        <f t="shared" si="5"/>
        <v>14</v>
      </c>
      <c r="I9" s="64">
        <f t="shared" si="6"/>
        <v>12</v>
      </c>
      <c r="K9" s="36" t="s">
        <v>87</v>
      </c>
      <c r="L9" s="36">
        <f>Talita!Q$11</f>
        <v>430</v>
      </c>
      <c r="M9" s="36"/>
      <c r="N9" s="36"/>
      <c r="O9" s="37" t="s">
        <v>73</v>
      </c>
      <c r="P9" s="33">
        <f>Juninho_1!Q$11</f>
        <v>425</v>
      </c>
      <c r="Q9" s="22">
        <v>6</v>
      </c>
      <c r="R9" s="22">
        <v>6</v>
      </c>
      <c r="S9" s="22">
        <v>12</v>
      </c>
      <c r="T9" s="22">
        <v>13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425</v>
      </c>
      <c r="E10" s="27">
        <f t="shared" si="2"/>
        <v>6</v>
      </c>
      <c r="F10" s="27">
        <f t="shared" si="3"/>
        <v>8</v>
      </c>
      <c r="G10" s="27">
        <f t="shared" si="4"/>
        <v>8</v>
      </c>
      <c r="H10" s="27">
        <f t="shared" si="5"/>
        <v>15</v>
      </c>
      <c r="I10" s="28">
        <f t="shared" si="6"/>
        <v>12</v>
      </c>
      <c r="J10" s="36"/>
      <c r="K10" s="36" t="s">
        <v>83</v>
      </c>
      <c r="L10" s="36">
        <f>Joseir_2!Q$11</f>
        <v>425</v>
      </c>
      <c r="M10" s="36"/>
      <c r="N10" s="36"/>
      <c r="O10" s="37" t="s">
        <v>74</v>
      </c>
      <c r="P10" s="33">
        <f>Juninho_2!Q$11</f>
        <v>400</v>
      </c>
      <c r="Q10" s="22">
        <v>4</v>
      </c>
      <c r="R10" s="22">
        <v>11</v>
      </c>
      <c r="S10" s="22">
        <v>8</v>
      </c>
      <c r="T10" s="22">
        <v>11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Alex</v>
      </c>
      <c r="D11" s="27">
        <f t="shared" si="1"/>
        <v>425</v>
      </c>
      <c r="E11" s="27">
        <f t="shared" si="2"/>
        <v>5</v>
      </c>
      <c r="F11" s="27">
        <f t="shared" si="3"/>
        <v>10</v>
      </c>
      <c r="G11" s="27">
        <f t="shared" si="4"/>
        <v>10</v>
      </c>
      <c r="H11" s="27">
        <f t="shared" si="5"/>
        <v>10</v>
      </c>
      <c r="I11" s="28">
        <f t="shared" si="6"/>
        <v>15</v>
      </c>
      <c r="K11" s="36" t="s">
        <v>77</v>
      </c>
      <c r="L11" s="36">
        <f>Alex!Q$11</f>
        <v>425</v>
      </c>
      <c r="M11" s="36"/>
      <c r="N11" s="36"/>
      <c r="O11" s="37" t="s">
        <v>75</v>
      </c>
      <c r="P11" s="33">
        <f>Luana!Q$11</f>
        <v>470</v>
      </c>
      <c r="Q11" s="22">
        <v>8</v>
      </c>
      <c r="R11" s="22">
        <v>8</v>
      </c>
      <c r="S11" s="22">
        <v>10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Juninho_1</v>
      </c>
      <c r="D12" s="27">
        <f t="shared" si="1"/>
        <v>425</v>
      </c>
      <c r="E12" s="27">
        <f t="shared" si="2"/>
        <v>6</v>
      </c>
      <c r="F12" s="27">
        <f t="shared" si="3"/>
        <v>6</v>
      </c>
      <c r="G12" s="27">
        <f t="shared" si="4"/>
        <v>12</v>
      </c>
      <c r="H12" s="27">
        <f t="shared" si="5"/>
        <v>13</v>
      </c>
      <c r="I12" s="28">
        <f t="shared" si="6"/>
        <v>13</v>
      </c>
      <c r="K12" s="36" t="s">
        <v>73</v>
      </c>
      <c r="L12" s="36">
        <f>Juninho_1!Q$11</f>
        <v>425</v>
      </c>
      <c r="M12" s="36"/>
      <c r="N12" s="36"/>
      <c r="O12" s="37" t="s">
        <v>76</v>
      </c>
      <c r="P12" s="33">
        <f>Mácio!Q$11</f>
        <v>430</v>
      </c>
      <c r="Q12" s="22">
        <v>6</v>
      </c>
      <c r="R12" s="22">
        <v>11</v>
      </c>
      <c r="S12" s="22">
        <v>8</v>
      </c>
      <c r="T12" s="22">
        <v>7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Cléofaz</v>
      </c>
      <c r="D13" s="27">
        <f t="shared" si="1"/>
        <v>425</v>
      </c>
      <c r="E13" s="27">
        <f t="shared" si="2"/>
        <v>4</v>
      </c>
      <c r="F13" s="27">
        <f t="shared" si="3"/>
        <v>8</v>
      </c>
      <c r="G13" s="27">
        <f t="shared" si="4"/>
        <v>18</v>
      </c>
      <c r="H13" s="27">
        <f t="shared" si="5"/>
        <v>5</v>
      </c>
      <c r="I13" s="28">
        <f t="shared" si="6"/>
        <v>13</v>
      </c>
      <c r="K13" s="36" t="s">
        <v>89</v>
      </c>
      <c r="L13" s="36">
        <f>Cléofaz!Q$11</f>
        <v>425</v>
      </c>
      <c r="M13" s="36"/>
      <c r="N13" s="36"/>
      <c r="O13" s="37" t="s">
        <v>77</v>
      </c>
      <c r="P13" s="33">
        <f>Alex!Q$11</f>
        <v>425</v>
      </c>
      <c r="Q13" s="22">
        <v>5</v>
      </c>
      <c r="R13" s="22">
        <v>10</v>
      </c>
      <c r="S13" s="22">
        <v>10</v>
      </c>
      <c r="T13" s="22">
        <v>10</v>
      </c>
      <c r="U13" s="22">
        <v>15</v>
      </c>
      <c r="V13" s="38"/>
    </row>
    <row r="14" spans="2:24" x14ac:dyDescent="0.25">
      <c r="B14" s="35" t="s">
        <v>106</v>
      </c>
      <c r="C14" s="27" t="str">
        <f t="shared" si="0"/>
        <v>Robert</v>
      </c>
      <c r="D14" s="27">
        <f t="shared" si="1"/>
        <v>410</v>
      </c>
      <c r="E14" s="27">
        <f t="shared" si="2"/>
        <v>4</v>
      </c>
      <c r="F14" s="27">
        <f t="shared" si="3"/>
        <v>11</v>
      </c>
      <c r="G14" s="27">
        <f t="shared" si="4"/>
        <v>9</v>
      </c>
      <c r="H14" s="27">
        <f t="shared" si="5"/>
        <v>11</v>
      </c>
      <c r="I14" s="28">
        <f t="shared" si="6"/>
        <v>14</v>
      </c>
      <c r="K14" s="36" t="s">
        <v>79</v>
      </c>
      <c r="L14" s="36">
        <f>Robert!Q$11</f>
        <v>410</v>
      </c>
      <c r="M14" s="36"/>
      <c r="N14" s="36"/>
      <c r="O14" s="37" t="s">
        <v>78</v>
      </c>
      <c r="P14" s="33">
        <f>Jean!Q$11</f>
        <v>455</v>
      </c>
      <c r="Q14" s="22">
        <v>5</v>
      </c>
      <c r="R14" s="22">
        <v>11</v>
      </c>
      <c r="S14" s="22">
        <v>11</v>
      </c>
      <c r="T14" s="22">
        <v>11</v>
      </c>
      <c r="U14" s="22">
        <v>11</v>
      </c>
      <c r="V14" s="38"/>
    </row>
    <row r="15" spans="2:24" x14ac:dyDescent="0.25">
      <c r="B15" s="35" t="s">
        <v>107</v>
      </c>
      <c r="C15" s="27" t="str">
        <f t="shared" si="0"/>
        <v>Julio</v>
      </c>
      <c r="D15" s="27">
        <f t="shared" si="1"/>
        <v>410</v>
      </c>
      <c r="E15" s="27">
        <f t="shared" si="2"/>
        <v>3</v>
      </c>
      <c r="F15" s="27">
        <f t="shared" si="3"/>
        <v>11</v>
      </c>
      <c r="G15" s="27">
        <f t="shared" si="4"/>
        <v>14</v>
      </c>
      <c r="H15" s="27">
        <f t="shared" si="5"/>
        <v>6</v>
      </c>
      <c r="I15" s="28">
        <f t="shared" si="6"/>
        <v>15</v>
      </c>
      <c r="K15" s="36" t="s">
        <v>86</v>
      </c>
      <c r="L15" s="36">
        <f>Julio!Q$11</f>
        <v>410</v>
      </c>
      <c r="M15" s="36"/>
      <c r="N15" s="36"/>
      <c r="O15" s="37" t="s">
        <v>79</v>
      </c>
      <c r="P15" s="33">
        <f>Robert!Q$11</f>
        <v>410</v>
      </c>
      <c r="Q15" s="22">
        <v>4</v>
      </c>
      <c r="R15" s="22">
        <v>11</v>
      </c>
      <c r="S15" s="22">
        <v>9</v>
      </c>
      <c r="T15" s="22">
        <v>11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405</v>
      </c>
      <c r="E16" s="27">
        <f t="shared" si="2"/>
        <v>3</v>
      </c>
      <c r="F16" s="27">
        <f t="shared" si="3"/>
        <v>11</v>
      </c>
      <c r="G16" s="27">
        <f t="shared" si="4"/>
        <v>9</v>
      </c>
      <c r="H16" s="27">
        <f t="shared" si="5"/>
        <v>15</v>
      </c>
      <c r="I16" s="28">
        <f t="shared" si="6"/>
        <v>11</v>
      </c>
      <c r="K16" s="36" t="s">
        <v>80</v>
      </c>
      <c r="L16" s="36">
        <f>Roberto!Q$11</f>
        <v>405</v>
      </c>
      <c r="M16" s="36"/>
      <c r="N16" s="36"/>
      <c r="O16" s="37" t="s">
        <v>80</v>
      </c>
      <c r="P16" s="33">
        <f>Roberto!Q$11</f>
        <v>405</v>
      </c>
      <c r="Q16" s="22">
        <v>3</v>
      </c>
      <c r="R16" s="22">
        <v>11</v>
      </c>
      <c r="S16" s="22">
        <v>9</v>
      </c>
      <c r="T16" s="22">
        <v>15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405</v>
      </c>
      <c r="E17" s="27">
        <f t="shared" si="2"/>
        <v>4</v>
      </c>
      <c r="F17" s="27">
        <f t="shared" si="3"/>
        <v>10</v>
      </c>
      <c r="G17" s="27">
        <f t="shared" si="4"/>
        <v>11</v>
      </c>
      <c r="H17" s="27">
        <f t="shared" si="5"/>
        <v>9</v>
      </c>
      <c r="I17" s="28">
        <f t="shared" si="6"/>
        <v>15</v>
      </c>
      <c r="K17" s="36" t="s">
        <v>88</v>
      </c>
      <c r="L17" s="36">
        <f>Anderson!Q$11</f>
        <v>405</v>
      </c>
      <c r="M17" s="36"/>
      <c r="N17" s="36"/>
      <c r="O17" s="37" t="s">
        <v>81</v>
      </c>
      <c r="P17" s="33">
        <f>Andréia!Q$11</f>
        <v>270</v>
      </c>
      <c r="Q17" s="22">
        <v>1</v>
      </c>
      <c r="R17" s="22">
        <v>3</v>
      </c>
      <c r="S17" s="22">
        <v>15</v>
      </c>
      <c r="T17" s="22">
        <v>10</v>
      </c>
      <c r="U17" s="22">
        <v>20</v>
      </c>
      <c r="V17" s="38"/>
    </row>
    <row r="18" spans="2:22" x14ac:dyDescent="0.25">
      <c r="B18" s="35" t="s">
        <v>110</v>
      </c>
      <c r="C18" s="27" t="str">
        <f t="shared" si="0"/>
        <v>Juninho_2</v>
      </c>
      <c r="D18" s="27">
        <f t="shared" si="1"/>
        <v>400</v>
      </c>
      <c r="E18" s="27">
        <f t="shared" si="2"/>
        <v>4</v>
      </c>
      <c r="F18" s="27">
        <f t="shared" si="3"/>
        <v>11</v>
      </c>
      <c r="G18" s="27">
        <f t="shared" si="4"/>
        <v>8</v>
      </c>
      <c r="H18" s="27">
        <f t="shared" si="5"/>
        <v>11</v>
      </c>
      <c r="I18" s="28">
        <f t="shared" si="6"/>
        <v>16</v>
      </c>
      <c r="K18" s="36" t="s">
        <v>74</v>
      </c>
      <c r="L18" s="36">
        <f>Juninho_2!Q$11</f>
        <v>400</v>
      </c>
      <c r="M18" s="36"/>
      <c r="N18" s="36"/>
      <c r="O18" s="37" t="s">
        <v>82</v>
      </c>
      <c r="P18" s="33">
        <f>Joseir_1!Q$11</f>
        <v>335</v>
      </c>
      <c r="Q18" s="22">
        <v>3</v>
      </c>
      <c r="R18" s="22">
        <v>6</v>
      </c>
      <c r="S18" s="22">
        <v>10</v>
      </c>
      <c r="T18" s="22">
        <v>14</v>
      </c>
      <c r="U18" s="22">
        <v>16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385</v>
      </c>
      <c r="E19" s="27">
        <f t="shared" si="2"/>
        <v>2</v>
      </c>
      <c r="F19" s="27">
        <f t="shared" si="3"/>
        <v>9</v>
      </c>
      <c r="G19" s="27">
        <f t="shared" si="4"/>
        <v>14</v>
      </c>
      <c r="H19" s="27">
        <f t="shared" si="5"/>
        <v>12</v>
      </c>
      <c r="I19" s="28">
        <f t="shared" si="6"/>
        <v>13</v>
      </c>
      <c r="K19" s="36" t="s">
        <v>69</v>
      </c>
      <c r="L19" s="36">
        <f>'Ivan Alex_2'!Q$11</f>
        <v>385</v>
      </c>
      <c r="M19" s="36"/>
      <c r="N19" s="36"/>
      <c r="O19" s="37" t="s">
        <v>83</v>
      </c>
      <c r="P19" s="33">
        <f>Joseir_2!Q$11</f>
        <v>425</v>
      </c>
      <c r="Q19" s="22">
        <v>6</v>
      </c>
      <c r="R19" s="22">
        <v>8</v>
      </c>
      <c r="S19" s="22">
        <v>8</v>
      </c>
      <c r="T19" s="22">
        <v>15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375</v>
      </c>
      <c r="E20" s="27">
        <f t="shared" si="2"/>
        <v>6</v>
      </c>
      <c r="F20" s="27">
        <f t="shared" si="3"/>
        <v>6</v>
      </c>
      <c r="G20" s="27">
        <f t="shared" si="4"/>
        <v>9</v>
      </c>
      <c r="H20" s="27">
        <f t="shared" si="5"/>
        <v>9</v>
      </c>
      <c r="I20" s="28">
        <f t="shared" si="6"/>
        <v>19</v>
      </c>
      <c r="K20" s="36" t="s">
        <v>71</v>
      </c>
      <c r="L20" s="36">
        <f>Luis!Q$11</f>
        <v>375</v>
      </c>
      <c r="M20" s="36"/>
      <c r="N20" s="36"/>
      <c r="O20" s="37" t="s">
        <v>84</v>
      </c>
      <c r="P20" s="33">
        <f>Ivani!Q$11</f>
        <v>345</v>
      </c>
      <c r="Q20" s="22">
        <v>4</v>
      </c>
      <c r="R20" s="22">
        <v>6</v>
      </c>
      <c r="S20" s="22">
        <v>12</v>
      </c>
      <c r="T20" s="22">
        <v>7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370</v>
      </c>
      <c r="E21" s="27">
        <f t="shared" si="2"/>
        <v>2</v>
      </c>
      <c r="F21" s="27">
        <f t="shared" si="3"/>
        <v>9</v>
      </c>
      <c r="G21" s="27">
        <f t="shared" si="4"/>
        <v>13</v>
      </c>
      <c r="H21" s="27">
        <f t="shared" si="5"/>
        <v>11</v>
      </c>
      <c r="I21" s="28">
        <f t="shared" si="6"/>
        <v>14</v>
      </c>
      <c r="K21" s="36" t="s">
        <v>72</v>
      </c>
      <c r="L21" s="36">
        <f>Gabriel!Q$11</f>
        <v>370</v>
      </c>
      <c r="M21" s="36"/>
      <c r="N21" s="36"/>
      <c r="O21" s="37" t="s">
        <v>85</v>
      </c>
      <c r="P21" s="33">
        <f>Josimar!Q$11</f>
        <v>335</v>
      </c>
      <c r="Q21" s="22">
        <v>3</v>
      </c>
      <c r="R21" s="22">
        <v>10</v>
      </c>
      <c r="S21" s="22">
        <v>5</v>
      </c>
      <c r="T21" s="22">
        <v>12</v>
      </c>
      <c r="U21" s="22">
        <v>19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345</v>
      </c>
      <c r="E22" s="27">
        <f t="shared" si="2"/>
        <v>4</v>
      </c>
      <c r="F22" s="27">
        <f t="shared" si="3"/>
        <v>6</v>
      </c>
      <c r="G22" s="27">
        <f t="shared" si="4"/>
        <v>12</v>
      </c>
      <c r="H22" s="27">
        <f t="shared" si="5"/>
        <v>7</v>
      </c>
      <c r="I22" s="28">
        <f t="shared" si="6"/>
        <v>21</v>
      </c>
      <c r="K22" s="36" t="s">
        <v>84</v>
      </c>
      <c r="L22" s="36">
        <f>Ivani!Q$11</f>
        <v>345</v>
      </c>
      <c r="M22" s="36"/>
      <c r="N22" s="36"/>
      <c r="O22" s="37" t="s">
        <v>86</v>
      </c>
      <c r="P22" s="33">
        <f>Julio!Q$11</f>
        <v>410</v>
      </c>
      <c r="Q22" s="22">
        <v>3</v>
      </c>
      <c r="R22" s="22">
        <v>11</v>
      </c>
      <c r="S22" s="22">
        <v>14</v>
      </c>
      <c r="T22" s="22">
        <v>6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335</v>
      </c>
      <c r="E23" s="27">
        <f t="shared" si="2"/>
        <v>3</v>
      </c>
      <c r="F23" s="27">
        <f t="shared" si="3"/>
        <v>6</v>
      </c>
      <c r="G23" s="27">
        <f t="shared" si="4"/>
        <v>10</v>
      </c>
      <c r="H23" s="27">
        <f t="shared" si="5"/>
        <v>14</v>
      </c>
      <c r="I23" s="28">
        <f t="shared" si="6"/>
        <v>16</v>
      </c>
      <c r="K23" s="36" t="s">
        <v>82</v>
      </c>
      <c r="L23" s="36">
        <f>Joseir_1!Q$11</f>
        <v>335</v>
      </c>
      <c r="M23" s="36"/>
      <c r="N23" s="36"/>
      <c r="O23" s="37" t="s">
        <v>87</v>
      </c>
      <c r="P23" s="33">
        <f>Talita!Q$11</f>
        <v>430</v>
      </c>
      <c r="Q23" s="22">
        <v>6</v>
      </c>
      <c r="R23" s="22">
        <v>8</v>
      </c>
      <c r="S23" s="22">
        <v>9</v>
      </c>
      <c r="T23" s="22">
        <v>14</v>
      </c>
      <c r="U23" s="22">
        <v>12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335</v>
      </c>
      <c r="E24" s="27">
        <f t="shared" si="2"/>
        <v>3</v>
      </c>
      <c r="F24" s="27">
        <f t="shared" si="3"/>
        <v>10</v>
      </c>
      <c r="G24" s="27">
        <f t="shared" si="4"/>
        <v>5</v>
      </c>
      <c r="H24" s="27">
        <f t="shared" si="5"/>
        <v>12</v>
      </c>
      <c r="I24" s="28">
        <f t="shared" si="6"/>
        <v>19</v>
      </c>
      <c r="K24" s="36" t="s">
        <v>85</v>
      </c>
      <c r="L24" s="36">
        <f>Josimar!Q$11</f>
        <v>335</v>
      </c>
      <c r="M24" s="36"/>
      <c r="N24" s="36"/>
      <c r="O24" s="37" t="s">
        <v>88</v>
      </c>
      <c r="P24" s="33">
        <f>Anderson!Q$11</f>
        <v>405</v>
      </c>
      <c r="Q24" s="22">
        <v>4</v>
      </c>
      <c r="R24" s="22">
        <v>10</v>
      </c>
      <c r="S24" s="22">
        <v>11</v>
      </c>
      <c r="T24" s="22">
        <v>9</v>
      </c>
      <c r="U24" s="22">
        <v>15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270</v>
      </c>
      <c r="E25" s="29">
        <f t="shared" si="2"/>
        <v>1</v>
      </c>
      <c r="F25" s="29">
        <f t="shared" si="3"/>
        <v>3</v>
      </c>
      <c r="G25" s="29">
        <f t="shared" si="4"/>
        <v>15</v>
      </c>
      <c r="H25" s="29">
        <f t="shared" si="5"/>
        <v>10</v>
      </c>
      <c r="I25" s="30">
        <f t="shared" si="6"/>
        <v>20</v>
      </c>
      <c r="K25" s="36" t="s">
        <v>81</v>
      </c>
      <c r="L25" s="36">
        <f>Andréia!Q$11</f>
        <v>270</v>
      </c>
      <c r="M25" s="36"/>
      <c r="N25" s="36"/>
      <c r="O25" s="37" t="s">
        <v>89</v>
      </c>
      <c r="P25" s="33">
        <f>Cléofaz!Q$11</f>
        <v>425</v>
      </c>
      <c r="Q25" s="22">
        <v>4</v>
      </c>
      <c r="R25" s="22">
        <v>8</v>
      </c>
      <c r="S25" s="22">
        <v>18</v>
      </c>
      <c r="T25" s="22">
        <v>5</v>
      </c>
      <c r="U25" s="22">
        <v>13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/>
      <c r="C28" s="6"/>
      <c r="D28" s="6"/>
      <c r="E28" s="6"/>
      <c r="F28" s="69"/>
    </row>
    <row r="36" spans="2:10" x14ac:dyDescent="0.25">
      <c r="B36" s="79"/>
      <c r="C36" s="79"/>
      <c r="D36" s="79"/>
      <c r="E36" s="53"/>
      <c r="F36" s="53"/>
      <c r="G36" s="53"/>
      <c r="H36" s="79"/>
      <c r="I36" s="79"/>
      <c r="J36" s="79"/>
    </row>
    <row r="42" spans="2:10" x14ac:dyDescent="0.25">
      <c r="B42" s="79"/>
      <c r="C42" s="79"/>
      <c r="D42" s="79"/>
      <c r="E42" s="53"/>
      <c r="F42" s="53"/>
      <c r="G42" s="53"/>
      <c r="H42" s="79"/>
      <c r="I42" s="79"/>
      <c r="J42" s="79"/>
    </row>
    <row r="48" spans="2:10" x14ac:dyDescent="0.25">
      <c r="B48" s="79"/>
      <c r="C48" s="79"/>
      <c r="D48" s="79"/>
      <c r="E48" s="53"/>
      <c r="F48" s="53"/>
      <c r="G48" s="53"/>
      <c r="H48" s="79"/>
      <c r="I48" s="79"/>
      <c r="J48" s="79"/>
    </row>
    <row r="54" spans="2:10" x14ac:dyDescent="0.25">
      <c r="B54" s="79"/>
      <c r="C54" s="79"/>
      <c r="D54" s="79"/>
      <c r="E54" s="53"/>
      <c r="F54" s="53"/>
      <c r="G54" s="53"/>
      <c r="H54" s="79"/>
      <c r="I54" s="79"/>
      <c r="J54" s="79"/>
    </row>
    <row r="55" spans="2:10" x14ac:dyDescent="0.25">
      <c r="B55" s="79"/>
      <c r="C55" s="79"/>
      <c r="D55" s="79"/>
      <c r="E55" s="53"/>
      <c r="F55" s="53"/>
      <c r="G55" s="53"/>
      <c r="H55" s="79"/>
      <c r="I55" s="79"/>
      <c r="J55" s="79"/>
    </row>
    <row r="60" spans="2:10" x14ac:dyDescent="0.25">
      <c r="B60" s="79"/>
      <c r="C60" s="79"/>
      <c r="D60" s="79"/>
      <c r="E60" s="53"/>
      <c r="F60" s="53"/>
      <c r="G60" s="53"/>
      <c r="H60" s="79"/>
      <c r="I60" s="79"/>
      <c r="J60" s="79"/>
    </row>
    <row r="61" spans="2:10" x14ac:dyDescent="0.25">
      <c r="B61" s="79"/>
      <c r="C61" s="79"/>
      <c r="D61" s="79"/>
      <c r="E61" s="53"/>
      <c r="F61" s="53"/>
      <c r="G61" s="53"/>
      <c r="H61" s="79"/>
      <c r="I61" s="79"/>
      <c r="J61" s="79"/>
    </row>
    <row r="66" spans="2:10" x14ac:dyDescent="0.25">
      <c r="B66" s="79"/>
      <c r="C66" s="79"/>
      <c r="D66" s="79"/>
      <c r="E66" s="53"/>
      <c r="F66" s="53"/>
      <c r="G66" s="53"/>
      <c r="H66" s="79"/>
      <c r="I66" s="79"/>
      <c r="J66" s="79"/>
    </row>
    <row r="72" spans="2:10" x14ac:dyDescent="0.25">
      <c r="B72" s="79"/>
      <c r="C72" s="79"/>
      <c r="D72" s="79"/>
      <c r="E72" s="53"/>
      <c r="F72" s="53"/>
      <c r="G72" s="53"/>
      <c r="H72" s="79"/>
      <c r="I72" s="79"/>
      <c r="J72" s="79"/>
    </row>
    <row r="78" spans="2:10" x14ac:dyDescent="0.25">
      <c r="B78" s="79"/>
      <c r="C78" s="79"/>
      <c r="D78" s="79"/>
      <c r="E78" s="53"/>
      <c r="F78" s="53"/>
      <c r="G78" s="53"/>
      <c r="H78" s="79"/>
      <c r="I78" s="79"/>
      <c r="J78" s="79"/>
    </row>
    <row r="79" spans="2:10" x14ac:dyDescent="0.25">
      <c r="B79" s="79"/>
      <c r="C79" s="79"/>
      <c r="D79" s="79"/>
      <c r="E79" s="53"/>
      <c r="F79" s="53"/>
      <c r="G79" s="53"/>
      <c r="H79" s="79"/>
      <c r="I79" s="79"/>
      <c r="J79" s="79"/>
    </row>
    <row r="84" spans="2:10" x14ac:dyDescent="0.25">
      <c r="B84" s="79"/>
      <c r="C84" s="79"/>
      <c r="D84" s="79"/>
      <c r="E84" s="53"/>
      <c r="F84" s="53"/>
      <c r="G84" s="53"/>
      <c r="H84" s="79"/>
      <c r="I84" s="79"/>
      <c r="J84" s="79"/>
    </row>
    <row r="85" spans="2:10" x14ac:dyDescent="0.25">
      <c r="B85" s="79"/>
      <c r="C85" s="79"/>
      <c r="D85" s="79"/>
      <c r="E85" s="53"/>
      <c r="F85" s="53"/>
      <c r="G85" s="53"/>
      <c r="H85" s="79"/>
      <c r="I85" s="79"/>
      <c r="J85" s="79"/>
    </row>
    <row r="86" spans="2:10" x14ac:dyDescent="0.25">
      <c r="B86" s="79"/>
      <c r="C86" s="79"/>
      <c r="D86" s="79"/>
      <c r="E86" s="53"/>
      <c r="F86" s="53"/>
      <c r="G86" s="53"/>
      <c r="H86" s="79"/>
      <c r="I86" s="79"/>
      <c r="J86" s="79"/>
    </row>
    <row r="90" spans="2:10" x14ac:dyDescent="0.25">
      <c r="B90" s="79"/>
      <c r="C90" s="79"/>
      <c r="D90" s="79"/>
      <c r="E90" s="53"/>
      <c r="F90" s="53"/>
      <c r="G90" s="53"/>
      <c r="H90" s="79"/>
      <c r="I90" s="79"/>
      <c r="J90" s="79"/>
    </row>
    <row r="91" spans="2:10" x14ac:dyDescent="0.25">
      <c r="B91" s="79"/>
      <c r="C91" s="79"/>
      <c r="D91" s="79"/>
      <c r="E91" s="53"/>
      <c r="F91" s="53"/>
      <c r="G91" s="53"/>
      <c r="H91" s="79"/>
      <c r="I91" s="79"/>
      <c r="J91" s="79"/>
    </row>
    <row r="96" spans="2:10" x14ac:dyDescent="0.25">
      <c r="B96" s="79"/>
      <c r="C96" s="79"/>
      <c r="D96" s="79"/>
      <c r="E96" s="53"/>
      <c r="F96" s="53"/>
      <c r="G96" s="53"/>
      <c r="H96" s="79"/>
      <c r="I96" s="79"/>
      <c r="J96" s="79"/>
    </row>
    <row r="102" spans="2:10" x14ac:dyDescent="0.25">
      <c r="B102" s="79"/>
      <c r="C102" s="79"/>
      <c r="D102" s="79"/>
      <c r="E102" s="53"/>
      <c r="F102" s="53"/>
      <c r="G102" s="53"/>
      <c r="H102" s="79"/>
      <c r="I102" s="79"/>
      <c r="J102" s="79"/>
    </row>
    <row r="103" spans="2:10" x14ac:dyDescent="0.25">
      <c r="B103" s="79"/>
      <c r="C103" s="79"/>
      <c r="D103" s="79"/>
      <c r="E103" s="53"/>
      <c r="F103" s="53"/>
      <c r="G103" s="53"/>
      <c r="H103" s="79"/>
      <c r="I103" s="79"/>
      <c r="J103" s="79"/>
    </row>
    <row r="104" spans="2:10" x14ac:dyDescent="0.25">
      <c r="B104" s="79"/>
      <c r="C104" s="79"/>
      <c r="D104" s="79"/>
      <c r="E104" s="53"/>
      <c r="F104" s="53"/>
      <c r="G104" s="53"/>
      <c r="H104" s="79"/>
      <c r="I104" s="79"/>
      <c r="J104" s="79"/>
    </row>
    <row r="108" spans="2:10" x14ac:dyDescent="0.25">
      <c r="B108" s="79"/>
      <c r="C108" s="79"/>
      <c r="D108" s="79"/>
      <c r="E108" s="53"/>
      <c r="F108" s="53"/>
      <c r="G108" s="53"/>
      <c r="H108" s="79"/>
      <c r="I108" s="79"/>
      <c r="J108" s="79"/>
    </row>
    <row r="109" spans="2:10" x14ac:dyDescent="0.25">
      <c r="B109" s="79"/>
      <c r="C109" s="79"/>
      <c r="D109" s="79"/>
      <c r="E109" s="53"/>
      <c r="F109" s="53"/>
      <c r="G109" s="53"/>
      <c r="H109" s="79"/>
      <c r="I109" s="79"/>
      <c r="J109" s="79"/>
    </row>
    <row r="114" spans="2:10" x14ac:dyDescent="0.25">
      <c r="B114" s="79"/>
      <c r="C114" s="79"/>
      <c r="D114" s="79"/>
      <c r="E114" s="53"/>
      <c r="F114" s="53"/>
      <c r="G114" s="53"/>
      <c r="H114" s="79"/>
      <c r="I114" s="79"/>
      <c r="J114" s="79"/>
    </row>
    <row r="120" spans="2:10" x14ac:dyDescent="0.25">
      <c r="B120" s="79"/>
      <c r="C120" s="79"/>
      <c r="D120" s="79"/>
      <c r="E120" s="53"/>
      <c r="F120" s="53"/>
      <c r="G120" s="53"/>
      <c r="H120" s="79"/>
      <c r="I120" s="79"/>
      <c r="J120" s="79"/>
    </row>
    <row r="121" spans="2:10" x14ac:dyDescent="0.25">
      <c r="B121" s="79"/>
      <c r="C121" s="79"/>
      <c r="D121" s="79"/>
      <c r="E121" s="53"/>
      <c r="F121" s="53"/>
      <c r="G121" s="53"/>
      <c r="H121" s="79"/>
      <c r="I121" s="79"/>
      <c r="J121" s="79"/>
    </row>
    <row r="122" spans="2:10" x14ac:dyDescent="0.25">
      <c r="B122" s="79"/>
      <c r="C122" s="79"/>
      <c r="D122" s="79"/>
      <c r="E122" s="53"/>
      <c r="F122" s="53"/>
      <c r="G122" s="53"/>
      <c r="H122" s="79"/>
      <c r="I122" s="79"/>
      <c r="J122" s="79"/>
    </row>
    <row r="123" spans="2:10" x14ac:dyDescent="0.25">
      <c r="B123" s="79"/>
      <c r="C123" s="79"/>
      <c r="D123" s="79"/>
      <c r="E123" s="53"/>
      <c r="F123" s="53"/>
      <c r="G123" s="53"/>
      <c r="H123" s="79"/>
      <c r="I123" s="79"/>
      <c r="J123" s="79"/>
    </row>
    <row r="126" spans="2:10" x14ac:dyDescent="0.25">
      <c r="B126" s="79"/>
      <c r="C126" s="79"/>
      <c r="D126" s="79"/>
      <c r="E126" s="53"/>
      <c r="F126" s="53"/>
      <c r="G126" s="53"/>
      <c r="H126" s="79"/>
      <c r="I126" s="79"/>
      <c r="J126" s="79"/>
    </row>
    <row r="132" spans="2:10" x14ac:dyDescent="0.25">
      <c r="B132" s="79"/>
      <c r="C132" s="79"/>
      <c r="D132" s="79"/>
      <c r="E132" s="53"/>
      <c r="F132" s="53"/>
      <c r="G132" s="53"/>
      <c r="H132" s="79"/>
      <c r="I132" s="79"/>
      <c r="J132" s="79"/>
    </row>
    <row r="133" spans="2:10" x14ac:dyDescent="0.25">
      <c r="B133" s="79"/>
      <c r="C133" s="79"/>
      <c r="D133" s="79"/>
      <c r="E133" s="53"/>
      <c r="F133" s="53"/>
      <c r="G133" s="53"/>
      <c r="H133" s="79"/>
      <c r="I133" s="79"/>
      <c r="J133" s="79"/>
    </row>
    <row r="136" spans="2:10" x14ac:dyDescent="0.25">
      <c r="B136" s="79"/>
      <c r="C136" s="79"/>
      <c r="D136" s="79"/>
      <c r="E136" s="53"/>
      <c r="F136" s="53"/>
      <c r="G136" s="53"/>
      <c r="H136" s="79"/>
      <c r="I136" s="79"/>
      <c r="J136" s="79"/>
    </row>
    <row r="142" spans="2:10" x14ac:dyDescent="0.25">
      <c r="B142" s="79"/>
      <c r="C142" s="79"/>
      <c r="D142" s="79"/>
      <c r="E142" s="53"/>
      <c r="F142" s="53"/>
      <c r="G142" s="53"/>
      <c r="H142" s="79"/>
      <c r="I142" s="79"/>
      <c r="J142" s="79"/>
    </row>
    <row r="148" spans="2:10" x14ac:dyDescent="0.25">
      <c r="B148" s="79"/>
      <c r="C148" s="79"/>
      <c r="D148" s="79"/>
      <c r="E148" s="53"/>
      <c r="F148" s="53"/>
      <c r="G148" s="53"/>
      <c r="H148" s="79"/>
      <c r="I148" s="79"/>
      <c r="J148" s="79"/>
    </row>
    <row r="154" spans="2:10" x14ac:dyDescent="0.25">
      <c r="B154" s="79"/>
      <c r="C154" s="79"/>
      <c r="D154" s="79"/>
      <c r="E154" s="53"/>
      <c r="F154" s="53"/>
      <c r="G154" s="53"/>
      <c r="H154" s="79"/>
      <c r="I154" s="79"/>
      <c r="J154" s="79"/>
    </row>
    <row r="160" spans="2:10" x14ac:dyDescent="0.25">
      <c r="B160" s="79"/>
      <c r="C160" s="79"/>
      <c r="D160" s="79"/>
      <c r="E160" s="53"/>
      <c r="F160" s="53"/>
      <c r="G160" s="53"/>
      <c r="H160" s="79"/>
      <c r="I160" s="79"/>
      <c r="J160" s="79"/>
    </row>
    <row r="161" spans="2:10" x14ac:dyDescent="0.25">
      <c r="B161" s="79"/>
      <c r="C161" s="79"/>
      <c r="D161" s="79"/>
      <c r="E161" s="53"/>
      <c r="F161" s="53"/>
      <c r="G161" s="53"/>
      <c r="H161" s="79"/>
      <c r="I161" s="79"/>
      <c r="J161" s="79"/>
    </row>
    <row r="166" spans="2:10" x14ac:dyDescent="0.25">
      <c r="B166" s="79"/>
      <c r="C166" s="79"/>
      <c r="D166" s="79"/>
      <c r="E166" s="53"/>
      <c r="F166" s="53"/>
      <c r="G166" s="53"/>
      <c r="H166" s="79"/>
      <c r="I166" s="79"/>
      <c r="J166" s="79"/>
    </row>
    <row r="167" spans="2:10" x14ac:dyDescent="0.25">
      <c r="B167" s="79"/>
      <c r="C167" s="79"/>
      <c r="D167" s="79"/>
      <c r="E167" s="53"/>
      <c r="F167" s="53"/>
      <c r="G167" s="53"/>
      <c r="H167" s="79"/>
      <c r="I167" s="79"/>
      <c r="J167" s="79"/>
    </row>
    <row r="172" spans="2:10" x14ac:dyDescent="0.25">
      <c r="B172" s="79"/>
      <c r="C172" s="79"/>
      <c r="D172" s="79"/>
      <c r="E172" s="53"/>
      <c r="F172" s="53"/>
      <c r="G172" s="53"/>
      <c r="H172" s="79"/>
      <c r="I172" s="79"/>
      <c r="J172" s="79"/>
    </row>
    <row r="178" spans="2:10" x14ac:dyDescent="0.25">
      <c r="B178" s="79"/>
      <c r="C178" s="79"/>
      <c r="D178" s="79"/>
      <c r="E178" s="53"/>
      <c r="F178" s="53"/>
      <c r="G178" s="53"/>
      <c r="H178" s="79"/>
      <c r="I178" s="79"/>
      <c r="J178" s="79"/>
    </row>
    <row r="184" spans="2:10" x14ac:dyDescent="0.25">
      <c r="B184" s="79"/>
      <c r="C184" s="79"/>
      <c r="D184" s="79"/>
      <c r="E184" s="53"/>
      <c r="F184" s="53"/>
      <c r="G184" s="53"/>
      <c r="H184" s="79"/>
      <c r="I184" s="79"/>
      <c r="J184" s="79"/>
    </row>
    <row r="185" spans="2:10" x14ac:dyDescent="0.25">
      <c r="B185" s="79"/>
      <c r="C185" s="79"/>
      <c r="D185" s="79"/>
      <c r="E185" s="53"/>
      <c r="F185" s="53"/>
      <c r="G185" s="53"/>
      <c r="H185" s="79"/>
      <c r="I185" s="79"/>
      <c r="J185" s="79"/>
    </row>
    <row r="190" spans="2:10" x14ac:dyDescent="0.25">
      <c r="B190" s="79"/>
      <c r="C190" s="79"/>
      <c r="D190" s="79"/>
      <c r="E190" s="53"/>
      <c r="F190" s="53"/>
      <c r="G190" s="53"/>
      <c r="H190" s="79"/>
      <c r="I190" s="79"/>
      <c r="J190" s="79"/>
    </row>
    <row r="191" spans="2:10" x14ac:dyDescent="0.25">
      <c r="B191" s="79"/>
      <c r="C191" s="79"/>
      <c r="D191" s="79"/>
      <c r="E191" s="53"/>
      <c r="F191" s="53"/>
      <c r="G191" s="53"/>
      <c r="H191" s="79"/>
      <c r="I191" s="79"/>
      <c r="J191" s="79"/>
    </row>
    <row r="192" spans="2:10" x14ac:dyDescent="0.25">
      <c r="B192" s="79"/>
      <c r="C192" s="79"/>
      <c r="D192" s="79"/>
      <c r="E192" s="53"/>
      <c r="F192" s="53"/>
      <c r="G192" s="53"/>
      <c r="H192" s="79"/>
      <c r="I192" s="79"/>
      <c r="J192" s="79"/>
    </row>
    <row r="196" spans="2:10" x14ac:dyDescent="0.25">
      <c r="B196" s="79"/>
      <c r="C196" s="79"/>
      <c r="D196" s="79"/>
      <c r="E196" s="53"/>
      <c r="F196" s="53"/>
      <c r="G196" s="53"/>
      <c r="H196" s="79"/>
      <c r="I196" s="79"/>
      <c r="J196" s="79"/>
    </row>
    <row r="197" spans="2:10" x14ac:dyDescent="0.25">
      <c r="B197" s="79"/>
      <c r="C197" s="79"/>
      <c r="D197" s="79"/>
      <c r="E197" s="53"/>
      <c r="F197" s="53"/>
      <c r="G197" s="53"/>
      <c r="H197" s="79"/>
      <c r="I197" s="79"/>
      <c r="J197" s="79"/>
    </row>
    <row r="202" spans="2:10" x14ac:dyDescent="0.25">
      <c r="B202" s="79"/>
      <c r="C202" s="79"/>
      <c r="D202" s="79"/>
      <c r="E202" s="53"/>
      <c r="F202" s="53"/>
      <c r="G202" s="53"/>
      <c r="H202" s="79"/>
      <c r="I202" s="79"/>
      <c r="J202" s="79"/>
    </row>
    <row r="208" spans="2:10" x14ac:dyDescent="0.25">
      <c r="B208" s="79"/>
      <c r="C208" s="79"/>
      <c r="D208" s="79"/>
      <c r="E208" s="53"/>
      <c r="F208" s="53"/>
      <c r="G208" s="53"/>
      <c r="H208" s="79"/>
      <c r="I208" s="79"/>
      <c r="J208" s="79"/>
    </row>
    <row r="209" spans="2:10" x14ac:dyDescent="0.25">
      <c r="B209" s="79"/>
      <c r="C209" s="79"/>
      <c r="D209" s="79"/>
      <c r="E209" s="53"/>
      <c r="F209" s="53"/>
      <c r="G209" s="53"/>
      <c r="H209" s="79"/>
      <c r="I209" s="79"/>
      <c r="J209" s="79"/>
    </row>
    <row r="210" spans="2:10" x14ac:dyDescent="0.25">
      <c r="B210" s="79"/>
      <c r="C210" s="79"/>
      <c r="D210" s="79"/>
      <c r="E210" s="53"/>
      <c r="F210" s="53"/>
      <c r="G210" s="53"/>
      <c r="H210" s="79"/>
      <c r="I210" s="79"/>
      <c r="J210" s="79"/>
    </row>
    <row r="214" spans="2:10" x14ac:dyDescent="0.25">
      <c r="B214" s="79"/>
      <c r="C214" s="79"/>
      <c r="D214" s="79"/>
      <c r="E214" s="53"/>
      <c r="F214" s="53"/>
      <c r="G214" s="53"/>
      <c r="H214" s="79"/>
      <c r="I214" s="79"/>
      <c r="J214" s="79"/>
    </row>
    <row r="215" spans="2:10" x14ac:dyDescent="0.25">
      <c r="B215" s="79"/>
      <c r="C215" s="79"/>
      <c r="D215" s="79"/>
      <c r="E215" s="53"/>
      <c r="F215" s="53"/>
      <c r="G215" s="53"/>
      <c r="H215" s="79"/>
      <c r="I215" s="79"/>
      <c r="J215" s="79"/>
    </row>
    <row r="220" spans="2:10" x14ac:dyDescent="0.25">
      <c r="B220" s="79"/>
      <c r="C220" s="79"/>
      <c r="D220" s="79"/>
      <c r="E220" s="53"/>
      <c r="F220" s="53"/>
      <c r="G220" s="53"/>
      <c r="H220" s="79"/>
      <c r="I220" s="79"/>
      <c r="J220" s="79"/>
    </row>
    <row r="226" spans="2:10" x14ac:dyDescent="0.25">
      <c r="B226" s="79"/>
      <c r="C226" s="79"/>
      <c r="D226" s="79"/>
      <c r="E226" s="53"/>
      <c r="F226" s="53"/>
      <c r="G226" s="53"/>
      <c r="H226" s="79"/>
      <c r="I226" s="79"/>
      <c r="J226" s="79"/>
    </row>
    <row r="227" spans="2:10" x14ac:dyDescent="0.25">
      <c r="B227" s="79"/>
      <c r="C227" s="79"/>
      <c r="D227" s="79"/>
      <c r="E227" s="53"/>
      <c r="F227" s="53"/>
      <c r="G227" s="53"/>
      <c r="H227" s="79"/>
      <c r="I227" s="79"/>
      <c r="J227" s="79"/>
    </row>
    <row r="228" spans="2:10" x14ac:dyDescent="0.25">
      <c r="B228" s="79"/>
      <c r="C228" s="79"/>
      <c r="D228" s="79"/>
      <c r="E228" s="53"/>
      <c r="F228" s="53"/>
      <c r="G228" s="53"/>
      <c r="H228" s="79"/>
      <c r="I228" s="79"/>
      <c r="J228" s="79"/>
    </row>
    <row r="229" spans="2:10" x14ac:dyDescent="0.25">
      <c r="B229" s="79"/>
      <c r="C229" s="79"/>
      <c r="D229" s="79"/>
      <c r="E229" s="53"/>
      <c r="F229" s="53"/>
      <c r="G229" s="53"/>
      <c r="H229" s="79"/>
      <c r="I229" s="79"/>
      <c r="J229" s="79"/>
    </row>
    <row r="232" spans="2:10" x14ac:dyDescent="0.25">
      <c r="B232" s="79"/>
      <c r="C232" s="79"/>
      <c r="D232" s="79"/>
      <c r="E232" s="53"/>
      <c r="F232" s="53"/>
      <c r="G232" s="53"/>
      <c r="H232" s="79"/>
      <c r="I232" s="79"/>
      <c r="J232" s="79"/>
    </row>
    <row r="238" spans="2:10" x14ac:dyDescent="0.25">
      <c r="B238" s="79"/>
      <c r="C238" s="79"/>
      <c r="D238" s="79"/>
      <c r="E238" s="53"/>
      <c r="F238" s="53"/>
      <c r="G238" s="53"/>
      <c r="H238" s="79"/>
      <c r="I238" s="79"/>
      <c r="J238" s="79"/>
    </row>
    <row r="239" spans="2:10" x14ac:dyDescent="0.25">
      <c r="B239" s="79"/>
      <c r="C239" s="79"/>
      <c r="D239" s="79"/>
      <c r="E239" s="53"/>
      <c r="F239" s="53"/>
      <c r="G239" s="53"/>
      <c r="H239" s="79"/>
      <c r="I239" s="79"/>
      <c r="J239" s="79"/>
    </row>
    <row r="244" spans="2:10" x14ac:dyDescent="0.25">
      <c r="B244" s="79"/>
      <c r="C244" s="79"/>
      <c r="D244" s="79"/>
      <c r="E244" s="53"/>
      <c r="F244" s="53"/>
      <c r="G244" s="53"/>
      <c r="H244" s="79"/>
      <c r="I244" s="79"/>
      <c r="J244" s="79"/>
    </row>
    <row r="245" spans="2:10" x14ac:dyDescent="0.25">
      <c r="B245" s="79"/>
      <c r="C245" s="79"/>
      <c r="D245" s="79"/>
      <c r="E245" s="53"/>
      <c r="F245" s="53"/>
      <c r="G245" s="53"/>
      <c r="H245" s="79"/>
      <c r="I245" s="79"/>
      <c r="J245" s="79"/>
    </row>
    <row r="246" spans="2:10" x14ac:dyDescent="0.25">
      <c r="B246" s="79"/>
      <c r="C246" s="79"/>
      <c r="D246" s="79"/>
      <c r="E246" s="53"/>
      <c r="F246" s="53"/>
      <c r="G246" s="53"/>
      <c r="H246" s="79"/>
      <c r="I246" s="79"/>
      <c r="J246" s="79"/>
    </row>
    <row r="247" spans="2:10" x14ac:dyDescent="0.25">
      <c r="B247" s="79"/>
      <c r="C247" s="79"/>
      <c r="D247" s="79"/>
      <c r="E247" s="53"/>
      <c r="F247" s="53"/>
      <c r="G247" s="53"/>
      <c r="H247" s="79"/>
      <c r="I247" s="79"/>
      <c r="J247" s="79"/>
    </row>
    <row r="250" spans="2:10" x14ac:dyDescent="0.25">
      <c r="B250" s="79"/>
      <c r="C250" s="79"/>
      <c r="D250" s="79"/>
      <c r="E250" s="52"/>
      <c r="F250" s="52"/>
      <c r="G250" s="52"/>
      <c r="H250" s="79"/>
      <c r="I250" s="79"/>
      <c r="J250" s="79"/>
    </row>
    <row r="256" spans="2:10" x14ac:dyDescent="0.25">
      <c r="B256" s="79"/>
      <c r="C256" s="79"/>
      <c r="D256" s="79"/>
      <c r="E256" s="52"/>
      <c r="F256" s="52"/>
      <c r="G256" s="52"/>
      <c r="H256" s="79"/>
      <c r="I256" s="79"/>
      <c r="J256" s="79"/>
    </row>
    <row r="262" spans="2:10" x14ac:dyDescent="0.25">
      <c r="B262" s="79"/>
      <c r="C262" s="79"/>
      <c r="D262" s="79"/>
      <c r="E262" s="52"/>
      <c r="F262" s="52"/>
      <c r="G262" s="52"/>
      <c r="H262" s="79"/>
      <c r="I262" s="79"/>
      <c r="J262" s="79"/>
    </row>
    <row r="268" spans="2:10" x14ac:dyDescent="0.25">
      <c r="B268" s="79"/>
      <c r="C268" s="79"/>
      <c r="D268" s="79"/>
      <c r="E268" s="52"/>
      <c r="F268" s="52"/>
      <c r="G268" s="52"/>
      <c r="H268" s="79"/>
      <c r="I268" s="79"/>
      <c r="J268" s="79"/>
    </row>
    <row r="274" spans="2:10" x14ac:dyDescent="0.25">
      <c r="B274" s="79"/>
      <c r="C274" s="79"/>
      <c r="D274" s="79"/>
      <c r="E274" s="52"/>
      <c r="F274" s="52"/>
      <c r="G274" s="52"/>
      <c r="H274" s="79"/>
      <c r="I274" s="79"/>
      <c r="J274" s="79"/>
    </row>
    <row r="275" spans="2:10" x14ac:dyDescent="0.25">
      <c r="B275" s="79"/>
      <c r="C275" s="79"/>
      <c r="D275" s="79"/>
      <c r="E275" s="52"/>
      <c r="F275" s="52"/>
      <c r="G275" s="52"/>
      <c r="H275" s="79"/>
      <c r="I275" s="79"/>
      <c r="J275" s="79"/>
    </row>
    <row r="280" spans="2:10" x14ac:dyDescent="0.25">
      <c r="B280" s="79"/>
      <c r="C280" s="79"/>
      <c r="D280" s="79"/>
      <c r="E280" s="52"/>
      <c r="F280" s="52"/>
      <c r="G280" s="52"/>
      <c r="H280" s="79"/>
      <c r="I280" s="79"/>
      <c r="J280" s="79"/>
    </row>
    <row r="281" spans="2:10" x14ac:dyDescent="0.25">
      <c r="B281" s="79"/>
      <c r="C281" s="79"/>
      <c r="D281" s="79"/>
      <c r="E281" s="52"/>
      <c r="F281" s="52"/>
      <c r="G281" s="52"/>
      <c r="H281" s="79"/>
      <c r="I281" s="79"/>
      <c r="J281" s="79"/>
    </row>
    <row r="286" spans="2:10" x14ac:dyDescent="0.25">
      <c r="B286" s="79"/>
      <c r="C286" s="79"/>
      <c r="D286" s="79"/>
      <c r="E286" s="52"/>
      <c r="F286" s="52"/>
      <c r="G286" s="52"/>
      <c r="H286" s="79"/>
      <c r="I286" s="79"/>
      <c r="J286" s="79"/>
    </row>
    <row r="292" spans="2:10" x14ac:dyDescent="0.25">
      <c r="B292" s="79"/>
      <c r="C292" s="79"/>
      <c r="D292" s="79"/>
      <c r="E292" s="52"/>
      <c r="F292" s="52"/>
      <c r="G292" s="52"/>
      <c r="H292" s="79"/>
      <c r="I292" s="79"/>
      <c r="J292" s="79"/>
    </row>
    <row r="298" spans="2:10" x14ac:dyDescent="0.25">
      <c r="B298" s="79"/>
      <c r="C298" s="79"/>
      <c r="D298" s="79"/>
      <c r="E298" s="52"/>
      <c r="F298" s="52"/>
      <c r="G298" s="52"/>
      <c r="H298" s="79"/>
      <c r="I298" s="79"/>
      <c r="J298" s="79"/>
    </row>
    <row r="299" spans="2:10" x14ac:dyDescent="0.25">
      <c r="B299" s="79"/>
      <c r="C299" s="79"/>
      <c r="D299" s="79"/>
      <c r="E299" s="52"/>
      <c r="F299" s="52"/>
      <c r="G299" s="52"/>
      <c r="H299" s="79"/>
      <c r="I299" s="79"/>
      <c r="J299" s="79"/>
    </row>
    <row r="304" spans="2:10" x14ac:dyDescent="0.25">
      <c r="B304" s="79"/>
      <c r="C304" s="79"/>
      <c r="D304" s="79"/>
      <c r="E304" s="52"/>
      <c r="F304" s="52"/>
      <c r="G304" s="52"/>
      <c r="H304" s="79"/>
      <c r="I304" s="79"/>
      <c r="J304" s="79"/>
    </row>
    <row r="305" spans="2:10" x14ac:dyDescent="0.25">
      <c r="B305" s="79"/>
      <c r="C305" s="79"/>
      <c r="D305" s="79"/>
      <c r="E305" s="52"/>
      <c r="F305" s="52"/>
      <c r="G305" s="52"/>
      <c r="H305" s="79"/>
      <c r="I305" s="79"/>
      <c r="J305" s="79"/>
    </row>
    <row r="306" spans="2:10" x14ac:dyDescent="0.25">
      <c r="B306" s="79"/>
      <c r="C306" s="79"/>
      <c r="D306" s="79"/>
      <c r="E306" s="52"/>
      <c r="F306" s="52"/>
      <c r="G306" s="52"/>
      <c r="H306" s="79"/>
      <c r="I306" s="79"/>
      <c r="J306" s="79"/>
    </row>
    <row r="310" spans="2:10" x14ac:dyDescent="0.25">
      <c r="B310" s="79"/>
      <c r="C310" s="79"/>
      <c r="D310" s="79"/>
      <c r="E310" s="52"/>
      <c r="F310" s="52"/>
      <c r="G310" s="52"/>
      <c r="H310" s="79"/>
      <c r="I310" s="79"/>
      <c r="J310" s="79"/>
    </row>
    <row r="311" spans="2:10" x14ac:dyDescent="0.25">
      <c r="B311" s="79"/>
      <c r="C311" s="79"/>
      <c r="D311" s="79"/>
      <c r="E311" s="52"/>
      <c r="F311" s="52"/>
      <c r="G311" s="52"/>
      <c r="H311" s="79"/>
      <c r="I311" s="79"/>
      <c r="J311" s="79"/>
    </row>
    <row r="316" spans="2:10" x14ac:dyDescent="0.25">
      <c r="B316" s="79"/>
      <c r="C316" s="79"/>
      <c r="D316" s="79"/>
      <c r="E316" s="52"/>
      <c r="F316" s="52"/>
      <c r="G316" s="52"/>
      <c r="H316" s="79"/>
      <c r="I316" s="79"/>
      <c r="J316" s="79"/>
    </row>
    <row r="322" spans="2:10" x14ac:dyDescent="0.25">
      <c r="B322" s="79"/>
      <c r="C322" s="79"/>
      <c r="D322" s="79"/>
      <c r="E322" s="52"/>
      <c r="F322" s="52"/>
      <c r="G322" s="52"/>
      <c r="H322" s="79"/>
      <c r="I322" s="79"/>
      <c r="J322" s="79"/>
    </row>
    <row r="323" spans="2:10" x14ac:dyDescent="0.25">
      <c r="B323" s="79"/>
      <c r="C323" s="79"/>
      <c r="D323" s="79"/>
      <c r="E323" s="52"/>
      <c r="F323" s="52"/>
      <c r="G323" s="52"/>
      <c r="H323" s="79"/>
      <c r="I323" s="79"/>
      <c r="J323" s="79"/>
    </row>
    <row r="324" spans="2:10" x14ac:dyDescent="0.25">
      <c r="B324" s="79"/>
      <c r="C324" s="79"/>
      <c r="D324" s="79"/>
      <c r="E324" s="52"/>
      <c r="F324" s="52"/>
      <c r="G324" s="52"/>
      <c r="H324" s="79"/>
      <c r="I324" s="79"/>
      <c r="J324" s="79"/>
    </row>
    <row r="328" spans="2:10" x14ac:dyDescent="0.25">
      <c r="B328" s="79"/>
      <c r="C328" s="79"/>
      <c r="D328" s="79"/>
      <c r="E328" s="52"/>
      <c r="F328" s="52"/>
      <c r="G328" s="52"/>
      <c r="H328" s="79"/>
      <c r="I328" s="79"/>
      <c r="J328" s="79"/>
    </row>
    <row r="329" spans="2:10" x14ac:dyDescent="0.25">
      <c r="B329" s="79"/>
      <c r="C329" s="79"/>
      <c r="D329" s="79"/>
      <c r="E329" s="52"/>
      <c r="F329" s="52"/>
      <c r="G329" s="52"/>
      <c r="H329" s="79"/>
      <c r="I329" s="79"/>
      <c r="J329" s="79"/>
    </row>
    <row r="334" spans="2:10" x14ac:dyDescent="0.25">
      <c r="B334" s="79"/>
      <c r="C334" s="79"/>
      <c r="D334" s="79"/>
      <c r="E334" s="52"/>
      <c r="F334" s="52"/>
      <c r="G334" s="52"/>
      <c r="H334" s="79"/>
      <c r="I334" s="79"/>
      <c r="J334" s="79"/>
    </row>
    <row r="340" spans="2:10" x14ac:dyDescent="0.25">
      <c r="B340" s="79"/>
      <c r="C340" s="79"/>
      <c r="D340" s="79"/>
      <c r="E340" s="52"/>
      <c r="F340" s="52"/>
      <c r="G340" s="52"/>
      <c r="H340" s="79"/>
      <c r="I340" s="79"/>
      <c r="J340" s="79"/>
    </row>
    <row r="341" spans="2:10" x14ac:dyDescent="0.25">
      <c r="B341" s="79"/>
      <c r="C341" s="79"/>
      <c r="D341" s="79"/>
      <c r="E341" s="52"/>
      <c r="F341" s="52"/>
      <c r="G341" s="52"/>
      <c r="H341" s="79"/>
      <c r="I341" s="79"/>
      <c r="J341" s="79"/>
    </row>
    <row r="342" spans="2:10" x14ac:dyDescent="0.25">
      <c r="B342" s="79"/>
      <c r="C342" s="79"/>
      <c r="D342" s="79"/>
      <c r="E342" s="52"/>
      <c r="F342" s="52"/>
      <c r="G342" s="52"/>
      <c r="H342" s="79"/>
      <c r="I342" s="79"/>
      <c r="J342" s="79"/>
    </row>
    <row r="343" spans="2:10" x14ac:dyDescent="0.25">
      <c r="B343" s="79"/>
      <c r="C343" s="79"/>
      <c r="D343" s="79"/>
      <c r="E343" s="52"/>
      <c r="F343" s="52"/>
      <c r="G343" s="52"/>
      <c r="H343" s="79"/>
      <c r="I343" s="79"/>
      <c r="J343" s="79"/>
    </row>
    <row r="346" spans="2:10" x14ac:dyDescent="0.25">
      <c r="B346" s="79"/>
      <c r="C346" s="79"/>
      <c r="D346" s="79"/>
      <c r="E346" s="52"/>
      <c r="F346" s="52"/>
      <c r="G346" s="52"/>
      <c r="H346" s="79"/>
      <c r="I346" s="79"/>
      <c r="J346" s="79"/>
    </row>
    <row r="352" spans="2:10" x14ac:dyDescent="0.25">
      <c r="B352" s="79"/>
      <c r="C352" s="79"/>
      <c r="D352" s="79"/>
      <c r="E352" s="52"/>
      <c r="F352" s="52"/>
      <c r="G352" s="52"/>
      <c r="H352" s="79"/>
      <c r="I352" s="79"/>
      <c r="J352" s="79"/>
    </row>
    <row r="353" spans="2:10" x14ac:dyDescent="0.25">
      <c r="B353" s="79"/>
      <c r="C353" s="79"/>
      <c r="D353" s="79"/>
      <c r="E353" s="52"/>
      <c r="F353" s="52"/>
      <c r="G353" s="52"/>
      <c r="H353" s="79"/>
      <c r="I353" s="79"/>
      <c r="J353" s="79"/>
    </row>
    <row r="355" spans="2:10" x14ac:dyDescent="0.25">
      <c r="B355" s="79"/>
      <c r="C355" s="79"/>
      <c r="D355" s="79"/>
      <c r="E355" s="52"/>
      <c r="F355" s="52"/>
      <c r="G355" s="52"/>
      <c r="H355" s="79"/>
      <c r="I355" s="79"/>
      <c r="J355" s="79"/>
    </row>
    <row r="361" spans="2:10" x14ac:dyDescent="0.25">
      <c r="B361" s="79"/>
      <c r="C361" s="79"/>
      <c r="D361" s="79"/>
      <c r="E361" s="52"/>
      <c r="F361" s="52"/>
      <c r="G361" s="52"/>
      <c r="H361" s="79"/>
      <c r="I361" s="79"/>
      <c r="J361" s="79"/>
    </row>
    <row r="362" spans="2:10" x14ac:dyDescent="0.25">
      <c r="B362" s="79"/>
      <c r="C362" s="79"/>
      <c r="D362" s="79"/>
      <c r="E362" s="52"/>
      <c r="F362" s="52"/>
      <c r="G362" s="52"/>
      <c r="H362" s="79"/>
      <c r="I362" s="79"/>
      <c r="J362" s="79"/>
    </row>
    <row r="367" spans="2:10" x14ac:dyDescent="0.25">
      <c r="B367" s="79"/>
      <c r="C367" s="79"/>
      <c r="D367" s="79"/>
      <c r="E367" s="52"/>
      <c r="F367" s="52"/>
      <c r="G367" s="52"/>
      <c r="H367" s="79"/>
      <c r="I367" s="79"/>
      <c r="J367" s="79"/>
    </row>
    <row r="368" spans="2:10" x14ac:dyDescent="0.25">
      <c r="B368" s="79"/>
      <c r="C368" s="79"/>
      <c r="D368" s="79"/>
      <c r="E368" s="52"/>
      <c r="F368" s="52"/>
      <c r="G368" s="52"/>
      <c r="H368" s="79"/>
      <c r="I368" s="79"/>
      <c r="J368" s="79"/>
    </row>
    <row r="369" spans="2:10" x14ac:dyDescent="0.25">
      <c r="B369" s="79"/>
      <c r="C369" s="79"/>
      <c r="D369" s="79"/>
      <c r="E369" s="52"/>
      <c r="F369" s="52"/>
      <c r="G369" s="52"/>
      <c r="H369" s="79"/>
      <c r="I369" s="79"/>
      <c r="J369" s="79"/>
    </row>
    <row r="370" spans="2:10" x14ac:dyDescent="0.25">
      <c r="B370" s="79"/>
      <c r="C370" s="79"/>
      <c r="D370" s="79"/>
      <c r="E370" s="52"/>
      <c r="F370" s="52"/>
      <c r="G370" s="52"/>
      <c r="H370" s="79"/>
      <c r="I370" s="79"/>
      <c r="J370" s="79"/>
    </row>
    <row r="371" spans="2:10" x14ac:dyDescent="0.25">
      <c r="B371" s="79"/>
      <c r="C371" s="79"/>
      <c r="D371" s="79"/>
      <c r="E371" s="52"/>
      <c r="F371" s="52"/>
      <c r="G371" s="52"/>
      <c r="H371" s="79"/>
      <c r="I371" s="79"/>
      <c r="J371" s="79"/>
    </row>
    <row r="372" spans="2:10" x14ac:dyDescent="0.25">
      <c r="B372" s="79"/>
      <c r="C372" s="79"/>
      <c r="D372" s="79"/>
      <c r="E372" s="52"/>
      <c r="F372" s="52"/>
      <c r="G372" s="52"/>
      <c r="H372" s="79"/>
      <c r="I372" s="79"/>
      <c r="J372" s="79"/>
    </row>
    <row r="373" spans="2:10" x14ac:dyDescent="0.25">
      <c r="B373" s="79"/>
      <c r="C373" s="79"/>
      <c r="D373" s="79"/>
      <c r="E373" s="52"/>
      <c r="F373" s="52"/>
      <c r="G373" s="52"/>
      <c r="H373" s="79"/>
      <c r="I373" s="79"/>
      <c r="J373" s="79"/>
    </row>
    <row r="374" spans="2:10" x14ac:dyDescent="0.25">
      <c r="B374" s="79"/>
      <c r="C374" s="79"/>
      <c r="D374" s="79"/>
      <c r="E374" s="52"/>
      <c r="F374" s="52"/>
      <c r="G374" s="52"/>
      <c r="H374" s="79"/>
      <c r="I374" s="79"/>
      <c r="J374" s="79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5" zoomScale="85" zoomScaleNormal="85" workbookViewId="0">
      <selection activeCell="X42" sqref="X42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90" t="s">
        <v>40</v>
      </c>
      <c r="B1" s="91"/>
      <c r="C1" s="91"/>
      <c r="D1" s="91"/>
      <c r="E1" s="91"/>
      <c r="F1" s="91"/>
      <c r="G1" s="91"/>
      <c r="H1" s="91"/>
      <c r="I1" s="91"/>
      <c r="J1" s="91"/>
      <c r="K1" s="92"/>
    </row>
    <row r="2" spans="1:24" ht="16.5" thickTop="1" x14ac:dyDescent="0.25">
      <c r="A2" s="95" t="s">
        <v>0</v>
      </c>
      <c r="B2" s="88"/>
      <c r="C2" s="88"/>
      <c r="D2" s="88"/>
      <c r="E2" s="88"/>
      <c r="F2" s="24"/>
      <c r="G2" s="88" t="s">
        <v>36</v>
      </c>
      <c r="H2" s="88"/>
      <c r="I2" s="88"/>
      <c r="J2" s="88"/>
      <c r="K2" s="89"/>
      <c r="O2" s="93" t="s">
        <v>35</v>
      </c>
      <c r="P2" s="94"/>
      <c r="R2" s="111" t="s">
        <v>44</v>
      </c>
      <c r="S2" s="112"/>
      <c r="T2" s="113"/>
      <c r="V2" s="108" t="s">
        <v>45</v>
      </c>
      <c r="W2" s="109"/>
      <c r="X2" s="110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96">
        <v>50</v>
      </c>
      <c r="S3" s="97"/>
      <c r="T3" s="98"/>
      <c r="V3" s="114">
        <v>23</v>
      </c>
      <c r="W3" s="115"/>
      <c r="X3" s="116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96"/>
      <c r="S4" s="97"/>
      <c r="T4" s="98"/>
      <c r="V4" s="114"/>
      <c r="W4" s="115"/>
      <c r="X4" s="116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99"/>
      <c r="S5" s="100"/>
      <c r="T5" s="101"/>
      <c r="V5" s="117"/>
      <c r="W5" s="118"/>
      <c r="X5" s="119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32" t="s">
        <v>48</v>
      </c>
      <c r="S7" s="133"/>
      <c r="T7" s="134"/>
      <c r="V7" s="108" t="s">
        <v>46</v>
      </c>
      <c r="W7" s="109"/>
      <c r="X7" s="110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96">
        <f>V16*0.5</f>
        <v>90</v>
      </c>
      <c r="S8" s="97"/>
      <c r="T8" s="98"/>
      <c r="V8" s="120">
        <v>10</v>
      </c>
      <c r="W8" s="121"/>
      <c r="X8" s="122"/>
    </row>
    <row r="9" spans="1:24" x14ac:dyDescent="0.25">
      <c r="A9" s="95" t="s">
        <v>1</v>
      </c>
      <c r="B9" s="88"/>
      <c r="C9" s="88"/>
      <c r="D9" s="88"/>
      <c r="E9" s="88"/>
      <c r="F9" s="25"/>
      <c r="G9" s="88" t="s">
        <v>37</v>
      </c>
      <c r="H9" s="88"/>
      <c r="I9" s="88"/>
      <c r="J9" s="88"/>
      <c r="K9" s="89"/>
      <c r="O9" s="5" t="s">
        <v>9</v>
      </c>
      <c r="P9" s="9" t="s">
        <v>23</v>
      </c>
      <c r="R9" s="99"/>
      <c r="S9" s="100"/>
      <c r="T9" s="101"/>
      <c r="V9" s="123"/>
      <c r="W9" s="124"/>
      <c r="X9" s="125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29" t="s">
        <v>49</v>
      </c>
      <c r="S11" s="130"/>
      <c r="T11" s="131"/>
      <c r="V11" s="108" t="s">
        <v>47</v>
      </c>
      <c r="W11" s="109"/>
      <c r="X11" s="110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96">
        <f>V16*0.3</f>
        <v>54</v>
      </c>
      <c r="S12" s="97"/>
      <c r="T12" s="98"/>
      <c r="V12" s="102">
        <f>V3*V8</f>
        <v>230</v>
      </c>
      <c r="W12" s="103"/>
      <c r="X12" s="104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99"/>
      <c r="S13" s="100"/>
      <c r="T13" s="101"/>
      <c r="V13" s="105"/>
      <c r="W13" s="106"/>
      <c r="X13" s="107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26" t="s">
        <v>50</v>
      </c>
      <c r="S15" s="127"/>
      <c r="T15" s="128"/>
      <c r="V15" s="108" t="s">
        <v>51</v>
      </c>
      <c r="W15" s="109"/>
      <c r="X15" s="110"/>
    </row>
    <row r="16" spans="1:24" ht="21" customHeight="1" x14ac:dyDescent="0.25">
      <c r="A16" s="95" t="s">
        <v>2</v>
      </c>
      <c r="B16" s="88"/>
      <c r="C16" s="88"/>
      <c r="D16" s="88"/>
      <c r="E16" s="88"/>
      <c r="F16" s="25"/>
      <c r="G16" s="88" t="s">
        <v>38</v>
      </c>
      <c r="H16" s="88"/>
      <c r="I16" s="88"/>
      <c r="J16" s="88"/>
      <c r="K16" s="89"/>
      <c r="O16" s="5" t="s">
        <v>14</v>
      </c>
      <c r="P16" s="9" t="s">
        <v>30</v>
      </c>
      <c r="R16" s="96">
        <f>V16*0.2</f>
        <v>36</v>
      </c>
      <c r="S16" s="97"/>
      <c r="T16" s="98"/>
      <c r="V16" s="102">
        <f>V12-R3</f>
        <v>180</v>
      </c>
      <c r="W16" s="103"/>
      <c r="X16" s="104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99"/>
      <c r="S17" s="100"/>
      <c r="T17" s="101"/>
      <c r="V17" s="105"/>
      <c r="W17" s="106"/>
      <c r="X17" s="107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86" t="s">
        <v>125</v>
      </c>
      <c r="P20" s="86"/>
      <c r="Q20" s="86"/>
      <c r="R20" s="85"/>
      <c r="S20" s="85"/>
      <c r="T20" s="85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86" t="s">
        <v>126</v>
      </c>
      <c r="P21" s="86"/>
      <c r="Q21" s="86"/>
      <c r="R21" s="87"/>
      <c r="S21" s="87"/>
      <c r="T21" s="87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95" t="s">
        <v>3</v>
      </c>
      <c r="B23" s="88"/>
      <c r="C23" s="88"/>
      <c r="D23" s="88"/>
      <c r="E23" s="88"/>
      <c r="F23" s="25"/>
      <c r="G23" s="88" t="s">
        <v>39</v>
      </c>
      <c r="H23" s="88"/>
      <c r="I23" s="88"/>
      <c r="J23" s="88"/>
      <c r="K23" s="89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6.5" thickTop="1" x14ac:dyDescent="0.25"/>
    <row r="31" spans="1:24" x14ac:dyDescent="0.25">
      <c r="A31" s="95" t="s">
        <v>53</v>
      </c>
      <c r="B31" s="88"/>
      <c r="C31" s="88"/>
      <c r="D31" s="88"/>
      <c r="E31" s="88"/>
      <c r="G31" s="95" t="s">
        <v>140</v>
      </c>
      <c r="H31" s="88"/>
      <c r="I31" s="88"/>
      <c r="J31" s="88"/>
      <c r="K31" s="88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69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69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/>
      <c r="C34" s="6" t="s">
        <v>53</v>
      </c>
      <c r="D34" s="6"/>
      <c r="E34" s="69" t="s">
        <v>12</v>
      </c>
      <c r="F34" s="23" t="s">
        <v>68</v>
      </c>
    </row>
    <row r="35" spans="1:12" x14ac:dyDescent="0.25">
      <c r="A35" s="71" t="s">
        <v>8</v>
      </c>
      <c r="B35" s="6"/>
      <c r="C35" s="6" t="s">
        <v>53</v>
      </c>
      <c r="D35" s="6"/>
      <c r="E35" s="69" t="s">
        <v>167</v>
      </c>
      <c r="F35" s="23" t="s">
        <v>68</v>
      </c>
    </row>
    <row r="36" spans="1:12" x14ac:dyDescent="0.25">
      <c r="A36" s="71" t="s">
        <v>20</v>
      </c>
      <c r="B36" s="6"/>
      <c r="C36" s="6" t="s">
        <v>53</v>
      </c>
      <c r="D36" s="6"/>
      <c r="E36" s="69" t="s">
        <v>28</v>
      </c>
      <c r="F36" s="23" t="s">
        <v>68</v>
      </c>
      <c r="G36" s="95" t="s">
        <v>141</v>
      </c>
      <c r="H36" s="88"/>
      <c r="I36" s="88"/>
      <c r="J36" s="88"/>
      <c r="K36" s="88"/>
    </row>
    <row r="37" spans="1:12" x14ac:dyDescent="0.25">
      <c r="A37" s="71" t="s">
        <v>17</v>
      </c>
      <c r="B37" s="6"/>
      <c r="C37" s="6" t="s">
        <v>53</v>
      </c>
      <c r="D37" s="6"/>
      <c r="E37" s="69" t="s">
        <v>26</v>
      </c>
      <c r="F37" s="23" t="s">
        <v>68</v>
      </c>
      <c r="G37" s="71"/>
      <c r="H37" s="6"/>
      <c r="I37" s="6"/>
      <c r="J37" s="6"/>
      <c r="K37" s="69"/>
      <c r="L37" s="23" t="s">
        <v>68</v>
      </c>
    </row>
    <row r="38" spans="1:12" x14ac:dyDescent="0.25">
      <c r="A38" s="71" t="s">
        <v>23</v>
      </c>
      <c r="B38" s="6"/>
      <c r="C38" s="6" t="s">
        <v>53</v>
      </c>
      <c r="D38" s="6"/>
      <c r="E38" s="69" t="s">
        <v>15</v>
      </c>
      <c r="F38" s="23" t="s">
        <v>68</v>
      </c>
    </row>
    <row r="39" spans="1:12" ht="16.5" thickBot="1" x14ac:dyDescent="0.3">
      <c r="A39" s="72" t="s">
        <v>27</v>
      </c>
      <c r="B39" s="8"/>
      <c r="C39" s="8" t="s">
        <v>53</v>
      </c>
      <c r="D39" s="8"/>
      <c r="E39" s="70" t="s">
        <v>30</v>
      </c>
      <c r="F39" s="23" t="s">
        <v>68</v>
      </c>
    </row>
    <row r="40" spans="1:12" ht="16.5" thickTop="1" x14ac:dyDescent="0.25">
      <c r="G40" s="95" t="s">
        <v>142</v>
      </c>
      <c r="H40" s="88"/>
      <c r="I40" s="88"/>
      <c r="J40" s="88"/>
      <c r="K40" s="88"/>
    </row>
    <row r="41" spans="1:12" x14ac:dyDescent="0.25">
      <c r="A41" s="95" t="s">
        <v>139</v>
      </c>
      <c r="B41" s="88"/>
      <c r="C41" s="88"/>
      <c r="D41" s="88"/>
      <c r="E41" s="88"/>
      <c r="G41" s="71"/>
      <c r="H41" s="6"/>
      <c r="I41" s="6"/>
      <c r="J41" s="6"/>
      <c r="K41" s="69"/>
      <c r="L41" s="23" t="s">
        <v>68</v>
      </c>
    </row>
    <row r="42" spans="1:12" x14ac:dyDescent="0.25">
      <c r="A42" s="71" t="s">
        <v>19</v>
      </c>
      <c r="B42" s="6"/>
      <c r="C42" s="6" t="s">
        <v>53</v>
      </c>
      <c r="D42" s="6"/>
      <c r="E42" s="69" t="s">
        <v>5</v>
      </c>
      <c r="F42" s="23" t="s">
        <v>68</v>
      </c>
    </row>
    <row r="43" spans="1:12" x14ac:dyDescent="0.25">
      <c r="A43" s="71" t="s">
        <v>12</v>
      </c>
      <c r="B43" s="6"/>
      <c r="C43" s="6" t="s">
        <v>53</v>
      </c>
      <c r="D43" s="6"/>
      <c r="E43" s="69"/>
      <c r="F43" s="23" t="s">
        <v>68</v>
      </c>
    </row>
    <row r="44" spans="1:12" x14ac:dyDescent="0.25">
      <c r="A44" s="71"/>
      <c r="B44" s="6"/>
      <c r="C44" s="6" t="s">
        <v>53</v>
      </c>
      <c r="D44" s="6"/>
      <c r="E44" s="69"/>
      <c r="F44" s="23" t="s">
        <v>68</v>
      </c>
    </row>
    <row r="45" spans="1:12" ht="16.5" thickBot="1" x14ac:dyDescent="0.3">
      <c r="A45" s="72"/>
      <c r="B45" s="8"/>
      <c r="C45" s="8" t="s">
        <v>53</v>
      </c>
      <c r="D45" s="8"/>
      <c r="E45" s="70"/>
      <c r="F45" s="23" t="s">
        <v>68</v>
      </c>
    </row>
    <row r="46" spans="1:12" ht="16.5" thickTop="1" x14ac:dyDescent="0.25"/>
  </sheetData>
  <mergeCells count="35">
    <mergeCell ref="A31:E31"/>
    <mergeCell ref="A41:E41"/>
    <mergeCell ref="G31:K31"/>
    <mergeCell ref="G36:K36"/>
    <mergeCell ref="G40:K40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70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21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14</v>
      </c>
      <c r="X10" s="79"/>
      <c r="Y10" s="79"/>
      <c r="Z10" s="54">
        <v>1</v>
      </c>
      <c r="AB10" s="54">
        <v>2</v>
      </c>
      <c r="AC10" s="79" t="s">
        <v>28</v>
      </c>
      <c r="AD10" s="79"/>
      <c r="AE10" s="79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480</v>
      </c>
      <c r="R11" s="138"/>
      <c r="S11" s="138"/>
      <c r="T11" s="138"/>
      <c r="U11" s="138"/>
      <c r="W11" s="79" t="s">
        <v>16</v>
      </c>
      <c r="X11" s="79"/>
      <c r="Y11" s="79"/>
      <c r="Z11" s="54">
        <v>1</v>
      </c>
      <c r="AB11" s="54">
        <v>1</v>
      </c>
      <c r="AC11" s="79" t="s">
        <v>34</v>
      </c>
      <c r="AD11" s="79"/>
      <c r="AE11" s="79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5</v>
      </c>
      <c r="X12" s="79"/>
      <c r="Y12" s="79"/>
      <c r="Z12" s="54">
        <v>2</v>
      </c>
      <c r="AB12" s="54">
        <v>0</v>
      </c>
      <c r="AC12" s="79" t="s">
        <v>24</v>
      </c>
      <c r="AD12" s="79"/>
      <c r="AE12" s="79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55</v>
      </c>
      <c r="X13" s="79"/>
      <c r="Y13" s="79"/>
      <c r="Z13" s="54">
        <v>1</v>
      </c>
      <c r="AB13" s="54">
        <v>2</v>
      </c>
      <c r="AC13" s="79" t="s">
        <v>24</v>
      </c>
      <c r="AD13" s="79"/>
      <c r="AE13" s="79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15</v>
      </c>
      <c r="X14" s="79"/>
      <c r="Y14" s="79"/>
      <c r="Z14" s="54">
        <v>1</v>
      </c>
      <c r="AB14" s="54">
        <v>1</v>
      </c>
      <c r="AC14" s="79" t="s">
        <v>4</v>
      </c>
      <c r="AD14" s="79"/>
      <c r="AE14" s="79"/>
    </row>
    <row r="15" spans="1:31" ht="15" customHeight="1" x14ac:dyDescent="0.25">
      <c r="A15" s="139" t="s">
        <v>64</v>
      </c>
      <c r="B15" s="139"/>
      <c r="C15" s="139"/>
      <c r="D15" s="139"/>
      <c r="E15" s="139"/>
      <c r="J15" s="21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10</v>
      </c>
      <c r="X15" s="79"/>
      <c r="Y15" s="79"/>
      <c r="Z15" s="54">
        <v>1</v>
      </c>
      <c r="AB15" s="54">
        <v>2</v>
      </c>
      <c r="AC15" s="79" t="s">
        <v>23</v>
      </c>
      <c r="AD15" s="79"/>
      <c r="AE15" s="79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 t="s">
        <v>8</v>
      </c>
      <c r="X16" s="79"/>
      <c r="Y16" s="79"/>
      <c r="Z16" s="54">
        <v>2</v>
      </c>
      <c r="AB16" s="54">
        <v>0</v>
      </c>
      <c r="AC16" s="79" t="s">
        <v>29</v>
      </c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7</v>
      </c>
      <c r="R19" s="22">
        <v>8</v>
      </c>
      <c r="S19" s="22">
        <v>13</v>
      </c>
      <c r="T19" s="22">
        <v>11</v>
      </c>
      <c r="U19" s="22">
        <v>11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21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136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21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21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21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35" t="str">
        <f>_xlfn.CONCAT(W2,A57)</f>
        <v>Macélio - Oitavas de Final</v>
      </c>
      <c r="B58" s="135"/>
      <c r="C58" s="135"/>
      <c r="D58" s="135"/>
      <c r="E58" s="135"/>
      <c r="J58" s="21" t="str">
        <f>IF(Tabela!L31="","",Tabela!L31)</f>
        <v/>
      </c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21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21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J64" s="21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5" t="str">
        <f>_xlfn.CONCAT(W2,A67)</f>
        <v>Macélio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91</v>
      </c>
      <c r="X2" s="140"/>
      <c r="Y2" s="140"/>
      <c r="Z2" s="140"/>
      <c r="AA2" s="140"/>
      <c r="AB2" s="140"/>
      <c r="AC2" s="140"/>
      <c r="AD2" s="140"/>
      <c r="AE2" s="140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19</v>
      </c>
      <c r="X10" s="79"/>
      <c r="Y10" s="79"/>
      <c r="Z10" s="54">
        <v>1</v>
      </c>
      <c r="AB10" s="54">
        <v>1</v>
      </c>
      <c r="AC10" s="79" t="s">
        <v>14</v>
      </c>
      <c r="AD10" s="79"/>
      <c r="AE10" s="79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505</v>
      </c>
      <c r="R11" s="138"/>
      <c r="S11" s="138"/>
      <c r="T11" s="138"/>
      <c r="U11" s="138"/>
      <c r="W11" s="79" t="s">
        <v>19</v>
      </c>
      <c r="X11" s="79"/>
      <c r="Y11" s="79"/>
      <c r="Z11" s="54">
        <v>2</v>
      </c>
      <c r="AB11" s="54">
        <v>0</v>
      </c>
      <c r="AC11" s="79" t="s">
        <v>11</v>
      </c>
      <c r="AD11" s="79"/>
      <c r="AE11" s="79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34</v>
      </c>
      <c r="X12" s="79"/>
      <c r="Y12" s="79"/>
      <c r="Z12" s="54">
        <v>0</v>
      </c>
      <c r="AB12" s="54">
        <v>3</v>
      </c>
      <c r="AC12" s="79" t="s">
        <v>20</v>
      </c>
      <c r="AD12" s="79"/>
      <c r="AE12" s="79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26</v>
      </c>
      <c r="X13" s="79"/>
      <c r="Y13" s="79"/>
      <c r="Z13" s="54">
        <v>2</v>
      </c>
      <c r="AB13" s="54">
        <v>0</v>
      </c>
      <c r="AC13" s="79" t="s">
        <v>55</v>
      </c>
      <c r="AD13" s="79"/>
      <c r="AE13" s="79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6</v>
      </c>
      <c r="X14" s="79"/>
      <c r="Y14" s="79"/>
      <c r="Z14" s="54">
        <v>1</v>
      </c>
      <c r="AB14" s="54">
        <v>0</v>
      </c>
      <c r="AC14" s="79" t="s">
        <v>13</v>
      </c>
      <c r="AD14" s="79"/>
      <c r="AE14" s="79"/>
      <c r="BD14" s="17">
        <v>5</v>
      </c>
    </row>
    <row r="15" spans="1:56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8</v>
      </c>
      <c r="X15" s="79"/>
      <c r="Y15" s="79"/>
      <c r="Z15" s="54">
        <v>2</v>
      </c>
      <c r="AB15" s="54">
        <v>0</v>
      </c>
      <c r="AC15" s="79" t="s">
        <v>29</v>
      </c>
      <c r="AD15" s="79"/>
      <c r="AE15" s="79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 t="s">
        <v>5</v>
      </c>
      <c r="X16" s="79"/>
      <c r="Y16" s="79"/>
      <c r="Z16" s="54">
        <v>2</v>
      </c>
      <c r="AB16" s="54">
        <v>1</v>
      </c>
      <c r="AC16" s="79" t="s">
        <v>6</v>
      </c>
      <c r="AD16" s="79"/>
      <c r="AE16" s="79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11</v>
      </c>
      <c r="S19" s="42">
        <v>12</v>
      </c>
      <c r="T19" s="42">
        <v>9</v>
      </c>
      <c r="U19" s="42">
        <v>11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128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Z27" s="59"/>
      <c r="AC27" s="79"/>
      <c r="AD27" s="79"/>
      <c r="AE27" s="79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Ivan Alex_1 -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Ivan Alex_1 -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AC10:AE10"/>
    <mergeCell ref="A1:E1"/>
    <mergeCell ref="K1:O1"/>
    <mergeCell ref="A8:E8"/>
    <mergeCell ref="A15:E15"/>
    <mergeCell ref="K8:O8"/>
    <mergeCell ref="W11:Y11"/>
    <mergeCell ref="AC11:AE11"/>
    <mergeCell ref="W12:Y12"/>
    <mergeCell ref="AC12:AE12"/>
    <mergeCell ref="W10:Y10"/>
    <mergeCell ref="AC13:AE13"/>
    <mergeCell ref="W14:Y14"/>
    <mergeCell ref="AC14:AE14"/>
    <mergeCell ref="W15:Y15"/>
    <mergeCell ref="AC15:AE15"/>
    <mergeCell ref="W13:Y13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A58:E58"/>
    <mergeCell ref="K58:O58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92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7" t="s">
        <v>65</v>
      </c>
      <c r="B8" s="147"/>
      <c r="C8" s="147"/>
      <c r="D8" s="147"/>
      <c r="E8" s="147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11</v>
      </c>
      <c r="X10" s="79"/>
      <c r="Y10" s="79"/>
      <c r="Z10" s="54">
        <v>0</v>
      </c>
      <c r="AB10" s="54">
        <v>2</v>
      </c>
      <c r="AC10" s="79" t="s">
        <v>14</v>
      </c>
      <c r="AD10" s="79"/>
      <c r="AE10" s="79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545</v>
      </c>
      <c r="R11" s="138"/>
      <c r="S11" s="138"/>
      <c r="T11" s="138"/>
      <c r="U11" s="138"/>
      <c r="W11" s="79" t="s">
        <v>28</v>
      </c>
      <c r="X11" s="79"/>
      <c r="Y11" s="79"/>
      <c r="Z11" s="54">
        <v>0</v>
      </c>
      <c r="AB11" s="54">
        <v>2</v>
      </c>
      <c r="AC11" s="79" t="s">
        <v>19</v>
      </c>
      <c r="AD11" s="79"/>
      <c r="AE11" s="79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19</v>
      </c>
      <c r="X12" s="79"/>
      <c r="Y12" s="79"/>
      <c r="Z12" s="54">
        <v>1</v>
      </c>
      <c r="AB12" s="54">
        <v>1</v>
      </c>
      <c r="AC12" s="79" t="s">
        <v>14</v>
      </c>
      <c r="AD12" s="79"/>
      <c r="AE12" s="79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19</v>
      </c>
      <c r="X13" s="79"/>
      <c r="Y13" s="79"/>
      <c r="Z13" s="54">
        <v>2</v>
      </c>
      <c r="AB13" s="54">
        <v>0</v>
      </c>
      <c r="AC13" s="79" t="s">
        <v>11</v>
      </c>
      <c r="AD13" s="79"/>
      <c r="AE13" s="79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21</v>
      </c>
      <c r="X14" s="79"/>
      <c r="Y14" s="79"/>
      <c r="Z14" s="54">
        <v>0</v>
      </c>
      <c r="AB14" s="54">
        <v>1</v>
      </c>
      <c r="AC14" s="79" t="s">
        <v>16</v>
      </c>
      <c r="AD14" s="79"/>
      <c r="AE14" s="79"/>
    </row>
    <row r="15" spans="1:31" x14ac:dyDescent="0.25">
      <c r="A15" s="147" t="s">
        <v>64</v>
      </c>
      <c r="B15" s="147"/>
      <c r="C15" s="147"/>
      <c r="D15" s="147"/>
      <c r="E15" s="147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34</v>
      </c>
      <c r="X15" s="79"/>
      <c r="Y15" s="79"/>
      <c r="Z15" s="54">
        <v>0</v>
      </c>
      <c r="AB15" s="54">
        <v>3</v>
      </c>
      <c r="AC15" s="79" t="s">
        <v>20</v>
      </c>
      <c r="AD15" s="79"/>
      <c r="AE15" s="7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 t="s">
        <v>26</v>
      </c>
      <c r="X16" s="79"/>
      <c r="Y16" s="79"/>
      <c r="Z16" s="54">
        <v>2</v>
      </c>
      <c r="AB16" s="54">
        <v>0</v>
      </c>
      <c r="AC16" s="79" t="s">
        <v>55</v>
      </c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 t="s">
        <v>31</v>
      </c>
      <c r="X17" s="79"/>
      <c r="Y17" s="79"/>
      <c r="Z17" s="54">
        <v>0</v>
      </c>
      <c r="AB17" s="54">
        <v>1</v>
      </c>
      <c r="AC17" s="79" t="s">
        <v>6</v>
      </c>
      <c r="AD17" s="79"/>
      <c r="AE17" s="79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 t="s">
        <v>22</v>
      </c>
      <c r="X18" s="79"/>
      <c r="Y18" s="79"/>
      <c r="Z18" s="54">
        <v>0</v>
      </c>
      <c r="AB18" s="54">
        <v>1</v>
      </c>
      <c r="AC18" s="79" t="s">
        <v>56</v>
      </c>
      <c r="AD18" s="79"/>
      <c r="AE18" s="7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12</v>
      </c>
      <c r="T19" s="22">
        <v>7</v>
      </c>
      <c r="U19" s="22">
        <v>13</v>
      </c>
      <c r="W19" s="79" t="s">
        <v>15</v>
      </c>
      <c r="X19" s="79"/>
      <c r="Y19" s="79"/>
      <c r="Z19" s="54">
        <v>1</v>
      </c>
      <c r="AB19" s="54">
        <v>1</v>
      </c>
      <c r="AC19" s="79" t="s">
        <v>4</v>
      </c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 t="s">
        <v>30</v>
      </c>
      <c r="X20" s="79"/>
      <c r="Y20" s="79"/>
      <c r="Z20" s="54">
        <v>1</v>
      </c>
      <c r="AB20" s="54">
        <v>0</v>
      </c>
      <c r="AC20" s="79" t="s">
        <v>9</v>
      </c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20</v>
      </c>
      <c r="T21" s="143"/>
      <c r="U21" s="143" t="s">
        <v>8</v>
      </c>
      <c r="V21" s="143"/>
      <c r="W21" s="79" t="s">
        <v>8</v>
      </c>
      <c r="X21" s="79"/>
      <c r="Y21" s="79"/>
      <c r="Z21" s="54">
        <v>2</v>
      </c>
      <c r="AB21" s="54">
        <v>0</v>
      </c>
      <c r="AC21" s="79" t="s">
        <v>29</v>
      </c>
      <c r="AD21" s="79"/>
      <c r="AE21" s="79"/>
    </row>
    <row r="22" spans="1:31" x14ac:dyDescent="0.25">
      <c r="A22" s="147" t="s">
        <v>63</v>
      </c>
      <c r="B22" s="147"/>
      <c r="C22" s="147"/>
      <c r="D22" s="147"/>
      <c r="E22" s="147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137</v>
      </c>
      <c r="T22" s="144"/>
      <c r="U22" s="144" t="s">
        <v>127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47" t="s">
        <v>62</v>
      </c>
      <c r="B29" s="147"/>
      <c r="C29" s="147"/>
      <c r="D29" s="147"/>
      <c r="E29" s="147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7" t="s">
        <v>61</v>
      </c>
      <c r="B36" s="147"/>
      <c r="C36" s="147"/>
      <c r="D36" s="147"/>
      <c r="E36" s="147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7" t="s">
        <v>60</v>
      </c>
      <c r="B43" s="147"/>
      <c r="C43" s="147"/>
      <c r="D43" s="147"/>
      <c r="E43" s="147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7" t="s">
        <v>59</v>
      </c>
      <c r="B50" s="147"/>
      <c r="C50" s="147"/>
      <c r="D50" s="147"/>
      <c r="E50" s="147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Bruno Flores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Bruno Flores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Q21:R21"/>
    <mergeCell ref="S21:T21"/>
    <mergeCell ref="U21:V21"/>
    <mergeCell ref="Q22:R22"/>
    <mergeCell ref="S22:T22"/>
    <mergeCell ref="U22:V2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69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19</v>
      </c>
      <c r="X10" s="79"/>
      <c r="Y10" s="79"/>
      <c r="Z10" s="54">
        <v>1</v>
      </c>
      <c r="AB10" s="54">
        <v>1</v>
      </c>
      <c r="AC10" s="79" t="s">
        <v>14</v>
      </c>
      <c r="AD10" s="79"/>
      <c r="AE10" s="79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385</v>
      </c>
      <c r="R11" s="138"/>
      <c r="S11" s="138"/>
      <c r="T11" s="138"/>
      <c r="U11" s="138"/>
      <c r="W11" s="79" t="s">
        <v>19</v>
      </c>
      <c r="X11" s="79"/>
      <c r="Y11" s="79"/>
      <c r="Z11" s="54">
        <v>2</v>
      </c>
      <c r="AB11" s="54">
        <v>0</v>
      </c>
      <c r="AC11" s="79" t="s">
        <v>11</v>
      </c>
      <c r="AD11" s="79"/>
      <c r="AE11" s="79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/>
      <c r="X12" s="79"/>
      <c r="Y12" s="79"/>
      <c r="AC12" s="79"/>
      <c r="AD12" s="79"/>
      <c r="AE12" s="79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12</v>
      </c>
      <c r="U19" s="22">
        <v>13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17</v>
      </c>
      <c r="T21" s="143"/>
      <c r="U21" s="143" t="s">
        <v>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128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Ivan Alex_2 -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Ivan Alex_2 -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W11:Y11"/>
    <mergeCell ref="AC11:AE11"/>
    <mergeCell ref="Q21:R21"/>
    <mergeCell ref="S21:T21"/>
    <mergeCell ref="U21:V21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72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7" t="s">
        <v>65</v>
      </c>
      <c r="B8" s="147"/>
      <c r="C8" s="147"/>
      <c r="D8" s="147"/>
      <c r="E8" s="147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16</v>
      </c>
      <c r="X10" s="79"/>
      <c r="Y10" s="79"/>
      <c r="Z10" s="54">
        <v>1</v>
      </c>
      <c r="AB10" s="54">
        <v>1</v>
      </c>
      <c r="AC10" s="79" t="s">
        <v>34</v>
      </c>
      <c r="AD10" s="79"/>
      <c r="AE10" s="79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370</v>
      </c>
      <c r="R11" s="138"/>
      <c r="S11" s="138"/>
      <c r="T11" s="138"/>
      <c r="U11" s="138"/>
      <c r="W11" s="79" t="s">
        <v>26</v>
      </c>
      <c r="X11" s="79"/>
      <c r="Y11" s="79"/>
      <c r="Z11" s="54">
        <v>2</v>
      </c>
      <c r="AB11" s="54">
        <v>0</v>
      </c>
      <c r="AC11" s="79" t="s">
        <v>55</v>
      </c>
      <c r="AD11" s="79"/>
      <c r="AE11" s="79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/>
      <c r="X12" s="79"/>
      <c r="Y12" s="79"/>
      <c r="AC12" s="79"/>
      <c r="AD12" s="79"/>
      <c r="AE12" s="79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47" t="s">
        <v>64</v>
      </c>
      <c r="B15" s="147"/>
      <c r="C15" s="147"/>
      <c r="D15" s="147"/>
      <c r="E15" s="147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13</v>
      </c>
      <c r="T19" s="22">
        <v>11</v>
      </c>
      <c r="U19" s="22">
        <v>14</v>
      </c>
      <c r="W19" s="79"/>
      <c r="X19" s="79"/>
      <c r="Y19" s="79"/>
      <c r="AC19" s="79"/>
      <c r="AD19" s="79"/>
      <c r="AE19" s="79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47" t="s">
        <v>63</v>
      </c>
      <c r="B22" s="147"/>
      <c r="C22" s="147"/>
      <c r="D22" s="147"/>
      <c r="E22" s="147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128</v>
      </c>
      <c r="T22" s="144"/>
      <c r="U22" s="144" t="s">
        <v>136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47" t="s">
        <v>62</v>
      </c>
      <c r="B29" s="147"/>
      <c r="C29" s="147"/>
      <c r="D29" s="147"/>
      <c r="E29" s="147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7" t="s">
        <v>61</v>
      </c>
      <c r="B36" s="147"/>
      <c r="C36" s="147"/>
      <c r="D36" s="147"/>
      <c r="E36" s="147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7" t="s">
        <v>60</v>
      </c>
      <c r="B43" s="147"/>
      <c r="C43" s="147"/>
      <c r="D43" s="147"/>
      <c r="E43" s="147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7" t="s">
        <v>59</v>
      </c>
      <c r="B50" s="147"/>
      <c r="C50" s="147"/>
      <c r="D50" s="147"/>
      <c r="E50" s="147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5" t="str">
        <f>_xlfn.CONCAT(W2,A57)</f>
        <v>Gabriel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5" t="str">
        <f>_xlfn.CONCAT(W2,A67)</f>
        <v>Gabriel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Q21:R21"/>
    <mergeCell ref="S21:T21"/>
    <mergeCell ref="U21:V21"/>
    <mergeCell ref="Q22:R22"/>
    <mergeCell ref="S22:T22"/>
    <mergeCell ref="U22:V22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71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7" t="s">
        <v>65</v>
      </c>
      <c r="B8" s="147"/>
      <c r="C8" s="147"/>
      <c r="D8" s="147"/>
      <c r="E8" s="147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19</v>
      </c>
      <c r="X10" s="79"/>
      <c r="Y10" s="79"/>
      <c r="Z10" s="54">
        <v>2</v>
      </c>
      <c r="AB10" s="54">
        <v>0</v>
      </c>
      <c r="AC10" s="79" t="s">
        <v>11</v>
      </c>
      <c r="AD10" s="79"/>
      <c r="AE10" s="79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375</v>
      </c>
      <c r="R11" s="138"/>
      <c r="S11" s="138"/>
      <c r="T11" s="138"/>
      <c r="U11" s="138"/>
      <c r="W11" s="79" t="s">
        <v>16</v>
      </c>
      <c r="X11" s="79"/>
      <c r="Y11" s="79"/>
      <c r="Z11" s="54">
        <v>1</v>
      </c>
      <c r="AB11" s="54">
        <v>1</v>
      </c>
      <c r="AC11" s="79" t="s">
        <v>34</v>
      </c>
      <c r="AD11" s="79"/>
      <c r="AE11" s="79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26</v>
      </c>
      <c r="X12" s="79"/>
      <c r="Y12" s="79"/>
      <c r="Z12" s="54">
        <v>2</v>
      </c>
      <c r="AB12" s="54">
        <v>0</v>
      </c>
      <c r="AC12" s="79" t="s">
        <v>55</v>
      </c>
      <c r="AD12" s="79"/>
      <c r="AE12" s="79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55</v>
      </c>
      <c r="X13" s="79"/>
      <c r="Y13" s="79"/>
      <c r="Z13" s="54">
        <v>1</v>
      </c>
      <c r="AB13" s="54">
        <v>2</v>
      </c>
      <c r="AC13" s="79" t="s">
        <v>24</v>
      </c>
      <c r="AD13" s="79"/>
      <c r="AE13" s="79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6</v>
      </c>
      <c r="X14" s="79"/>
      <c r="Y14" s="79"/>
      <c r="Z14" s="54">
        <v>1</v>
      </c>
      <c r="AB14" s="54">
        <v>0</v>
      </c>
      <c r="AC14" s="79" t="s">
        <v>13</v>
      </c>
      <c r="AD14" s="79"/>
      <c r="AE14" s="79"/>
    </row>
    <row r="15" spans="1:31" x14ac:dyDescent="0.25">
      <c r="A15" s="147" t="s">
        <v>64</v>
      </c>
      <c r="B15" s="147"/>
      <c r="C15" s="147"/>
      <c r="D15" s="147"/>
      <c r="E15" s="147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8</v>
      </c>
      <c r="X15" s="79"/>
      <c r="Y15" s="79"/>
      <c r="Z15" s="54">
        <v>2</v>
      </c>
      <c r="AB15" s="54">
        <v>0</v>
      </c>
      <c r="AC15" s="79" t="s">
        <v>29</v>
      </c>
      <c r="AD15" s="79"/>
      <c r="AE15" s="79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6</v>
      </c>
      <c r="S19" s="22">
        <v>9</v>
      </c>
      <c r="T19" s="22">
        <v>9</v>
      </c>
      <c r="U19" s="22">
        <v>19</v>
      </c>
      <c r="W19" s="79"/>
      <c r="X19" s="79"/>
      <c r="Y19" s="79"/>
      <c r="AC19" s="79"/>
      <c r="AD19" s="79"/>
      <c r="AE19" s="79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47" t="s">
        <v>63</v>
      </c>
      <c r="B22" s="147"/>
      <c r="C22" s="147"/>
      <c r="D22" s="147"/>
      <c r="E22" s="147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128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47" t="s">
        <v>62</v>
      </c>
      <c r="B29" s="147"/>
      <c r="C29" s="147"/>
      <c r="D29" s="147"/>
      <c r="E29" s="147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7" t="s">
        <v>61</v>
      </c>
      <c r="B36" s="147"/>
      <c r="C36" s="147"/>
      <c r="D36" s="147"/>
      <c r="E36" s="147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7" t="s">
        <v>60</v>
      </c>
      <c r="B43" s="147"/>
      <c r="C43" s="147"/>
      <c r="D43" s="147"/>
      <c r="E43" s="147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7" t="s">
        <v>59</v>
      </c>
      <c r="B50" s="147"/>
      <c r="C50" s="147"/>
      <c r="D50" s="147"/>
      <c r="E50" s="147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5" t="str">
        <f>_xlfn.CONCAT(W2,A57)</f>
        <v>Luis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5" t="str">
        <f>_xlfn.CONCAT(W2,A67)</f>
        <v>Luis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73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28</v>
      </c>
      <c r="X10" s="79"/>
      <c r="Y10" s="79"/>
      <c r="Z10" s="54">
        <v>0</v>
      </c>
      <c r="AB10" s="54">
        <v>2</v>
      </c>
      <c r="AC10" s="79" t="s">
        <v>19</v>
      </c>
      <c r="AD10" s="79"/>
      <c r="AE10" s="79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425</v>
      </c>
      <c r="R11" s="138"/>
      <c r="S11" s="138"/>
      <c r="T11" s="138"/>
      <c r="U11" s="138"/>
      <c r="W11" s="79" t="s">
        <v>34</v>
      </c>
      <c r="X11" s="79"/>
      <c r="Y11" s="79"/>
      <c r="Z11" s="54">
        <v>0</v>
      </c>
      <c r="AB11" s="54">
        <v>3</v>
      </c>
      <c r="AC11" s="79" t="s">
        <v>20</v>
      </c>
      <c r="AD11" s="79"/>
      <c r="AE11" s="79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17</v>
      </c>
      <c r="X12" s="79"/>
      <c r="Y12" s="79"/>
      <c r="Z12" s="54">
        <v>2</v>
      </c>
      <c r="AB12" s="54">
        <v>1</v>
      </c>
      <c r="AC12" s="79" t="s">
        <v>13</v>
      </c>
      <c r="AD12" s="79"/>
      <c r="AE12" s="79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7</v>
      </c>
      <c r="X13" s="79"/>
      <c r="Y13" s="79"/>
      <c r="Z13" s="54">
        <v>1</v>
      </c>
      <c r="AB13" s="54">
        <v>0</v>
      </c>
      <c r="AC13" s="79" t="s">
        <v>10</v>
      </c>
      <c r="AD13" s="79"/>
      <c r="AE13" s="79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8</v>
      </c>
      <c r="X14" s="79"/>
      <c r="Y14" s="79"/>
      <c r="Z14" s="54">
        <v>2</v>
      </c>
      <c r="AB14" s="54">
        <v>0</v>
      </c>
      <c r="AC14" s="79" t="s">
        <v>29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5</v>
      </c>
      <c r="X15" s="79"/>
      <c r="Y15" s="79"/>
      <c r="Z15" s="54">
        <v>2</v>
      </c>
      <c r="AB15" s="54">
        <v>1</v>
      </c>
      <c r="AC15" s="79" t="s">
        <v>6</v>
      </c>
      <c r="AD15" s="79"/>
      <c r="AE15" s="79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6</v>
      </c>
      <c r="S19" s="22">
        <v>12</v>
      </c>
      <c r="T19" s="22">
        <v>13</v>
      </c>
      <c r="U19" s="22">
        <v>13</v>
      </c>
      <c r="W19" s="79"/>
      <c r="X19" s="79"/>
      <c r="Y19" s="79"/>
      <c r="AC19" s="79"/>
      <c r="AD19" s="79"/>
      <c r="AE19" s="79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137</v>
      </c>
      <c r="T22" s="144"/>
      <c r="U22" s="144" t="s">
        <v>138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5" t="str">
        <f>_xlfn.CONCAT(W2,A57)</f>
        <v>Juninho_1 -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5" t="str">
        <f>_xlfn.CONCAT(W2,A67)</f>
        <v>Juninho_1 -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74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20</v>
      </c>
      <c r="X10" s="79"/>
      <c r="Y10" s="79"/>
      <c r="Z10" s="54">
        <v>0</v>
      </c>
      <c r="AB10" s="54">
        <v>0</v>
      </c>
      <c r="AC10" s="79" t="s">
        <v>16</v>
      </c>
      <c r="AD10" s="79"/>
      <c r="AE10" s="79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400</v>
      </c>
      <c r="R11" s="138"/>
      <c r="S11" s="138"/>
      <c r="T11" s="138"/>
      <c r="U11" s="138"/>
      <c r="W11" s="79" t="s">
        <v>21</v>
      </c>
      <c r="X11" s="79"/>
      <c r="Y11" s="79"/>
      <c r="Z11" s="54">
        <v>0</v>
      </c>
      <c r="AB11" s="54">
        <v>1</v>
      </c>
      <c r="AC11" s="79" t="s">
        <v>16</v>
      </c>
      <c r="AD11" s="79"/>
      <c r="AE11" s="79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34</v>
      </c>
      <c r="X12" s="79"/>
      <c r="Y12" s="79"/>
      <c r="Z12" s="54">
        <v>0</v>
      </c>
      <c r="AB12" s="54">
        <v>3</v>
      </c>
      <c r="AC12" s="79" t="s">
        <v>20</v>
      </c>
      <c r="AD12" s="79"/>
      <c r="AE12" s="79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13</v>
      </c>
      <c r="X13" s="79"/>
      <c r="Y13" s="79"/>
      <c r="Z13" s="54">
        <v>0</v>
      </c>
      <c r="AB13" s="54">
        <v>0</v>
      </c>
      <c r="AC13" s="79" t="s">
        <v>31</v>
      </c>
      <c r="AD13" s="79"/>
      <c r="AE13" s="79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8</v>
      </c>
      <c r="T19" s="22">
        <v>11</v>
      </c>
      <c r="U19" s="22">
        <v>16</v>
      </c>
      <c r="W19" s="79"/>
      <c r="X19" s="79"/>
      <c r="Y19" s="79"/>
      <c r="AC19" s="79"/>
      <c r="AD19" s="79"/>
      <c r="AE19" s="79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138</v>
      </c>
      <c r="T22" s="144"/>
      <c r="U22" s="144" t="s">
        <v>137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5" t="str">
        <f>_xlfn.CONCAT(W2,A57)</f>
        <v>Juninho_2 -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5" t="str">
        <f>_xlfn.CONCAT(W2,A67)</f>
        <v>Juninho_2 -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75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26</v>
      </c>
      <c r="X10" s="79"/>
      <c r="Y10" s="79"/>
      <c r="Z10" s="54">
        <v>2</v>
      </c>
      <c r="AB10" s="54">
        <v>0</v>
      </c>
      <c r="AC10" s="79" t="s">
        <v>55</v>
      </c>
      <c r="AD10" s="79"/>
      <c r="AE10" s="79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470</v>
      </c>
      <c r="R11" s="138"/>
      <c r="S11" s="138"/>
      <c r="T11" s="138"/>
      <c r="U11" s="138"/>
      <c r="W11" s="79" t="s">
        <v>5</v>
      </c>
      <c r="X11" s="79"/>
      <c r="Y11" s="79"/>
      <c r="Z11" s="54">
        <v>2</v>
      </c>
      <c r="AB11" s="54">
        <v>0</v>
      </c>
      <c r="AC11" s="79" t="s">
        <v>24</v>
      </c>
      <c r="AD11" s="79"/>
      <c r="AE11" s="79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31</v>
      </c>
      <c r="X12" s="79"/>
      <c r="Y12" s="79"/>
      <c r="Z12" s="54">
        <v>0</v>
      </c>
      <c r="AB12" s="54">
        <v>1</v>
      </c>
      <c r="AC12" s="79" t="s">
        <v>6</v>
      </c>
      <c r="AD12" s="79"/>
      <c r="AE12" s="79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6</v>
      </c>
      <c r="X13" s="79"/>
      <c r="Y13" s="79"/>
      <c r="Z13" s="54">
        <v>1</v>
      </c>
      <c r="AB13" s="54">
        <v>0</v>
      </c>
      <c r="AC13" s="79" t="s">
        <v>13</v>
      </c>
      <c r="AD13" s="79"/>
      <c r="AE13" s="79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7</v>
      </c>
      <c r="X14" s="79"/>
      <c r="Y14" s="79"/>
      <c r="Z14" s="54">
        <v>1</v>
      </c>
      <c r="AB14" s="54">
        <v>0</v>
      </c>
      <c r="AC14" s="79" t="s">
        <v>10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8</v>
      </c>
      <c r="X15" s="79"/>
      <c r="Y15" s="79"/>
      <c r="Z15" s="54">
        <v>2</v>
      </c>
      <c r="AB15" s="54">
        <v>0</v>
      </c>
      <c r="AC15" s="79" t="s">
        <v>29</v>
      </c>
      <c r="AD15" s="79"/>
      <c r="AE15" s="79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 t="s">
        <v>8</v>
      </c>
      <c r="X16" s="79"/>
      <c r="Y16" s="79"/>
      <c r="Z16" s="54">
        <v>1</v>
      </c>
      <c r="AB16" s="54">
        <v>0</v>
      </c>
      <c r="AC16" s="79" t="s">
        <v>30</v>
      </c>
      <c r="AD16" s="79"/>
      <c r="AE16" s="79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 t="s">
        <v>5</v>
      </c>
      <c r="X17" s="79"/>
      <c r="Y17" s="79"/>
      <c r="Z17" s="54">
        <v>2</v>
      </c>
      <c r="AB17" s="54">
        <v>1</v>
      </c>
      <c r="AC17" s="79" t="s">
        <v>6</v>
      </c>
      <c r="AD17" s="79"/>
      <c r="AE17" s="79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8</v>
      </c>
      <c r="S19" s="22">
        <v>10</v>
      </c>
      <c r="T19" s="22">
        <v>10</v>
      </c>
      <c r="U19" s="22">
        <v>14</v>
      </c>
      <c r="W19" s="79"/>
      <c r="X19" s="79"/>
      <c r="Y19" s="79"/>
      <c r="AC19" s="79"/>
      <c r="AD19" s="79"/>
      <c r="AE19" s="79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130</v>
      </c>
      <c r="T22" s="144"/>
      <c r="U22" s="144" t="s">
        <v>136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35" t="str">
        <f>_xlfn.CONCAT(W2,A57)</f>
        <v>Luana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35" t="str">
        <f>_xlfn.CONCAT(W2,A67)</f>
        <v>Luana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76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11</v>
      </c>
      <c r="X10" s="79"/>
      <c r="Y10" s="79"/>
      <c r="Z10" s="54">
        <v>1</v>
      </c>
      <c r="AB10" s="54">
        <v>3</v>
      </c>
      <c r="AC10" s="79" t="s">
        <v>28</v>
      </c>
      <c r="AD10" s="79"/>
      <c r="AE10" s="79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430</v>
      </c>
      <c r="R11" s="138"/>
      <c r="S11" s="138"/>
      <c r="T11" s="138"/>
      <c r="U11" s="138"/>
      <c r="W11" s="79" t="s">
        <v>19</v>
      </c>
      <c r="X11" s="79"/>
      <c r="Y11" s="79"/>
      <c r="Z11" s="54">
        <v>2</v>
      </c>
      <c r="AB11" s="54">
        <v>0</v>
      </c>
      <c r="AC11" s="79" t="s">
        <v>11</v>
      </c>
      <c r="AD11" s="79"/>
      <c r="AE11" s="79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14</v>
      </c>
      <c r="X12" s="79"/>
      <c r="Y12" s="79"/>
      <c r="Z12" s="54">
        <v>1</v>
      </c>
      <c r="AB12" s="54">
        <v>2</v>
      </c>
      <c r="AC12" s="79" t="s">
        <v>28</v>
      </c>
      <c r="AD12" s="79"/>
      <c r="AE12" s="79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26</v>
      </c>
      <c r="X13" s="79"/>
      <c r="Y13" s="79"/>
      <c r="Z13" s="54">
        <v>2</v>
      </c>
      <c r="AB13" s="54">
        <v>0</v>
      </c>
      <c r="AC13" s="79" t="s">
        <v>55</v>
      </c>
      <c r="AD13" s="79"/>
      <c r="AE13" s="79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30</v>
      </c>
      <c r="X14" s="79"/>
      <c r="Y14" s="79"/>
      <c r="Z14" s="54">
        <v>1</v>
      </c>
      <c r="AB14" s="54">
        <v>0</v>
      </c>
      <c r="AC14" s="79" t="s">
        <v>9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8</v>
      </c>
      <c r="X15" s="79"/>
      <c r="Y15" s="79"/>
      <c r="Z15" s="54">
        <v>2</v>
      </c>
      <c r="AB15" s="54">
        <v>0</v>
      </c>
      <c r="AC15" s="79" t="s">
        <v>29</v>
      </c>
      <c r="AD15" s="79"/>
      <c r="AE15" s="79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11</v>
      </c>
      <c r="S19" s="22">
        <v>8</v>
      </c>
      <c r="T19" s="22">
        <v>7</v>
      </c>
      <c r="U19" s="22">
        <v>18</v>
      </c>
      <c r="W19" s="79"/>
      <c r="X19" s="79"/>
      <c r="Y19" s="79"/>
      <c r="AC19" s="79"/>
      <c r="AD19" s="79"/>
      <c r="AE19" s="79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134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5" t="str">
        <f>_xlfn.CONCAT(W2,A57)</f>
        <v>Mácio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5" t="str">
        <f>_xlfn.CONCAT(W2,A67)</f>
        <v>Mácio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94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11</v>
      </c>
      <c r="X10" s="79"/>
      <c r="Y10" s="79"/>
      <c r="Z10" s="54">
        <v>0</v>
      </c>
      <c r="AB10" s="54">
        <v>2</v>
      </c>
      <c r="AC10" s="79" t="s">
        <v>14</v>
      </c>
      <c r="AD10" s="79"/>
      <c r="AE10" s="79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425</v>
      </c>
      <c r="R11" s="138"/>
      <c r="S11" s="138"/>
      <c r="T11" s="138"/>
      <c r="U11" s="138"/>
      <c r="W11" s="79" t="s">
        <v>14</v>
      </c>
      <c r="X11" s="79"/>
      <c r="Y11" s="79"/>
      <c r="Z11" s="54">
        <v>1</v>
      </c>
      <c r="AB11" s="54">
        <v>2</v>
      </c>
      <c r="AC11" s="79" t="s">
        <v>28</v>
      </c>
      <c r="AD11" s="79"/>
      <c r="AE11" s="79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26</v>
      </c>
      <c r="X12" s="79"/>
      <c r="Y12" s="79"/>
      <c r="Z12" s="54">
        <v>2</v>
      </c>
      <c r="AB12" s="54">
        <v>0</v>
      </c>
      <c r="AC12" s="79" t="s">
        <v>55</v>
      </c>
      <c r="AD12" s="79"/>
      <c r="AE12" s="79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17</v>
      </c>
      <c r="X13" s="79"/>
      <c r="Y13" s="79"/>
      <c r="Z13" s="54">
        <v>2</v>
      </c>
      <c r="AB13" s="54">
        <v>1</v>
      </c>
      <c r="AC13" s="79" t="s">
        <v>13</v>
      </c>
      <c r="AD13" s="79"/>
      <c r="AE13" s="79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30</v>
      </c>
      <c r="X14" s="79"/>
      <c r="Y14" s="79"/>
      <c r="Z14" s="54">
        <v>1</v>
      </c>
      <c r="AB14" s="54">
        <v>0</v>
      </c>
      <c r="AC14" s="79" t="s">
        <v>9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10</v>
      </c>
      <c r="S19" s="22">
        <v>10</v>
      </c>
      <c r="T19" s="22">
        <v>10</v>
      </c>
      <c r="U19" s="22">
        <v>15</v>
      </c>
      <c r="W19" s="79"/>
      <c r="X19" s="79"/>
      <c r="Y19" s="79"/>
      <c r="AC19" s="79"/>
      <c r="AD19" s="79"/>
      <c r="AE19" s="79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5" t="str">
        <f>_xlfn.CONCAT(W2,A57)</f>
        <v>Alex Sandro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5" t="str">
        <f>_xlfn.CONCAT(W2,A67)</f>
        <v>Alex Sandro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78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34</v>
      </c>
      <c r="X10" s="79"/>
      <c r="Y10" s="79"/>
      <c r="Z10" s="54">
        <v>0</v>
      </c>
      <c r="AB10" s="54">
        <v>3</v>
      </c>
      <c r="AC10" s="79" t="s">
        <v>20</v>
      </c>
      <c r="AD10" s="79"/>
      <c r="AE10" s="79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455</v>
      </c>
      <c r="R11" s="138"/>
      <c r="S11" s="138"/>
      <c r="T11" s="138"/>
      <c r="U11" s="138"/>
      <c r="W11" s="79" t="s">
        <v>55</v>
      </c>
      <c r="X11" s="79"/>
      <c r="Y11" s="79"/>
      <c r="Z11" s="54">
        <v>1</v>
      </c>
      <c r="AB11" s="54">
        <v>2</v>
      </c>
      <c r="AC11" s="79" t="s">
        <v>24</v>
      </c>
      <c r="AD11" s="79"/>
      <c r="AE11" s="79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56</v>
      </c>
      <c r="X12" s="79"/>
      <c r="Y12" s="79"/>
      <c r="Z12" s="54">
        <v>2</v>
      </c>
      <c r="AB12" s="54">
        <v>4</v>
      </c>
      <c r="AC12" s="79" t="s">
        <v>4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30</v>
      </c>
      <c r="X13" s="79"/>
      <c r="Y13" s="79"/>
      <c r="Z13" s="54">
        <v>1</v>
      </c>
      <c r="AB13" s="54">
        <v>0</v>
      </c>
      <c r="AC13" s="79" t="s">
        <v>9</v>
      </c>
      <c r="AD13" s="79"/>
      <c r="AE13" s="79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5</v>
      </c>
      <c r="X14" s="79"/>
      <c r="Y14" s="79"/>
      <c r="Z14" s="54">
        <v>2</v>
      </c>
      <c r="AB14" s="54">
        <v>1</v>
      </c>
      <c r="AC14" s="79" t="s">
        <v>6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11</v>
      </c>
      <c r="T19" s="22">
        <v>11</v>
      </c>
      <c r="U19" s="22">
        <v>11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4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128</v>
      </c>
      <c r="T22" s="144"/>
      <c r="U22" s="144" t="s">
        <v>133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35" t="str">
        <f>_xlfn.CONCAT(W2,A57)</f>
        <v>Jean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5" t="str">
        <f>_xlfn.CONCAT(W2,A67)</f>
        <v>Jean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79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21</v>
      </c>
      <c r="X10" s="79"/>
      <c r="Y10" s="79"/>
      <c r="Z10" s="54">
        <v>0</v>
      </c>
      <c r="AB10" s="54">
        <v>1</v>
      </c>
      <c r="AC10" s="79" t="s">
        <v>16</v>
      </c>
      <c r="AD10" s="79"/>
      <c r="AE10" s="79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410</v>
      </c>
      <c r="R11" s="138"/>
      <c r="S11" s="138"/>
      <c r="T11" s="138"/>
      <c r="U11" s="138"/>
      <c r="W11" s="79" t="s">
        <v>55</v>
      </c>
      <c r="X11" s="79"/>
      <c r="Y11" s="79"/>
      <c r="Z11" s="54">
        <v>1</v>
      </c>
      <c r="AB11" s="54">
        <v>2</v>
      </c>
      <c r="AC11" s="79" t="s">
        <v>24</v>
      </c>
      <c r="AD11" s="79"/>
      <c r="AE11" s="79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31</v>
      </c>
      <c r="X12" s="79"/>
      <c r="Y12" s="79"/>
      <c r="Z12" s="54">
        <v>0</v>
      </c>
      <c r="AB12" s="54">
        <v>1</v>
      </c>
      <c r="AC12" s="79" t="s">
        <v>6</v>
      </c>
      <c r="AD12" s="79"/>
      <c r="AE12" s="79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17</v>
      </c>
      <c r="X13" s="79"/>
      <c r="Y13" s="79"/>
      <c r="Z13" s="54">
        <v>2</v>
      </c>
      <c r="AB13" s="54">
        <v>1</v>
      </c>
      <c r="AC13" s="79" t="s">
        <v>13</v>
      </c>
      <c r="AD13" s="79"/>
      <c r="AE13" s="79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9</v>
      </c>
      <c r="T19" s="22">
        <v>11</v>
      </c>
      <c r="U19" s="22">
        <v>14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131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Robert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148" t="s">
        <v>170</v>
      </c>
      <c r="B59" s="148"/>
      <c r="C59" s="148"/>
      <c r="D59" s="148"/>
      <c r="E59" s="148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Robert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W21:Y21"/>
    <mergeCell ref="AC21:AE21"/>
    <mergeCell ref="W22:Y22"/>
    <mergeCell ref="AC22:AE22"/>
    <mergeCell ref="W23:Y23"/>
    <mergeCell ref="AC23:AE23"/>
    <mergeCell ref="Q21:R21"/>
    <mergeCell ref="S21:T21"/>
    <mergeCell ref="W24:Y24"/>
    <mergeCell ref="AC24:AE24"/>
    <mergeCell ref="W25:Y25"/>
    <mergeCell ref="AC25:AE25"/>
    <mergeCell ref="W26:Y26"/>
    <mergeCell ref="AC26:AE26"/>
    <mergeCell ref="K29:O29"/>
    <mergeCell ref="A36:E36"/>
    <mergeCell ref="A43:E43"/>
    <mergeCell ref="A50:E50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80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19</v>
      </c>
      <c r="X10" s="79"/>
      <c r="Y10" s="79"/>
      <c r="Z10" s="54">
        <v>2</v>
      </c>
      <c r="AB10" s="54">
        <v>0</v>
      </c>
      <c r="AC10" s="79" t="s">
        <v>11</v>
      </c>
      <c r="AD10" s="79"/>
      <c r="AE10" s="79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405</v>
      </c>
      <c r="R11" s="138"/>
      <c r="S11" s="138"/>
      <c r="T11" s="138"/>
      <c r="U11" s="138"/>
      <c r="W11" s="79" t="s">
        <v>56</v>
      </c>
      <c r="X11" s="79"/>
      <c r="Y11" s="79"/>
      <c r="Z11" s="54">
        <v>2</v>
      </c>
      <c r="AB11" s="54">
        <v>4</v>
      </c>
      <c r="AC11" s="79" t="s">
        <v>4</v>
      </c>
      <c r="AD11" s="79"/>
      <c r="AE11" s="79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32</v>
      </c>
      <c r="X12" s="79"/>
      <c r="Y12" s="79"/>
      <c r="Z12" s="54">
        <v>0</v>
      </c>
      <c r="AB12" s="54">
        <v>0</v>
      </c>
      <c r="AC12" s="79" t="s">
        <v>67</v>
      </c>
      <c r="AD12" s="79"/>
      <c r="AE12" s="79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11</v>
      </c>
      <c r="W19" s="79"/>
      <c r="X19" s="79"/>
      <c r="Y19" s="79"/>
      <c r="AC19" s="79"/>
      <c r="AD19" s="79"/>
      <c r="AE19" s="79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19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45" t="str">
        <f>_xlfn.CONCAT(W2,A57)</f>
        <v>Roberto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45" t="str">
        <f>_xlfn.CONCAT(W2,A67)</f>
        <v>Roberto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81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5</v>
      </c>
      <c r="X10" s="79"/>
      <c r="Y10" s="79"/>
      <c r="Z10" s="54">
        <v>2</v>
      </c>
      <c r="AB10" s="54">
        <v>1</v>
      </c>
      <c r="AC10" s="79" t="s">
        <v>6</v>
      </c>
      <c r="AD10" s="79"/>
      <c r="AE10" s="79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270</v>
      </c>
      <c r="R11" s="138"/>
      <c r="S11" s="138"/>
      <c r="T11" s="138"/>
      <c r="U11" s="138"/>
      <c r="W11" s="79"/>
      <c r="X11" s="79"/>
      <c r="Y11" s="79"/>
      <c r="AC11" s="79"/>
      <c r="AD11" s="79"/>
      <c r="AE11" s="79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/>
      <c r="X12" s="79"/>
      <c r="Y12" s="79"/>
      <c r="AC12" s="79"/>
      <c r="AD12" s="79"/>
      <c r="AE12" s="79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3</v>
      </c>
      <c r="S19" s="22">
        <v>15</v>
      </c>
      <c r="T19" s="22">
        <v>10</v>
      </c>
      <c r="U19" s="22">
        <v>20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131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Andréia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Andréia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82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21</v>
      </c>
      <c r="X10" s="79"/>
      <c r="Y10" s="79"/>
      <c r="Z10" s="54">
        <v>0</v>
      </c>
      <c r="AB10" s="54">
        <v>1</v>
      </c>
      <c r="AC10" s="79" t="s">
        <v>16</v>
      </c>
      <c r="AD10" s="79"/>
      <c r="AE10" s="79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335</v>
      </c>
      <c r="R11" s="138"/>
      <c r="S11" s="138"/>
      <c r="T11" s="138"/>
      <c r="U11" s="138"/>
      <c r="W11" s="79" t="s">
        <v>31</v>
      </c>
      <c r="X11" s="79"/>
      <c r="Y11" s="79"/>
      <c r="Z11" s="54">
        <v>0</v>
      </c>
      <c r="AB11" s="54">
        <v>1</v>
      </c>
      <c r="AC11" s="79" t="s">
        <v>6</v>
      </c>
      <c r="AD11" s="79"/>
      <c r="AE11" s="79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22</v>
      </c>
      <c r="X12" s="79"/>
      <c r="Y12" s="79"/>
      <c r="Z12" s="54">
        <v>0</v>
      </c>
      <c r="AB12" s="54">
        <v>1</v>
      </c>
      <c r="AC12" s="79" t="s">
        <v>56</v>
      </c>
      <c r="AD12" s="79"/>
      <c r="AE12" s="79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10</v>
      </c>
      <c r="T19" s="22">
        <v>14</v>
      </c>
      <c r="U19" s="22">
        <v>16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15</v>
      </c>
      <c r="T21" s="143"/>
      <c r="U21" s="143" t="s">
        <v>6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132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Joseir_1 -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Joseir_1 -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83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31</v>
      </c>
      <c r="X10" s="79"/>
      <c r="Y10" s="79"/>
      <c r="Z10" s="54">
        <v>1</v>
      </c>
      <c r="AB10" s="54">
        <v>0</v>
      </c>
      <c r="AC10" s="79" t="s">
        <v>17</v>
      </c>
      <c r="AD10" s="79"/>
      <c r="AE10" s="79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425</v>
      </c>
      <c r="R11" s="138"/>
      <c r="S11" s="138"/>
      <c r="T11" s="138"/>
      <c r="U11" s="138"/>
      <c r="W11" s="79" t="s">
        <v>6</v>
      </c>
      <c r="X11" s="79"/>
      <c r="Y11" s="79"/>
      <c r="Z11" s="54">
        <v>1</v>
      </c>
      <c r="AB11" s="54">
        <v>0</v>
      </c>
      <c r="AC11" s="79" t="s">
        <v>13</v>
      </c>
      <c r="AD11" s="79"/>
      <c r="AE11" s="79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7</v>
      </c>
      <c r="X12" s="79"/>
      <c r="Y12" s="79"/>
      <c r="Z12" s="54">
        <v>1</v>
      </c>
      <c r="AB12" s="54">
        <v>0</v>
      </c>
      <c r="AC12" s="79" t="s">
        <v>10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30</v>
      </c>
      <c r="X13" s="79"/>
      <c r="Y13" s="79"/>
      <c r="Z13" s="54">
        <v>1</v>
      </c>
      <c r="AB13" s="54">
        <v>0</v>
      </c>
      <c r="AC13" s="79" t="s">
        <v>9</v>
      </c>
      <c r="AD13" s="79"/>
      <c r="AE13" s="79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8</v>
      </c>
      <c r="X14" s="79"/>
      <c r="Y14" s="79"/>
      <c r="Z14" s="54">
        <v>1</v>
      </c>
      <c r="AB14" s="54">
        <v>0</v>
      </c>
      <c r="AC14" s="79" t="s">
        <v>30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9</v>
      </c>
      <c r="X15" s="79"/>
      <c r="Y15" s="79"/>
      <c r="Z15" s="54">
        <v>1</v>
      </c>
      <c r="AB15" s="54">
        <v>0</v>
      </c>
      <c r="AC15" s="79" t="s">
        <v>8</v>
      </c>
      <c r="AD15" s="79"/>
      <c r="AE15" s="79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8</v>
      </c>
      <c r="T19" s="22">
        <v>15</v>
      </c>
      <c r="U19" s="22">
        <v>12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19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133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35" t="str">
        <f>_xlfn.CONCAT(W2,A57)</f>
        <v>Joseir_2 -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5" t="str">
        <f>_xlfn.CONCAT(W2,A67)</f>
        <v>Joseir_2 -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84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4</v>
      </c>
      <c r="X10" s="79"/>
      <c r="Y10" s="79"/>
      <c r="Z10" s="54">
        <v>1</v>
      </c>
      <c r="AB10" s="54">
        <v>2</v>
      </c>
      <c r="AC10" s="79" t="s">
        <v>22</v>
      </c>
      <c r="AD10" s="79"/>
      <c r="AE10" s="79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345</v>
      </c>
      <c r="R11" s="138"/>
      <c r="S11" s="138"/>
      <c r="T11" s="138"/>
      <c r="U11" s="138"/>
      <c r="W11" s="79" t="s">
        <v>15</v>
      </c>
      <c r="X11" s="79"/>
      <c r="Y11" s="79"/>
      <c r="Z11" s="54">
        <v>1</v>
      </c>
      <c r="AB11" s="54">
        <v>1</v>
      </c>
      <c r="AC11" s="79" t="s">
        <v>4</v>
      </c>
      <c r="AD11" s="79"/>
      <c r="AE11" s="79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22</v>
      </c>
      <c r="X12" s="79"/>
      <c r="Y12" s="79"/>
      <c r="Z12" s="54">
        <v>2</v>
      </c>
      <c r="AB12" s="54">
        <v>1</v>
      </c>
      <c r="AC12" s="79" t="s">
        <v>15</v>
      </c>
      <c r="AD12" s="79"/>
      <c r="AE12" s="79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7</v>
      </c>
      <c r="X13" s="79"/>
      <c r="Y13" s="79"/>
      <c r="Z13" s="54">
        <v>1</v>
      </c>
      <c r="AB13" s="54">
        <v>0</v>
      </c>
      <c r="AC13" s="79" t="s">
        <v>10</v>
      </c>
      <c r="AD13" s="79"/>
      <c r="AE13" s="79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ht="15" customHeight="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6</v>
      </c>
      <c r="S19" s="22">
        <v>12</v>
      </c>
      <c r="T19" s="22">
        <v>7</v>
      </c>
      <c r="U19" s="22">
        <v>21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54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135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35" t="str">
        <f>_xlfn.CONCAT(W2,A57)</f>
        <v>Ivani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5" t="str">
        <f>_xlfn.CONCAT(W2,A67)</f>
        <v>Ivani - Quartas de Final</v>
      </c>
      <c r="B68" s="135"/>
      <c r="C68" s="135"/>
      <c r="D68" s="135"/>
      <c r="E68" s="135"/>
      <c r="K68" s="136" t="s">
        <v>139</v>
      </c>
      <c r="L68" s="136"/>
      <c r="M68" s="136"/>
      <c r="N68" s="136"/>
      <c r="O68" s="13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93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31</v>
      </c>
      <c r="X10" s="79"/>
      <c r="Y10" s="79"/>
      <c r="Z10" s="54">
        <v>0</v>
      </c>
      <c r="AB10" s="54">
        <v>1</v>
      </c>
      <c r="AC10" s="79" t="s">
        <v>6</v>
      </c>
      <c r="AD10" s="79"/>
      <c r="AE10" s="79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335</v>
      </c>
      <c r="R11" s="138"/>
      <c r="S11" s="138"/>
      <c r="T11" s="138"/>
      <c r="U11" s="138"/>
      <c r="W11" s="79" t="s">
        <v>15</v>
      </c>
      <c r="X11" s="79"/>
      <c r="Y11" s="79"/>
      <c r="Z11" s="54">
        <v>1</v>
      </c>
      <c r="AB11" s="54">
        <v>1</v>
      </c>
      <c r="AC11" s="79" t="s">
        <v>4</v>
      </c>
      <c r="AD11" s="79"/>
      <c r="AE11" s="79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5</v>
      </c>
      <c r="X12" s="79"/>
      <c r="Y12" s="79"/>
      <c r="Z12" s="54">
        <v>2</v>
      </c>
      <c r="AB12" s="54">
        <v>1</v>
      </c>
      <c r="AC12" s="79" t="s">
        <v>6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5</v>
      </c>
      <c r="T19" s="22">
        <v>12</v>
      </c>
      <c r="U19" s="22">
        <v>19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19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Q29" s="21"/>
      <c r="R29" s="21"/>
      <c r="S29" s="21"/>
      <c r="T29" s="21"/>
      <c r="U29" s="21"/>
      <c r="V29" s="2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Josimar 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Josimar 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86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16</v>
      </c>
      <c r="X10" s="79"/>
      <c r="Y10" s="79"/>
      <c r="Z10" s="54">
        <v>1</v>
      </c>
      <c r="AB10" s="54">
        <v>1</v>
      </c>
      <c r="AC10" s="79" t="s">
        <v>34</v>
      </c>
      <c r="AD10" s="79"/>
      <c r="AE10" s="79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410</v>
      </c>
      <c r="R11" s="138"/>
      <c r="S11" s="138"/>
      <c r="T11" s="138"/>
      <c r="U11" s="138"/>
      <c r="W11" s="79" t="s">
        <v>34</v>
      </c>
      <c r="X11" s="79"/>
      <c r="Y11" s="79"/>
      <c r="Z11" s="54">
        <v>0</v>
      </c>
      <c r="AB11" s="54">
        <v>3</v>
      </c>
      <c r="AC11" s="79" t="s">
        <v>20</v>
      </c>
      <c r="AD11" s="79"/>
      <c r="AE11" s="79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26</v>
      </c>
      <c r="X12" s="79"/>
      <c r="Y12" s="79"/>
      <c r="Z12" s="54">
        <v>2</v>
      </c>
      <c r="AB12" s="54">
        <v>0</v>
      </c>
      <c r="AC12" s="79" t="s">
        <v>55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/>
      <c r="X13" s="79"/>
      <c r="Y13" s="79"/>
      <c r="AC13" s="79"/>
      <c r="AD13" s="79"/>
      <c r="AE13" s="79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14</v>
      </c>
      <c r="T19" s="22">
        <v>6</v>
      </c>
      <c r="U19" s="22">
        <v>15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127</v>
      </c>
      <c r="T22" s="144"/>
      <c r="U22" s="144" t="s">
        <v>128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Julio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Julio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87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28</v>
      </c>
      <c r="X10" s="79"/>
      <c r="Y10" s="79"/>
      <c r="Z10" s="54">
        <v>0</v>
      </c>
      <c r="AB10" s="54">
        <v>2</v>
      </c>
      <c r="AC10" s="79" t="s">
        <v>19</v>
      </c>
      <c r="AD10" s="79"/>
      <c r="AE10" s="79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430</v>
      </c>
      <c r="R11" s="138"/>
      <c r="S11" s="138"/>
      <c r="T11" s="138"/>
      <c r="U11" s="138"/>
      <c r="W11" s="79" t="s">
        <v>19</v>
      </c>
      <c r="X11" s="79"/>
      <c r="Y11" s="79"/>
      <c r="Z11" s="54">
        <v>1</v>
      </c>
      <c r="AB11" s="54">
        <v>1</v>
      </c>
      <c r="AC11" s="79" t="s">
        <v>14</v>
      </c>
      <c r="AD11" s="79"/>
      <c r="AE11" s="79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26</v>
      </c>
      <c r="X12" s="79"/>
      <c r="Y12" s="79"/>
      <c r="Z12" s="54">
        <v>0</v>
      </c>
      <c r="AB12" s="54">
        <v>2</v>
      </c>
      <c r="AC12" s="79" t="s">
        <v>5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15</v>
      </c>
      <c r="X13" s="79"/>
      <c r="Y13" s="79"/>
      <c r="Z13" s="54">
        <v>1</v>
      </c>
      <c r="AB13" s="54">
        <v>1</v>
      </c>
      <c r="AC13" s="79" t="s">
        <v>4</v>
      </c>
      <c r="AD13" s="79"/>
      <c r="AE13" s="79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 t="s">
        <v>18</v>
      </c>
      <c r="X14" s="79"/>
      <c r="Y14" s="79"/>
      <c r="Z14" s="54">
        <v>0</v>
      </c>
      <c r="AB14" s="54">
        <v>2</v>
      </c>
      <c r="AC14" s="79" t="s">
        <v>32</v>
      </c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 t="s">
        <v>5</v>
      </c>
      <c r="X15" s="79"/>
      <c r="Y15" s="79"/>
      <c r="Z15" s="54">
        <v>2</v>
      </c>
      <c r="AB15" s="54">
        <v>1</v>
      </c>
      <c r="AC15" s="79" t="s">
        <v>6</v>
      </c>
      <c r="AD15" s="79"/>
      <c r="AE15" s="79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14</v>
      </c>
      <c r="U19" s="22">
        <v>12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27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131</v>
      </c>
      <c r="T22" s="144"/>
      <c r="U22" s="144" t="s">
        <v>128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Talita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Talita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88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28</v>
      </c>
      <c r="X10" s="79"/>
      <c r="Y10" s="79"/>
      <c r="Z10" s="54">
        <v>0</v>
      </c>
      <c r="AB10" s="54">
        <v>2</v>
      </c>
      <c r="AC10" s="79" t="s">
        <v>19</v>
      </c>
      <c r="AD10" s="79"/>
      <c r="AE10" s="79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405</v>
      </c>
      <c r="R11" s="138"/>
      <c r="S11" s="138"/>
      <c r="T11" s="138"/>
      <c r="U11" s="138"/>
      <c r="W11" s="79" t="s">
        <v>26</v>
      </c>
      <c r="X11" s="79"/>
      <c r="Y11" s="79"/>
      <c r="Z11" s="54">
        <v>2</v>
      </c>
      <c r="AB11" s="54">
        <v>0</v>
      </c>
      <c r="AC11" s="79" t="s">
        <v>55</v>
      </c>
      <c r="AD11" s="79"/>
      <c r="AE11" s="79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18</v>
      </c>
      <c r="X12" s="79"/>
      <c r="Y12" s="79"/>
      <c r="Z12" s="54">
        <v>0</v>
      </c>
      <c r="AB12" s="54">
        <v>2</v>
      </c>
      <c r="AC12" s="79" t="s">
        <v>32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5</v>
      </c>
      <c r="X13" s="79"/>
      <c r="Y13" s="79"/>
      <c r="Z13" s="54">
        <v>2</v>
      </c>
      <c r="AB13" s="54">
        <v>1</v>
      </c>
      <c r="AC13" s="79" t="s">
        <v>6</v>
      </c>
      <c r="AD13" s="79"/>
      <c r="AE13" s="79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11</v>
      </c>
      <c r="T19" s="22">
        <v>9</v>
      </c>
      <c r="U19" s="22">
        <v>15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17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128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Anderson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Anderson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W14:Y14"/>
    <mergeCell ref="AC14:AE14"/>
    <mergeCell ref="Q21:R21"/>
    <mergeCell ref="S21:T21"/>
    <mergeCell ref="U21:V21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39" t="s">
        <v>58</v>
      </c>
      <c r="B1" s="139"/>
      <c r="C1" s="139"/>
      <c r="D1" s="139"/>
      <c r="E1" s="139"/>
      <c r="K1" s="141" t="s">
        <v>58</v>
      </c>
      <c r="L1" s="141"/>
      <c r="M1" s="141"/>
      <c r="N1" s="141"/>
      <c r="O1" s="141"/>
    </row>
    <row r="2" spans="1:31" x14ac:dyDescent="0.25">
      <c r="A2" s="148" t="s">
        <v>43</v>
      </c>
      <c r="B2" s="148"/>
      <c r="C2" s="148"/>
      <c r="D2" s="148"/>
      <c r="E2" s="148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0" t="s">
        <v>89</v>
      </c>
      <c r="X2" s="140"/>
      <c r="Y2" s="140"/>
      <c r="Z2" s="140"/>
      <c r="AA2" s="140"/>
      <c r="AB2" s="140"/>
      <c r="AC2" s="140"/>
      <c r="AD2" s="140"/>
      <c r="AE2" s="140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0"/>
      <c r="X3" s="140"/>
      <c r="Y3" s="140"/>
      <c r="Z3" s="140"/>
      <c r="AA3" s="140"/>
      <c r="AB3" s="140"/>
      <c r="AC3" s="140"/>
      <c r="AD3" s="140"/>
      <c r="AE3" s="140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0"/>
      <c r="X4" s="140"/>
      <c r="Y4" s="140"/>
      <c r="Z4" s="140"/>
      <c r="AA4" s="140"/>
      <c r="AB4" s="140"/>
      <c r="AC4" s="140"/>
      <c r="AD4" s="140"/>
      <c r="AE4" s="140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0"/>
      <c r="X5" s="140"/>
      <c r="Y5" s="140"/>
      <c r="Z5" s="140"/>
      <c r="AA5" s="140"/>
      <c r="AB5" s="140"/>
      <c r="AC5" s="140"/>
      <c r="AD5" s="140"/>
      <c r="AE5" s="140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0"/>
      <c r="X6" s="140"/>
      <c r="Y6" s="140"/>
      <c r="Z6" s="140"/>
      <c r="AA6" s="140"/>
      <c r="AB6" s="140"/>
      <c r="AC6" s="140"/>
      <c r="AD6" s="140"/>
      <c r="AE6" s="140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9" t="s">
        <v>65</v>
      </c>
      <c r="B8" s="139"/>
      <c r="C8" s="139"/>
      <c r="D8" s="139"/>
      <c r="E8" s="139"/>
      <c r="J8" s="17" t="str">
        <f>IF(Tabela!F9="","",Tabela!F9)</f>
        <v/>
      </c>
      <c r="K8" s="141" t="s">
        <v>65</v>
      </c>
      <c r="L8" s="141"/>
      <c r="M8" s="141"/>
      <c r="N8" s="141"/>
      <c r="O8" s="141"/>
    </row>
    <row r="9" spans="1:31" x14ac:dyDescent="0.25">
      <c r="A9" s="148" t="s">
        <v>43</v>
      </c>
      <c r="B9" s="148"/>
      <c r="C9" s="148"/>
      <c r="D9" s="148"/>
      <c r="E9" s="148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37" t="s">
        <v>66</v>
      </c>
      <c r="R9" s="137"/>
      <c r="S9" s="137"/>
      <c r="T9" s="137"/>
      <c r="U9" s="137"/>
      <c r="W9" s="79" t="s">
        <v>124</v>
      </c>
      <c r="X9" s="79"/>
      <c r="Y9" s="79"/>
      <c r="Z9" s="79"/>
      <c r="AA9" s="79"/>
      <c r="AB9" s="79"/>
      <c r="AC9" s="79"/>
      <c r="AD9" s="79"/>
      <c r="AE9" s="79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37"/>
      <c r="R10" s="137"/>
      <c r="S10" s="137"/>
      <c r="T10" s="137"/>
      <c r="U10" s="137"/>
      <c r="W10" s="79" t="s">
        <v>16</v>
      </c>
      <c r="X10" s="79"/>
      <c r="Y10" s="79"/>
      <c r="Z10" s="54">
        <v>1</v>
      </c>
      <c r="AB10" s="54">
        <v>1</v>
      </c>
      <c r="AC10" s="79" t="s">
        <v>34</v>
      </c>
      <c r="AD10" s="79"/>
      <c r="AE10" s="79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8">
        <f>SUM(H2:H66)</f>
        <v>425</v>
      </c>
      <c r="R11" s="138"/>
      <c r="S11" s="138"/>
      <c r="T11" s="138"/>
      <c r="U11" s="138"/>
      <c r="W11" s="79" t="s">
        <v>55</v>
      </c>
      <c r="X11" s="79"/>
      <c r="Y11" s="79"/>
      <c r="Z11" s="54">
        <v>1</v>
      </c>
      <c r="AB11" s="54">
        <v>2</v>
      </c>
      <c r="AC11" s="79" t="s">
        <v>24</v>
      </c>
      <c r="AD11" s="79"/>
      <c r="AE11" s="79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8"/>
      <c r="R12" s="138"/>
      <c r="S12" s="138"/>
      <c r="T12" s="138"/>
      <c r="U12" s="138"/>
      <c r="W12" s="79" t="s">
        <v>10</v>
      </c>
      <c r="X12" s="79"/>
      <c r="Y12" s="79"/>
      <c r="Z12" s="54">
        <v>1</v>
      </c>
      <c r="AB12" s="54">
        <v>2</v>
      </c>
      <c r="AC12" s="79" t="s">
        <v>23</v>
      </c>
      <c r="AD12" s="79"/>
      <c r="AE12" s="79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8"/>
      <c r="R13" s="138"/>
      <c r="S13" s="138"/>
      <c r="T13" s="138"/>
      <c r="U13" s="138"/>
      <c r="W13" s="79" t="s">
        <v>5</v>
      </c>
      <c r="X13" s="79"/>
      <c r="Y13" s="79"/>
      <c r="Z13" s="54">
        <v>2</v>
      </c>
      <c r="AB13" s="54">
        <v>1</v>
      </c>
      <c r="AC13" s="79" t="s">
        <v>6</v>
      </c>
      <c r="AD13" s="79"/>
      <c r="AE13" s="79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8"/>
      <c r="R14" s="138"/>
      <c r="S14" s="138"/>
      <c r="T14" s="138"/>
      <c r="U14" s="138"/>
      <c r="W14" s="79"/>
      <c r="X14" s="79"/>
      <c r="Y14" s="79"/>
      <c r="AC14" s="79"/>
      <c r="AD14" s="79"/>
      <c r="AE14" s="79"/>
    </row>
    <row r="15" spans="1:31" x14ac:dyDescent="0.25">
      <c r="A15" s="139" t="s">
        <v>64</v>
      </c>
      <c r="B15" s="139"/>
      <c r="C15" s="139"/>
      <c r="D15" s="139"/>
      <c r="E15" s="139"/>
      <c r="J15" s="17" t="str">
        <f>IF(Tabela!F16="","",Tabela!F16)</f>
        <v/>
      </c>
      <c r="K15" s="141" t="s">
        <v>64</v>
      </c>
      <c r="L15" s="141"/>
      <c r="M15" s="141"/>
      <c r="N15" s="141"/>
      <c r="O15" s="141"/>
      <c r="Q15" s="138"/>
      <c r="R15" s="138"/>
      <c r="S15" s="138"/>
      <c r="T15" s="138"/>
      <c r="U15" s="138"/>
      <c r="W15" s="79"/>
      <c r="X15" s="79"/>
      <c r="Y15" s="79"/>
      <c r="AC15" s="79"/>
      <c r="AD15" s="79"/>
      <c r="AE15" s="79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79"/>
      <c r="X16" s="79"/>
      <c r="Y16" s="79"/>
      <c r="AC16" s="79"/>
      <c r="AD16" s="79"/>
      <c r="AE16" s="79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79"/>
      <c r="X17" s="79"/>
      <c r="Y17" s="79"/>
      <c r="AC17" s="79"/>
      <c r="AD17" s="79"/>
      <c r="AE17" s="79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79"/>
      <c r="X18" s="79"/>
      <c r="Y18" s="79"/>
      <c r="AC18" s="79"/>
      <c r="AD18" s="79"/>
      <c r="AE18" s="7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18</v>
      </c>
      <c r="T19" s="22">
        <v>5</v>
      </c>
      <c r="U19" s="22">
        <v>13</v>
      </c>
      <c r="W19" s="79"/>
      <c r="X19" s="79"/>
      <c r="Y19" s="79"/>
      <c r="AC19" s="79"/>
      <c r="AD19" s="79"/>
      <c r="AE19" s="7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79"/>
      <c r="X20" s="79"/>
      <c r="Y20" s="79"/>
      <c r="AC20" s="79"/>
      <c r="AD20" s="79"/>
      <c r="AE20" s="7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2" t="s">
        <v>42</v>
      </c>
      <c r="R21" s="142"/>
      <c r="S21" s="143" t="s">
        <v>8</v>
      </c>
      <c r="T21" s="143"/>
      <c r="U21" s="143" t="s">
        <v>15</v>
      </c>
      <c r="V21" s="143"/>
      <c r="W21" s="79"/>
      <c r="X21" s="79"/>
      <c r="Y21" s="79"/>
      <c r="AC21" s="79"/>
      <c r="AD21" s="79"/>
      <c r="AE21" s="79"/>
    </row>
    <row r="22" spans="1:31" x14ac:dyDescent="0.25">
      <c r="A22" s="139" t="s">
        <v>63</v>
      </c>
      <c r="B22" s="139"/>
      <c r="C22" s="139"/>
      <c r="D22" s="139"/>
      <c r="E22" s="139"/>
      <c r="J22" s="17" t="str">
        <f>IF(Tabela!F23="","",Tabela!F23)</f>
        <v/>
      </c>
      <c r="K22" s="141" t="s">
        <v>63</v>
      </c>
      <c r="L22" s="141"/>
      <c r="M22" s="141"/>
      <c r="N22" s="141"/>
      <c r="O22" s="141"/>
      <c r="Q22" s="142" t="s">
        <v>41</v>
      </c>
      <c r="R22" s="142"/>
      <c r="S22" s="144" t="s">
        <v>129</v>
      </c>
      <c r="T22" s="144"/>
      <c r="U22" s="144" t="s">
        <v>130</v>
      </c>
      <c r="V22" s="144"/>
      <c r="W22" s="79"/>
      <c r="X22" s="79"/>
      <c r="Y22" s="79"/>
      <c r="AC22" s="79"/>
      <c r="AD22" s="79"/>
      <c r="AE22" s="79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79"/>
      <c r="X23" s="79"/>
      <c r="Y23" s="79"/>
      <c r="AC23" s="79"/>
      <c r="AD23" s="79"/>
      <c r="AE23" s="79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79"/>
      <c r="X24" s="79"/>
      <c r="Y24" s="79"/>
      <c r="AC24" s="79"/>
      <c r="AD24" s="79"/>
      <c r="AE24" s="79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79"/>
      <c r="X25" s="79"/>
      <c r="Y25" s="79"/>
      <c r="AC25" s="79"/>
      <c r="AD25" s="79"/>
      <c r="AE25" s="79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79"/>
      <c r="X26" s="79"/>
      <c r="Y26" s="79"/>
      <c r="AC26" s="79"/>
      <c r="AD26" s="79"/>
      <c r="AE26" s="7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79"/>
      <c r="X27" s="79"/>
      <c r="Y27" s="79"/>
      <c r="AC27" s="79"/>
      <c r="AD27" s="79"/>
      <c r="AE27" s="79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79"/>
      <c r="X28" s="79"/>
      <c r="Y28" s="79"/>
      <c r="AC28" s="79"/>
      <c r="AD28" s="79"/>
      <c r="AE28" s="79"/>
    </row>
    <row r="29" spans="1:31" x14ac:dyDescent="0.25">
      <c r="A29" s="139" t="s">
        <v>62</v>
      </c>
      <c r="B29" s="139"/>
      <c r="C29" s="139"/>
      <c r="D29" s="139"/>
      <c r="E29" s="139"/>
      <c r="K29" s="141" t="s">
        <v>62</v>
      </c>
      <c r="L29" s="141"/>
      <c r="M29" s="141"/>
      <c r="N29" s="141"/>
      <c r="O29" s="141"/>
      <c r="W29" s="79"/>
      <c r="X29" s="79"/>
      <c r="Y29" s="79"/>
      <c r="AC29" s="79"/>
      <c r="AD29" s="79"/>
      <c r="AE29" s="79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79"/>
      <c r="X30" s="79"/>
      <c r="Y30" s="79"/>
      <c r="AC30" s="79"/>
      <c r="AD30" s="79"/>
      <c r="AE30" s="79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9" t="s">
        <v>61</v>
      </c>
      <c r="B36" s="139"/>
      <c r="C36" s="139"/>
      <c r="D36" s="139"/>
      <c r="E36" s="139"/>
      <c r="J36" s="17" t="str">
        <f>IF(Tabela!L9="","",Tabela!L9)</f>
        <v/>
      </c>
      <c r="K36" s="141" t="s">
        <v>61</v>
      </c>
      <c r="L36" s="141"/>
      <c r="M36" s="141"/>
      <c r="N36" s="141"/>
      <c r="O36" s="14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9" t="s">
        <v>60</v>
      </c>
      <c r="B43" s="139"/>
      <c r="C43" s="139"/>
      <c r="D43" s="139"/>
      <c r="E43" s="139"/>
      <c r="J43" s="17" t="str">
        <f>IF(Tabela!L16="","",Tabela!L16)</f>
        <v/>
      </c>
      <c r="K43" s="141" t="s">
        <v>60</v>
      </c>
      <c r="L43" s="141"/>
      <c r="M43" s="141"/>
      <c r="N43" s="141"/>
      <c r="O43" s="14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9" t="s">
        <v>59</v>
      </c>
      <c r="B50" s="139"/>
      <c r="C50" s="139"/>
      <c r="D50" s="139"/>
      <c r="E50" s="139"/>
      <c r="J50" s="17" t="str">
        <f>IF(Tabela!L23="","",Tabela!L23)</f>
        <v/>
      </c>
      <c r="K50" s="141" t="s">
        <v>59</v>
      </c>
      <c r="L50" s="141"/>
      <c r="M50" s="141"/>
      <c r="N50" s="141"/>
      <c r="O50" s="14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5" t="str">
        <f>_xlfn.CONCAT(W2,A57)</f>
        <v>Cléofaz - Oitavas de Final</v>
      </c>
      <c r="B58" s="145"/>
      <c r="C58" s="145"/>
      <c r="D58" s="145"/>
      <c r="E58" s="145"/>
      <c r="K58" s="146" t="s">
        <v>171</v>
      </c>
      <c r="L58" s="146"/>
      <c r="M58" s="146"/>
      <c r="N58" s="146"/>
      <c r="O58" s="14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8" t="str">
        <f>IF(Tabela!B37="","",Tabela!B37)</f>
        <v/>
      </c>
      <c r="M64" s="68" t="str">
        <f>IF(Tabela!C37="","",Tabela!C37)</f>
        <v>X</v>
      </c>
      <c r="N64" s="68" t="str">
        <f>IF(Tabela!D37="","",Tabela!D37)</f>
        <v/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5" t="str">
        <f>_xlfn.CONCAT(W2,A67)</f>
        <v>Cléofaz - Quartas de Final</v>
      </c>
      <c r="B68" s="145"/>
      <c r="C68" s="145"/>
      <c r="D68" s="145"/>
      <c r="E68" s="145"/>
      <c r="K68" s="146" t="s">
        <v>139</v>
      </c>
      <c r="L68" s="146"/>
      <c r="M68" s="146"/>
      <c r="N68" s="146"/>
      <c r="O68" s="146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Croácia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58:E58"/>
    <mergeCell ref="K58:O58"/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Placar Exato</vt:lpstr>
      <vt:lpstr>Classificação</vt:lpstr>
      <vt:lpstr>Oitavas</vt:lpstr>
      <vt:lpstr>Tabela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2022-12-03T22:24:38Z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2022-12-03T22:24:38Z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88824fcf-e510-4b15-b9db-1c516e047284</vt:lpwstr>
  </property>
  <property fmtid="{D5CDD505-2E9C-101B-9397-08002B2CF9AE}" pid="8" name="MSIP_Label_c06de4a7-0f08-40d9-aeea-6b6c28cbe58e_ContentBits">
    <vt:lpwstr>2</vt:lpwstr>
  </property>
</Properties>
</file>