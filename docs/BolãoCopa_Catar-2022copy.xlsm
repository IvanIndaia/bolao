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ivan.alex\Documents\@Ivan_Alex\GitHub\bolao\docs\"/>
    </mc:Choice>
  </mc:AlternateContent>
  <xr:revisionPtr revIDLastSave="0" documentId="13_ncr:1_{53B76FD0-AC52-4604-9A48-3A04F08A47C5}" xr6:coauthVersionLast="47" xr6:coauthVersionMax="47" xr10:uidLastSave="{00000000-0000-0000-0000-000000000000}"/>
  <bookViews>
    <workbookView xWindow="-20610" yWindow="-120" windowWidth="20730" windowHeight="11160" tabRatio="791" firstSheet="1" activeTab="1" xr2:uid="{779A00DC-359A-4F42-A9CB-BE9275E20E22}"/>
  </bookViews>
  <sheets>
    <sheet name="Placar Exato" sheetId="41" r:id="rId1"/>
    <sheet name="Classificação" sheetId="31" r:id="rId2"/>
    <sheet name="Oitavas" sheetId="42" state="hidden" r:id="rId3"/>
    <sheet name="Tabela" sheetId="1" r:id="rId4"/>
    <sheet name="Macélio" sheetId="11" r:id="rId5"/>
    <sheet name="Ivan Alex_1" sheetId="3" r:id="rId6"/>
    <sheet name="Bruno Flores" sheetId="6" r:id="rId7"/>
    <sheet name="Ivan Alex_2" sheetId="10" r:id="rId8"/>
    <sheet name="Gabriel" sheetId="28" r:id="rId9"/>
    <sheet name="Luis" sheetId="29" r:id="rId10"/>
    <sheet name="Juninho_1" sheetId="17" r:id="rId11"/>
    <sheet name="Juninho_2" sheetId="18" r:id="rId12"/>
    <sheet name="Luana" sheetId="12" r:id="rId13"/>
    <sheet name="Mácio" sheetId="16" r:id="rId14"/>
    <sheet name="Alex" sheetId="13" r:id="rId15"/>
    <sheet name="Jean" sheetId="19" r:id="rId16"/>
    <sheet name="Robert" sheetId="20" r:id="rId17"/>
    <sheet name="Roberto" sheetId="21" r:id="rId18"/>
    <sheet name="Andréia" sheetId="22" r:id="rId19"/>
    <sheet name="Joseir_1" sheetId="23" r:id="rId20"/>
    <sheet name="Joseir_2" sheetId="24" r:id="rId21"/>
    <sheet name="Ivani" sheetId="25" r:id="rId22"/>
    <sheet name="Josimar" sheetId="26" r:id="rId23"/>
    <sheet name="Julio" sheetId="27" r:id="rId24"/>
    <sheet name="Talita" sheetId="30" r:id="rId25"/>
    <sheet name="Anderson" sheetId="32" r:id="rId26"/>
    <sheet name="Cléofaz" sheetId="34" r:id="rId2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58" i="34" l="1"/>
  <c r="A58" i="32"/>
  <c r="A58" i="30"/>
  <c r="A58" i="27"/>
  <c r="A58" i="26"/>
  <c r="A58" i="25"/>
  <c r="A58" i="24"/>
  <c r="A58" i="23"/>
  <c r="A58" i="22"/>
  <c r="A58" i="21"/>
  <c r="A58" i="20"/>
  <c r="A58" i="19"/>
  <c r="A58" i="13"/>
  <c r="A58" i="16"/>
  <c r="A58" i="12"/>
  <c r="A58" i="18"/>
  <c r="A58" i="17"/>
  <c r="A58" i="29"/>
  <c r="A58" i="28"/>
  <c r="A58" i="10"/>
  <c r="A58" i="6"/>
  <c r="A58" i="3"/>
  <c r="A58" i="11"/>
  <c r="Q11" i="34"/>
  <c r="Q11" i="32"/>
  <c r="Q11" i="30"/>
  <c r="L11" i="31" s="1"/>
  <c r="Q11" i="27"/>
  <c r="P22" i="31" s="1"/>
  <c r="Q11" i="26"/>
  <c r="L24" i="31" s="1"/>
  <c r="Q11" i="25"/>
  <c r="Q11" i="24"/>
  <c r="P19" i="31" s="1"/>
  <c r="Q11" i="23"/>
  <c r="L23" i="31" s="1"/>
  <c r="Q11" i="22"/>
  <c r="P17" i="31" s="1"/>
  <c r="Q11" i="21"/>
  <c r="Q11" i="20"/>
  <c r="P15" i="31" s="1"/>
  <c r="Q11" i="19"/>
  <c r="L7" i="31" s="1"/>
  <c r="Q11" i="13"/>
  <c r="Q11" i="16"/>
  <c r="Q11" i="12"/>
  <c r="L6" i="31" s="1"/>
  <c r="Q11" i="18"/>
  <c r="L17" i="31" s="1"/>
  <c r="Q11" i="17"/>
  <c r="P9" i="31" s="1"/>
  <c r="Q11" i="29"/>
  <c r="Q11" i="28"/>
  <c r="P7" i="31" s="1"/>
  <c r="Q11" i="10"/>
  <c r="P6" i="31" s="1"/>
  <c r="Q11" i="6"/>
  <c r="Q11" i="3"/>
  <c r="Q11" i="11"/>
  <c r="L5" i="31" s="1"/>
  <c r="J59" i="34"/>
  <c r="J59" i="32"/>
  <c r="J59" i="30"/>
  <c r="J59" i="27"/>
  <c r="J59" i="26"/>
  <c r="J59" i="25"/>
  <c r="J59" i="24"/>
  <c r="J59" i="23"/>
  <c r="J59" i="22"/>
  <c r="J59" i="21"/>
  <c r="J59" i="20"/>
  <c r="J59" i="19"/>
  <c r="J59" i="13"/>
  <c r="J59" i="16"/>
  <c r="J59" i="12"/>
  <c r="J59" i="18"/>
  <c r="J59" i="17"/>
  <c r="J59" i="29"/>
  <c r="J59" i="28"/>
  <c r="J59" i="10"/>
  <c r="J59" i="6"/>
  <c r="J59" i="3"/>
  <c r="J59" i="11"/>
  <c r="J60" i="34"/>
  <c r="J61" i="34"/>
  <c r="J62" i="34"/>
  <c r="J63" i="34"/>
  <c r="J64" i="34"/>
  <c r="J65" i="34"/>
  <c r="J66" i="34"/>
  <c r="J60" i="32"/>
  <c r="J61" i="32"/>
  <c r="J62" i="32"/>
  <c r="J63" i="32"/>
  <c r="J64" i="32"/>
  <c r="J65" i="32"/>
  <c r="J66" i="32"/>
  <c r="J60" i="30"/>
  <c r="J61" i="30"/>
  <c r="J62" i="30"/>
  <c r="J63" i="30"/>
  <c r="J64" i="30"/>
  <c r="J65" i="30"/>
  <c r="J66" i="30"/>
  <c r="J60" i="27"/>
  <c r="J61" i="27"/>
  <c r="J62" i="27"/>
  <c r="J63" i="27"/>
  <c r="J64" i="27"/>
  <c r="J65" i="27"/>
  <c r="J66" i="27"/>
  <c r="J60" i="26"/>
  <c r="J61" i="26"/>
  <c r="J62" i="26"/>
  <c r="J63" i="26"/>
  <c r="J64" i="26"/>
  <c r="J65" i="26"/>
  <c r="J66" i="26"/>
  <c r="J60" i="25"/>
  <c r="J61" i="25"/>
  <c r="J62" i="25"/>
  <c r="J63" i="25"/>
  <c r="J64" i="25"/>
  <c r="J65" i="25"/>
  <c r="J66" i="25"/>
  <c r="J60" i="24"/>
  <c r="J61" i="24"/>
  <c r="J62" i="24"/>
  <c r="J63" i="24"/>
  <c r="J64" i="24"/>
  <c r="J65" i="24"/>
  <c r="J66" i="24"/>
  <c r="J60" i="23"/>
  <c r="J61" i="23"/>
  <c r="J62" i="23"/>
  <c r="J63" i="23"/>
  <c r="J64" i="23"/>
  <c r="J65" i="23"/>
  <c r="J66" i="23"/>
  <c r="J60" i="22"/>
  <c r="J61" i="22"/>
  <c r="J62" i="22"/>
  <c r="J63" i="22"/>
  <c r="J64" i="22"/>
  <c r="J65" i="22"/>
  <c r="J66" i="22"/>
  <c r="J60" i="21"/>
  <c r="J61" i="21"/>
  <c r="J62" i="21"/>
  <c r="J63" i="21"/>
  <c r="J64" i="21"/>
  <c r="J65" i="21"/>
  <c r="J66" i="21"/>
  <c r="J60" i="20"/>
  <c r="J61" i="20"/>
  <c r="J62" i="20"/>
  <c r="J63" i="20"/>
  <c r="J64" i="20"/>
  <c r="J65" i="20"/>
  <c r="J66" i="20"/>
  <c r="J60" i="19"/>
  <c r="J61" i="19"/>
  <c r="J62" i="19"/>
  <c r="J63" i="19"/>
  <c r="J64" i="19"/>
  <c r="J65" i="19"/>
  <c r="J66" i="19"/>
  <c r="J60" i="13"/>
  <c r="J61" i="13"/>
  <c r="J62" i="13"/>
  <c r="J63" i="13"/>
  <c r="J64" i="13"/>
  <c r="J65" i="13"/>
  <c r="J66" i="13"/>
  <c r="J60" i="16"/>
  <c r="J61" i="16"/>
  <c r="J62" i="16"/>
  <c r="J63" i="16"/>
  <c r="J64" i="16"/>
  <c r="J65" i="16"/>
  <c r="J66" i="16"/>
  <c r="J60" i="12"/>
  <c r="J61" i="12"/>
  <c r="J62" i="12"/>
  <c r="J63" i="12"/>
  <c r="J64" i="12"/>
  <c r="J65" i="12"/>
  <c r="J66" i="12"/>
  <c r="J60" i="18"/>
  <c r="J61" i="18"/>
  <c r="J62" i="18"/>
  <c r="J63" i="18"/>
  <c r="J64" i="18"/>
  <c r="J65" i="18"/>
  <c r="J66" i="18"/>
  <c r="J60" i="17"/>
  <c r="J61" i="17"/>
  <c r="J62" i="17"/>
  <c r="J63" i="17"/>
  <c r="J64" i="17"/>
  <c r="J65" i="17"/>
  <c r="J66" i="17"/>
  <c r="J60" i="29"/>
  <c r="J61" i="29"/>
  <c r="J62" i="29"/>
  <c r="J63" i="29"/>
  <c r="J64" i="29"/>
  <c r="J65" i="29"/>
  <c r="J66" i="29"/>
  <c r="J60" i="28"/>
  <c r="J61" i="28"/>
  <c r="J62" i="28"/>
  <c r="J63" i="28"/>
  <c r="J64" i="28"/>
  <c r="J65" i="28"/>
  <c r="J66" i="28"/>
  <c r="J60" i="10"/>
  <c r="J61" i="10"/>
  <c r="J62" i="10"/>
  <c r="J63" i="10"/>
  <c r="J64" i="10"/>
  <c r="J65" i="10"/>
  <c r="J66" i="10"/>
  <c r="J60" i="6"/>
  <c r="J61" i="6"/>
  <c r="J62" i="6"/>
  <c r="J63" i="6"/>
  <c r="J64" i="6"/>
  <c r="J65" i="6"/>
  <c r="J66" i="6"/>
  <c r="J60" i="3"/>
  <c r="J61" i="3"/>
  <c r="J62" i="3"/>
  <c r="J63" i="3"/>
  <c r="J64" i="3"/>
  <c r="J65" i="3"/>
  <c r="J66" i="3"/>
  <c r="J60" i="11"/>
  <c r="J61" i="11"/>
  <c r="J62" i="11"/>
  <c r="J63" i="11"/>
  <c r="J64" i="11"/>
  <c r="J65" i="11"/>
  <c r="J66" i="11"/>
  <c r="J57" i="11"/>
  <c r="J58" i="11"/>
  <c r="K60" i="34"/>
  <c r="L60" i="34"/>
  <c r="M60" i="34"/>
  <c r="N60" i="34"/>
  <c r="O60" i="34"/>
  <c r="K61" i="34"/>
  <c r="L61" i="34"/>
  <c r="M61" i="34"/>
  <c r="N61" i="34"/>
  <c r="O61" i="34"/>
  <c r="K62" i="34"/>
  <c r="L62" i="34"/>
  <c r="M62" i="34"/>
  <c r="N62" i="34"/>
  <c r="O62" i="34"/>
  <c r="K63" i="34"/>
  <c r="L63" i="34"/>
  <c r="M63" i="34"/>
  <c r="N63" i="34"/>
  <c r="O63" i="34"/>
  <c r="K64" i="34"/>
  <c r="L64" i="34"/>
  <c r="M64" i="34"/>
  <c r="N64" i="34"/>
  <c r="O64" i="34"/>
  <c r="K65" i="34"/>
  <c r="L65" i="34"/>
  <c r="M65" i="34"/>
  <c r="N65" i="34"/>
  <c r="O65" i="34"/>
  <c r="K66" i="34"/>
  <c r="L66" i="34"/>
  <c r="M66" i="34"/>
  <c r="N66" i="34"/>
  <c r="O66" i="34"/>
  <c r="L59" i="34"/>
  <c r="M59" i="34"/>
  <c r="N59" i="34"/>
  <c r="O59" i="34"/>
  <c r="K59" i="34"/>
  <c r="K60" i="32"/>
  <c r="L60" i="32"/>
  <c r="M60" i="32"/>
  <c r="N60" i="32"/>
  <c r="O60" i="32"/>
  <c r="K61" i="32"/>
  <c r="L61" i="32"/>
  <c r="M61" i="32"/>
  <c r="N61" i="32"/>
  <c r="O61" i="32"/>
  <c r="K62" i="32"/>
  <c r="L62" i="32"/>
  <c r="M62" i="32"/>
  <c r="N62" i="32"/>
  <c r="O62" i="32"/>
  <c r="K63" i="32"/>
  <c r="L63" i="32"/>
  <c r="M63" i="32"/>
  <c r="N63" i="32"/>
  <c r="O63" i="32"/>
  <c r="K64" i="32"/>
  <c r="L64" i="32"/>
  <c r="M64" i="32"/>
  <c r="N64" i="32"/>
  <c r="O64" i="32"/>
  <c r="K65" i="32"/>
  <c r="L65" i="32"/>
  <c r="M65" i="32"/>
  <c r="N65" i="32"/>
  <c r="O65" i="32"/>
  <c r="K66" i="32"/>
  <c r="L66" i="32"/>
  <c r="M66" i="32"/>
  <c r="N66" i="32"/>
  <c r="O66" i="32"/>
  <c r="L59" i="32"/>
  <c r="M59" i="32"/>
  <c r="N59" i="32"/>
  <c r="O59" i="32"/>
  <c r="K59" i="32"/>
  <c r="K60" i="30"/>
  <c r="L60" i="30"/>
  <c r="M60" i="30"/>
  <c r="N60" i="30"/>
  <c r="O60" i="30"/>
  <c r="K61" i="30"/>
  <c r="L61" i="30"/>
  <c r="M61" i="30"/>
  <c r="N61" i="30"/>
  <c r="O61" i="30"/>
  <c r="K62" i="30"/>
  <c r="L62" i="30"/>
  <c r="M62" i="30"/>
  <c r="N62" i="30"/>
  <c r="O62" i="30"/>
  <c r="K63" i="30"/>
  <c r="L63" i="30"/>
  <c r="M63" i="30"/>
  <c r="N63" i="30"/>
  <c r="O63" i="30"/>
  <c r="K64" i="30"/>
  <c r="L64" i="30"/>
  <c r="M64" i="30"/>
  <c r="N64" i="30"/>
  <c r="O64" i="30"/>
  <c r="K65" i="30"/>
  <c r="L65" i="30"/>
  <c r="M65" i="30"/>
  <c r="N65" i="30"/>
  <c r="O65" i="30"/>
  <c r="K66" i="30"/>
  <c r="L66" i="30"/>
  <c r="M66" i="30"/>
  <c r="N66" i="30"/>
  <c r="O66" i="30"/>
  <c r="L59" i="30"/>
  <c r="M59" i="30"/>
  <c r="N59" i="30"/>
  <c r="O59" i="30"/>
  <c r="K59" i="30"/>
  <c r="K60" i="27"/>
  <c r="L60" i="27"/>
  <c r="M60" i="27"/>
  <c r="N60" i="27"/>
  <c r="O60" i="27"/>
  <c r="K61" i="27"/>
  <c r="L61" i="27"/>
  <c r="M61" i="27"/>
  <c r="N61" i="27"/>
  <c r="O61" i="27"/>
  <c r="K62" i="27"/>
  <c r="L62" i="27"/>
  <c r="M62" i="27"/>
  <c r="N62" i="27"/>
  <c r="O62" i="27"/>
  <c r="K63" i="27"/>
  <c r="L63" i="27"/>
  <c r="M63" i="27"/>
  <c r="N63" i="27"/>
  <c r="O63" i="27"/>
  <c r="K64" i="27"/>
  <c r="L64" i="27"/>
  <c r="M64" i="27"/>
  <c r="N64" i="27"/>
  <c r="O64" i="27"/>
  <c r="K65" i="27"/>
  <c r="L65" i="27"/>
  <c r="M65" i="27"/>
  <c r="N65" i="27"/>
  <c r="O65" i="27"/>
  <c r="K66" i="27"/>
  <c r="L66" i="27"/>
  <c r="M66" i="27"/>
  <c r="N66" i="27"/>
  <c r="O66" i="27"/>
  <c r="L59" i="27"/>
  <c r="M59" i="27"/>
  <c r="N59" i="27"/>
  <c r="O59" i="27"/>
  <c r="K59" i="27"/>
  <c r="K60" i="26"/>
  <c r="L60" i="26"/>
  <c r="M60" i="26"/>
  <c r="N60" i="26"/>
  <c r="O60" i="26"/>
  <c r="K61" i="26"/>
  <c r="L61" i="26"/>
  <c r="M61" i="26"/>
  <c r="N61" i="26"/>
  <c r="O61" i="26"/>
  <c r="K62" i="26"/>
  <c r="L62" i="26"/>
  <c r="M62" i="26"/>
  <c r="N62" i="26"/>
  <c r="O62" i="26"/>
  <c r="K63" i="26"/>
  <c r="L63" i="26"/>
  <c r="M63" i="26"/>
  <c r="N63" i="26"/>
  <c r="O63" i="26"/>
  <c r="K64" i="26"/>
  <c r="L64" i="26"/>
  <c r="M64" i="26"/>
  <c r="N64" i="26"/>
  <c r="O64" i="26"/>
  <c r="K65" i="26"/>
  <c r="L65" i="26"/>
  <c r="M65" i="26"/>
  <c r="N65" i="26"/>
  <c r="O65" i="26"/>
  <c r="K66" i="26"/>
  <c r="L66" i="26"/>
  <c r="M66" i="26"/>
  <c r="N66" i="26"/>
  <c r="O66" i="26"/>
  <c r="L59" i="26"/>
  <c r="M59" i="26"/>
  <c r="N59" i="26"/>
  <c r="O59" i="26"/>
  <c r="K59" i="26"/>
  <c r="K60" i="25"/>
  <c r="L60" i="25"/>
  <c r="M60" i="25"/>
  <c r="N60" i="25"/>
  <c r="O60" i="25"/>
  <c r="K61" i="25"/>
  <c r="L61" i="25"/>
  <c r="M61" i="25"/>
  <c r="N61" i="25"/>
  <c r="O61" i="25"/>
  <c r="K62" i="25"/>
  <c r="L62" i="25"/>
  <c r="M62" i="25"/>
  <c r="N62" i="25"/>
  <c r="O62" i="25"/>
  <c r="K63" i="25"/>
  <c r="L63" i="25"/>
  <c r="M63" i="25"/>
  <c r="N63" i="25"/>
  <c r="O63" i="25"/>
  <c r="K64" i="25"/>
  <c r="L64" i="25"/>
  <c r="M64" i="25"/>
  <c r="N64" i="25"/>
  <c r="O64" i="25"/>
  <c r="K65" i="25"/>
  <c r="L65" i="25"/>
  <c r="M65" i="25"/>
  <c r="N65" i="25"/>
  <c r="O65" i="25"/>
  <c r="K66" i="25"/>
  <c r="L66" i="25"/>
  <c r="M66" i="25"/>
  <c r="N66" i="25"/>
  <c r="O66" i="25"/>
  <c r="L59" i="25"/>
  <c r="M59" i="25"/>
  <c r="N59" i="25"/>
  <c r="O59" i="25"/>
  <c r="K59" i="25"/>
  <c r="K60" i="24"/>
  <c r="L60" i="24"/>
  <c r="M60" i="24"/>
  <c r="N60" i="24"/>
  <c r="O60" i="24"/>
  <c r="K61" i="24"/>
  <c r="L61" i="24"/>
  <c r="M61" i="24"/>
  <c r="N61" i="24"/>
  <c r="O61" i="24"/>
  <c r="K62" i="24"/>
  <c r="L62" i="24"/>
  <c r="M62" i="24"/>
  <c r="N62" i="24"/>
  <c r="O62" i="24"/>
  <c r="K63" i="24"/>
  <c r="L63" i="24"/>
  <c r="M63" i="24"/>
  <c r="N63" i="24"/>
  <c r="O63" i="24"/>
  <c r="K64" i="24"/>
  <c r="L64" i="24"/>
  <c r="M64" i="24"/>
  <c r="N64" i="24"/>
  <c r="O64" i="24"/>
  <c r="K65" i="24"/>
  <c r="L65" i="24"/>
  <c r="M65" i="24"/>
  <c r="N65" i="24"/>
  <c r="O65" i="24"/>
  <c r="K66" i="24"/>
  <c r="L66" i="24"/>
  <c r="M66" i="24"/>
  <c r="N66" i="24"/>
  <c r="O66" i="24"/>
  <c r="L59" i="24"/>
  <c r="M59" i="24"/>
  <c r="N59" i="24"/>
  <c r="O59" i="24"/>
  <c r="K59" i="24"/>
  <c r="K60" i="23"/>
  <c r="L60" i="23"/>
  <c r="M60" i="23"/>
  <c r="N60" i="23"/>
  <c r="O60" i="23"/>
  <c r="K61" i="23"/>
  <c r="L61" i="23"/>
  <c r="M61" i="23"/>
  <c r="N61" i="23"/>
  <c r="O61" i="23"/>
  <c r="K62" i="23"/>
  <c r="L62" i="23"/>
  <c r="M62" i="23"/>
  <c r="N62" i="23"/>
  <c r="O62" i="23"/>
  <c r="K63" i="23"/>
  <c r="L63" i="23"/>
  <c r="M63" i="23"/>
  <c r="N63" i="23"/>
  <c r="O63" i="23"/>
  <c r="K64" i="23"/>
  <c r="L64" i="23"/>
  <c r="M64" i="23"/>
  <c r="N64" i="23"/>
  <c r="O64" i="23"/>
  <c r="K65" i="23"/>
  <c r="L65" i="23"/>
  <c r="M65" i="23"/>
  <c r="N65" i="23"/>
  <c r="O65" i="23"/>
  <c r="K66" i="23"/>
  <c r="L66" i="23"/>
  <c r="M66" i="23"/>
  <c r="N66" i="23"/>
  <c r="O66" i="23"/>
  <c r="L59" i="23"/>
  <c r="M59" i="23"/>
  <c r="N59" i="23"/>
  <c r="O59" i="23"/>
  <c r="K59" i="23"/>
  <c r="K60" i="22"/>
  <c r="L60" i="22"/>
  <c r="M60" i="22"/>
  <c r="N60" i="22"/>
  <c r="O60" i="22"/>
  <c r="K61" i="22"/>
  <c r="L61" i="22"/>
  <c r="M61" i="22"/>
  <c r="N61" i="22"/>
  <c r="O61" i="22"/>
  <c r="K62" i="22"/>
  <c r="L62" i="22"/>
  <c r="M62" i="22"/>
  <c r="N62" i="22"/>
  <c r="O62" i="22"/>
  <c r="K63" i="22"/>
  <c r="L63" i="22"/>
  <c r="M63" i="22"/>
  <c r="N63" i="22"/>
  <c r="O63" i="22"/>
  <c r="K64" i="22"/>
  <c r="L64" i="22"/>
  <c r="M64" i="22"/>
  <c r="N64" i="22"/>
  <c r="O64" i="22"/>
  <c r="K65" i="22"/>
  <c r="L65" i="22"/>
  <c r="M65" i="22"/>
  <c r="N65" i="22"/>
  <c r="O65" i="22"/>
  <c r="K66" i="22"/>
  <c r="L66" i="22"/>
  <c r="M66" i="22"/>
  <c r="N66" i="22"/>
  <c r="O66" i="22"/>
  <c r="L59" i="22"/>
  <c r="M59" i="22"/>
  <c r="N59" i="22"/>
  <c r="O59" i="22"/>
  <c r="K59" i="22"/>
  <c r="K60" i="21"/>
  <c r="L60" i="21"/>
  <c r="M60" i="21"/>
  <c r="N60" i="21"/>
  <c r="O60" i="21"/>
  <c r="K61" i="21"/>
  <c r="L61" i="21"/>
  <c r="M61" i="21"/>
  <c r="N61" i="21"/>
  <c r="O61" i="21"/>
  <c r="K62" i="21"/>
  <c r="L62" i="21"/>
  <c r="M62" i="21"/>
  <c r="N62" i="21"/>
  <c r="O62" i="21"/>
  <c r="K63" i="21"/>
  <c r="L63" i="21"/>
  <c r="M63" i="21"/>
  <c r="N63" i="21"/>
  <c r="O63" i="21"/>
  <c r="K64" i="21"/>
  <c r="L64" i="21"/>
  <c r="M64" i="21"/>
  <c r="N64" i="21"/>
  <c r="O64" i="21"/>
  <c r="K65" i="21"/>
  <c r="L65" i="21"/>
  <c r="M65" i="21"/>
  <c r="N65" i="21"/>
  <c r="O65" i="21"/>
  <c r="K66" i="21"/>
  <c r="L66" i="21"/>
  <c r="M66" i="21"/>
  <c r="N66" i="21"/>
  <c r="O66" i="21"/>
  <c r="L59" i="21"/>
  <c r="M59" i="21"/>
  <c r="N59" i="21"/>
  <c r="O59" i="21"/>
  <c r="K59" i="21"/>
  <c r="K60" i="20"/>
  <c r="L60" i="20"/>
  <c r="M60" i="20"/>
  <c r="N60" i="20"/>
  <c r="O60" i="20"/>
  <c r="K61" i="20"/>
  <c r="L61" i="20"/>
  <c r="M61" i="20"/>
  <c r="N61" i="20"/>
  <c r="O61" i="20"/>
  <c r="K62" i="20"/>
  <c r="L62" i="20"/>
  <c r="M62" i="20"/>
  <c r="N62" i="20"/>
  <c r="O62" i="20"/>
  <c r="K63" i="20"/>
  <c r="L63" i="20"/>
  <c r="M63" i="20"/>
  <c r="N63" i="20"/>
  <c r="O63" i="20"/>
  <c r="K64" i="20"/>
  <c r="L64" i="20"/>
  <c r="M64" i="20"/>
  <c r="N64" i="20"/>
  <c r="O64" i="20"/>
  <c r="K65" i="20"/>
  <c r="L65" i="20"/>
  <c r="M65" i="20"/>
  <c r="N65" i="20"/>
  <c r="O65" i="20"/>
  <c r="K66" i="20"/>
  <c r="L66" i="20"/>
  <c r="M66" i="20"/>
  <c r="N66" i="20"/>
  <c r="O66" i="20"/>
  <c r="L59" i="20"/>
  <c r="M59" i="20"/>
  <c r="N59" i="20"/>
  <c r="O59" i="20"/>
  <c r="K59" i="20"/>
  <c r="K60" i="19"/>
  <c r="L60" i="19"/>
  <c r="M60" i="19"/>
  <c r="N60" i="19"/>
  <c r="O60" i="19"/>
  <c r="K61" i="19"/>
  <c r="L61" i="19"/>
  <c r="M61" i="19"/>
  <c r="N61" i="19"/>
  <c r="O61" i="19"/>
  <c r="K62" i="19"/>
  <c r="L62" i="19"/>
  <c r="M62" i="19"/>
  <c r="N62" i="19"/>
  <c r="O62" i="19"/>
  <c r="K63" i="19"/>
  <c r="L63" i="19"/>
  <c r="M63" i="19"/>
  <c r="N63" i="19"/>
  <c r="O63" i="19"/>
  <c r="K64" i="19"/>
  <c r="L64" i="19"/>
  <c r="M64" i="19"/>
  <c r="N64" i="19"/>
  <c r="O64" i="19"/>
  <c r="K65" i="19"/>
  <c r="L65" i="19"/>
  <c r="M65" i="19"/>
  <c r="N65" i="19"/>
  <c r="O65" i="19"/>
  <c r="K66" i="19"/>
  <c r="L66" i="19"/>
  <c r="M66" i="19"/>
  <c r="N66" i="19"/>
  <c r="O66" i="19"/>
  <c r="L59" i="19"/>
  <c r="M59" i="19"/>
  <c r="N59" i="19"/>
  <c r="O59" i="19"/>
  <c r="K59" i="19"/>
  <c r="K60" i="13"/>
  <c r="L60" i="13"/>
  <c r="M60" i="13"/>
  <c r="N60" i="13"/>
  <c r="O60" i="13"/>
  <c r="K61" i="13"/>
  <c r="L61" i="13"/>
  <c r="M61" i="13"/>
  <c r="N61" i="13"/>
  <c r="O61" i="13"/>
  <c r="K62" i="13"/>
  <c r="L62" i="13"/>
  <c r="M62" i="13"/>
  <c r="N62" i="13"/>
  <c r="O62" i="13"/>
  <c r="K63" i="13"/>
  <c r="L63" i="13"/>
  <c r="M63" i="13"/>
  <c r="N63" i="13"/>
  <c r="O63" i="13"/>
  <c r="K64" i="13"/>
  <c r="L64" i="13"/>
  <c r="M64" i="13"/>
  <c r="N64" i="13"/>
  <c r="O64" i="13"/>
  <c r="K65" i="13"/>
  <c r="L65" i="13"/>
  <c r="M65" i="13"/>
  <c r="N65" i="13"/>
  <c r="O65" i="13"/>
  <c r="K66" i="13"/>
  <c r="L66" i="13"/>
  <c r="M66" i="13"/>
  <c r="N66" i="13"/>
  <c r="O66" i="13"/>
  <c r="L59" i="13"/>
  <c r="M59" i="13"/>
  <c r="N59" i="13"/>
  <c r="O59" i="13"/>
  <c r="K59" i="13"/>
  <c r="K60" i="16"/>
  <c r="L60" i="16"/>
  <c r="M60" i="16"/>
  <c r="N60" i="16"/>
  <c r="O60" i="16"/>
  <c r="K61" i="16"/>
  <c r="L61" i="16"/>
  <c r="M61" i="16"/>
  <c r="N61" i="16"/>
  <c r="O61" i="16"/>
  <c r="K62" i="16"/>
  <c r="L62" i="16"/>
  <c r="M62" i="16"/>
  <c r="N62" i="16"/>
  <c r="O62" i="16"/>
  <c r="K63" i="16"/>
  <c r="L63" i="16"/>
  <c r="M63" i="16"/>
  <c r="N63" i="16"/>
  <c r="O63" i="16"/>
  <c r="K64" i="16"/>
  <c r="L64" i="16"/>
  <c r="M64" i="16"/>
  <c r="N64" i="16"/>
  <c r="O64" i="16"/>
  <c r="K65" i="16"/>
  <c r="L65" i="16"/>
  <c r="M65" i="16"/>
  <c r="N65" i="16"/>
  <c r="O65" i="16"/>
  <c r="K66" i="16"/>
  <c r="L66" i="16"/>
  <c r="M66" i="16"/>
  <c r="N66" i="16"/>
  <c r="O66" i="16"/>
  <c r="L59" i="16"/>
  <c r="M59" i="16"/>
  <c r="N59" i="16"/>
  <c r="O59" i="16"/>
  <c r="K59" i="16"/>
  <c r="K60" i="12"/>
  <c r="L60" i="12"/>
  <c r="M60" i="12"/>
  <c r="N60" i="12"/>
  <c r="O60" i="12"/>
  <c r="K61" i="12"/>
  <c r="L61" i="12"/>
  <c r="M61" i="12"/>
  <c r="N61" i="12"/>
  <c r="O61" i="12"/>
  <c r="K62" i="12"/>
  <c r="L62" i="12"/>
  <c r="M62" i="12"/>
  <c r="N62" i="12"/>
  <c r="O62" i="12"/>
  <c r="K63" i="12"/>
  <c r="L63" i="12"/>
  <c r="M63" i="12"/>
  <c r="N63" i="12"/>
  <c r="O63" i="12"/>
  <c r="K64" i="12"/>
  <c r="L64" i="12"/>
  <c r="M64" i="12"/>
  <c r="N64" i="12"/>
  <c r="O64" i="12"/>
  <c r="K65" i="12"/>
  <c r="L65" i="12"/>
  <c r="M65" i="12"/>
  <c r="N65" i="12"/>
  <c r="O65" i="12"/>
  <c r="K66" i="12"/>
  <c r="L66" i="12"/>
  <c r="M66" i="12"/>
  <c r="N66" i="12"/>
  <c r="O66" i="12"/>
  <c r="L59" i="12"/>
  <c r="M59" i="12"/>
  <c r="N59" i="12"/>
  <c r="O59" i="12"/>
  <c r="K59" i="12"/>
  <c r="K60" i="18"/>
  <c r="L60" i="18"/>
  <c r="M60" i="18"/>
  <c r="N60" i="18"/>
  <c r="O60" i="18"/>
  <c r="K61" i="18"/>
  <c r="L61" i="18"/>
  <c r="M61" i="18"/>
  <c r="N61" i="18"/>
  <c r="O61" i="18"/>
  <c r="K62" i="18"/>
  <c r="L62" i="18"/>
  <c r="M62" i="18"/>
  <c r="N62" i="18"/>
  <c r="O62" i="18"/>
  <c r="K63" i="18"/>
  <c r="L63" i="18"/>
  <c r="M63" i="18"/>
  <c r="N63" i="18"/>
  <c r="O63" i="18"/>
  <c r="K64" i="18"/>
  <c r="L64" i="18"/>
  <c r="M64" i="18"/>
  <c r="N64" i="18"/>
  <c r="O64" i="18"/>
  <c r="K65" i="18"/>
  <c r="L65" i="18"/>
  <c r="M65" i="18"/>
  <c r="N65" i="18"/>
  <c r="O65" i="18"/>
  <c r="K66" i="18"/>
  <c r="L66" i="18"/>
  <c r="M66" i="18"/>
  <c r="N66" i="18"/>
  <c r="O66" i="18"/>
  <c r="L59" i="18"/>
  <c r="M59" i="18"/>
  <c r="N59" i="18"/>
  <c r="O59" i="18"/>
  <c r="K59" i="18"/>
  <c r="K60" i="17"/>
  <c r="L60" i="17"/>
  <c r="M60" i="17"/>
  <c r="N60" i="17"/>
  <c r="O60" i="17"/>
  <c r="K61" i="17"/>
  <c r="L61" i="17"/>
  <c r="M61" i="17"/>
  <c r="N61" i="17"/>
  <c r="O61" i="17"/>
  <c r="K62" i="17"/>
  <c r="L62" i="17"/>
  <c r="M62" i="17"/>
  <c r="N62" i="17"/>
  <c r="O62" i="17"/>
  <c r="K63" i="17"/>
  <c r="L63" i="17"/>
  <c r="M63" i="17"/>
  <c r="N63" i="17"/>
  <c r="O63" i="17"/>
  <c r="K64" i="17"/>
  <c r="L64" i="17"/>
  <c r="M64" i="17"/>
  <c r="N64" i="17"/>
  <c r="O64" i="17"/>
  <c r="K65" i="17"/>
  <c r="L65" i="17"/>
  <c r="M65" i="17"/>
  <c r="N65" i="17"/>
  <c r="O65" i="17"/>
  <c r="K66" i="17"/>
  <c r="L66" i="17"/>
  <c r="M66" i="17"/>
  <c r="N66" i="17"/>
  <c r="O66" i="17"/>
  <c r="L59" i="17"/>
  <c r="M59" i="17"/>
  <c r="N59" i="17"/>
  <c r="O59" i="17"/>
  <c r="K59" i="17"/>
  <c r="K60" i="29"/>
  <c r="L60" i="29"/>
  <c r="M60" i="29"/>
  <c r="N60" i="29"/>
  <c r="O60" i="29"/>
  <c r="K61" i="29"/>
  <c r="L61" i="29"/>
  <c r="M61" i="29"/>
  <c r="N61" i="29"/>
  <c r="O61" i="29"/>
  <c r="K62" i="29"/>
  <c r="L62" i="29"/>
  <c r="M62" i="29"/>
  <c r="N62" i="29"/>
  <c r="O62" i="29"/>
  <c r="K63" i="29"/>
  <c r="L63" i="29"/>
  <c r="M63" i="29"/>
  <c r="N63" i="29"/>
  <c r="O63" i="29"/>
  <c r="K64" i="29"/>
  <c r="L64" i="29"/>
  <c r="M64" i="29"/>
  <c r="N64" i="29"/>
  <c r="O64" i="29"/>
  <c r="K65" i="29"/>
  <c r="L65" i="29"/>
  <c r="M65" i="29"/>
  <c r="N65" i="29"/>
  <c r="O65" i="29"/>
  <c r="K66" i="29"/>
  <c r="L66" i="29"/>
  <c r="M66" i="29"/>
  <c r="N66" i="29"/>
  <c r="O66" i="29"/>
  <c r="L59" i="29"/>
  <c r="M59" i="29"/>
  <c r="N59" i="29"/>
  <c r="O59" i="29"/>
  <c r="K59" i="29"/>
  <c r="K60" i="28"/>
  <c r="L60" i="28"/>
  <c r="M60" i="28"/>
  <c r="N60" i="28"/>
  <c r="O60" i="28"/>
  <c r="K61" i="28"/>
  <c r="L61" i="28"/>
  <c r="M61" i="28"/>
  <c r="N61" i="28"/>
  <c r="O61" i="28"/>
  <c r="K62" i="28"/>
  <c r="L62" i="28"/>
  <c r="M62" i="28"/>
  <c r="N62" i="28"/>
  <c r="O62" i="28"/>
  <c r="K63" i="28"/>
  <c r="L63" i="28"/>
  <c r="M63" i="28"/>
  <c r="N63" i="28"/>
  <c r="O63" i="28"/>
  <c r="K64" i="28"/>
  <c r="L64" i="28"/>
  <c r="M64" i="28"/>
  <c r="N64" i="28"/>
  <c r="O64" i="28"/>
  <c r="K65" i="28"/>
  <c r="L65" i="28"/>
  <c r="M65" i="28"/>
  <c r="N65" i="28"/>
  <c r="O65" i="28"/>
  <c r="K66" i="28"/>
  <c r="L66" i="28"/>
  <c r="M66" i="28"/>
  <c r="N66" i="28"/>
  <c r="O66" i="28"/>
  <c r="L59" i="28"/>
  <c r="M59" i="28"/>
  <c r="N59" i="28"/>
  <c r="O59" i="28"/>
  <c r="K59" i="28"/>
  <c r="K60" i="10"/>
  <c r="L60" i="10"/>
  <c r="M60" i="10"/>
  <c r="N60" i="10"/>
  <c r="O60" i="10"/>
  <c r="K61" i="10"/>
  <c r="L61" i="10"/>
  <c r="M61" i="10"/>
  <c r="N61" i="10"/>
  <c r="O61" i="10"/>
  <c r="K62" i="10"/>
  <c r="L62" i="10"/>
  <c r="M62" i="10"/>
  <c r="N62" i="10"/>
  <c r="O62" i="10"/>
  <c r="K63" i="10"/>
  <c r="L63" i="10"/>
  <c r="M63" i="10"/>
  <c r="N63" i="10"/>
  <c r="O63" i="10"/>
  <c r="K64" i="10"/>
  <c r="L64" i="10"/>
  <c r="M64" i="10"/>
  <c r="N64" i="10"/>
  <c r="O64" i="10"/>
  <c r="K65" i="10"/>
  <c r="L65" i="10"/>
  <c r="M65" i="10"/>
  <c r="N65" i="10"/>
  <c r="O65" i="10"/>
  <c r="K66" i="10"/>
  <c r="L66" i="10"/>
  <c r="M66" i="10"/>
  <c r="N66" i="10"/>
  <c r="O66" i="10"/>
  <c r="L59" i="10"/>
  <c r="M59" i="10"/>
  <c r="N59" i="10"/>
  <c r="O59" i="10"/>
  <c r="K59" i="10"/>
  <c r="K60" i="6"/>
  <c r="L60" i="6"/>
  <c r="M60" i="6"/>
  <c r="N60" i="6"/>
  <c r="O60" i="6"/>
  <c r="K61" i="6"/>
  <c r="L61" i="6"/>
  <c r="M61" i="6"/>
  <c r="N61" i="6"/>
  <c r="O61" i="6"/>
  <c r="K62" i="6"/>
  <c r="L62" i="6"/>
  <c r="M62" i="6"/>
  <c r="N62" i="6"/>
  <c r="O62" i="6"/>
  <c r="K63" i="6"/>
  <c r="L63" i="6"/>
  <c r="M63" i="6"/>
  <c r="N63" i="6"/>
  <c r="O63" i="6"/>
  <c r="K64" i="6"/>
  <c r="L64" i="6"/>
  <c r="M64" i="6"/>
  <c r="N64" i="6"/>
  <c r="O64" i="6"/>
  <c r="K65" i="6"/>
  <c r="L65" i="6"/>
  <c r="M65" i="6"/>
  <c r="N65" i="6"/>
  <c r="O65" i="6"/>
  <c r="K66" i="6"/>
  <c r="L66" i="6"/>
  <c r="M66" i="6"/>
  <c r="N66" i="6"/>
  <c r="O66" i="6"/>
  <c r="L59" i="6"/>
  <c r="M59" i="6"/>
  <c r="N59" i="6"/>
  <c r="O59" i="6"/>
  <c r="K59" i="6"/>
  <c r="K60" i="3"/>
  <c r="L60" i="3"/>
  <c r="M60" i="3"/>
  <c r="N60" i="3"/>
  <c r="O60" i="3"/>
  <c r="K61" i="3"/>
  <c r="L61" i="3"/>
  <c r="M61" i="3"/>
  <c r="N61" i="3"/>
  <c r="O61" i="3"/>
  <c r="K62" i="3"/>
  <c r="L62" i="3"/>
  <c r="M62" i="3"/>
  <c r="N62" i="3"/>
  <c r="O62" i="3"/>
  <c r="K63" i="3"/>
  <c r="L63" i="3"/>
  <c r="M63" i="3"/>
  <c r="N63" i="3"/>
  <c r="O63" i="3"/>
  <c r="K64" i="3"/>
  <c r="L64" i="3"/>
  <c r="M64" i="3"/>
  <c r="N64" i="3"/>
  <c r="O64" i="3"/>
  <c r="K65" i="3"/>
  <c r="L65" i="3"/>
  <c r="M65" i="3"/>
  <c r="N65" i="3"/>
  <c r="O65" i="3"/>
  <c r="K66" i="3"/>
  <c r="L66" i="3"/>
  <c r="M66" i="3"/>
  <c r="N66" i="3"/>
  <c r="O66" i="3"/>
  <c r="L59" i="3"/>
  <c r="M59" i="3"/>
  <c r="N59" i="3"/>
  <c r="O59" i="3"/>
  <c r="K59" i="3"/>
  <c r="K60" i="11"/>
  <c r="L60" i="11"/>
  <c r="M60" i="11"/>
  <c r="N60" i="11"/>
  <c r="O60" i="11"/>
  <c r="K61" i="11"/>
  <c r="L61" i="11"/>
  <c r="M61" i="11"/>
  <c r="N61" i="11"/>
  <c r="O61" i="11"/>
  <c r="K62" i="11"/>
  <c r="L62" i="11"/>
  <c r="M62" i="11"/>
  <c r="N62" i="11"/>
  <c r="O62" i="11"/>
  <c r="K63" i="11"/>
  <c r="L63" i="11"/>
  <c r="M63" i="11"/>
  <c r="N63" i="11"/>
  <c r="O63" i="11"/>
  <c r="K64" i="11"/>
  <c r="L64" i="11"/>
  <c r="M64" i="11"/>
  <c r="N64" i="11"/>
  <c r="O64" i="11"/>
  <c r="K65" i="11"/>
  <c r="L65" i="11"/>
  <c r="M65" i="11"/>
  <c r="N65" i="11"/>
  <c r="O65" i="11"/>
  <c r="K66" i="11"/>
  <c r="L66" i="11"/>
  <c r="M66" i="11"/>
  <c r="N66" i="11"/>
  <c r="O66" i="11"/>
  <c r="L59" i="11"/>
  <c r="M59" i="11"/>
  <c r="N59" i="11"/>
  <c r="O59" i="11"/>
  <c r="K59" i="11"/>
  <c r="J16" i="10"/>
  <c r="J17" i="10"/>
  <c r="J18" i="10"/>
  <c r="J19" i="10"/>
  <c r="J10" i="3"/>
  <c r="C4" i="31"/>
  <c r="C5" i="31"/>
  <c r="C6" i="31"/>
  <c r="C7" i="31"/>
  <c r="C8" i="31"/>
  <c r="C9" i="31"/>
  <c r="C10" i="31"/>
  <c r="C11" i="31"/>
  <c r="C12" i="31"/>
  <c r="C13" i="31"/>
  <c r="C14" i="31"/>
  <c r="C15" i="31"/>
  <c r="C16" i="31"/>
  <c r="C17" i="31"/>
  <c r="C18" i="31"/>
  <c r="C19" i="31"/>
  <c r="C20" i="31"/>
  <c r="C21" i="31"/>
  <c r="C22" i="31"/>
  <c r="C23" i="31"/>
  <c r="C24" i="31"/>
  <c r="C25" i="31"/>
  <c r="C3" i="31"/>
  <c r="O56" i="34"/>
  <c r="N56" i="34"/>
  <c r="M56" i="34"/>
  <c r="L56" i="34"/>
  <c r="K56" i="34"/>
  <c r="J56" i="34"/>
  <c r="O55" i="34"/>
  <c r="N55" i="34"/>
  <c r="M55" i="34"/>
  <c r="L55" i="34"/>
  <c r="K55" i="34"/>
  <c r="J55" i="34"/>
  <c r="O54" i="34"/>
  <c r="N54" i="34"/>
  <c r="M54" i="34"/>
  <c r="L54" i="34"/>
  <c r="K54" i="34"/>
  <c r="J54" i="34"/>
  <c r="O53" i="34"/>
  <c r="N53" i="34"/>
  <c r="M53" i="34"/>
  <c r="L53" i="34"/>
  <c r="K53" i="34"/>
  <c r="J53" i="34"/>
  <c r="O52" i="34"/>
  <c r="N52" i="34"/>
  <c r="M52" i="34"/>
  <c r="L52" i="34"/>
  <c r="K52" i="34"/>
  <c r="J52" i="34"/>
  <c r="O51" i="34"/>
  <c r="N51" i="34"/>
  <c r="M51" i="34"/>
  <c r="L51" i="34"/>
  <c r="K51" i="34"/>
  <c r="J51" i="34"/>
  <c r="J50" i="34"/>
  <c r="O49" i="34"/>
  <c r="N49" i="34"/>
  <c r="M49" i="34"/>
  <c r="L49" i="34"/>
  <c r="K49" i="34"/>
  <c r="J49" i="34"/>
  <c r="O48" i="34"/>
  <c r="N48" i="34"/>
  <c r="M48" i="34"/>
  <c r="L48" i="34"/>
  <c r="K48" i="34"/>
  <c r="J48" i="34"/>
  <c r="O47" i="34"/>
  <c r="N47" i="34"/>
  <c r="M47" i="34"/>
  <c r="L47" i="34"/>
  <c r="K47" i="34"/>
  <c r="J47" i="34"/>
  <c r="O46" i="34"/>
  <c r="N46" i="34"/>
  <c r="M46" i="34"/>
  <c r="L46" i="34"/>
  <c r="K46" i="34"/>
  <c r="J46" i="34"/>
  <c r="O45" i="34"/>
  <c r="N45" i="34"/>
  <c r="M45" i="34"/>
  <c r="L45" i="34"/>
  <c r="K45" i="34"/>
  <c r="J45" i="34"/>
  <c r="O44" i="34"/>
  <c r="N44" i="34"/>
  <c r="M44" i="34"/>
  <c r="L44" i="34"/>
  <c r="K44" i="34"/>
  <c r="J44" i="34"/>
  <c r="J43" i="34"/>
  <c r="O42" i="34"/>
  <c r="N42" i="34"/>
  <c r="M42" i="34"/>
  <c r="L42" i="34"/>
  <c r="K42" i="34"/>
  <c r="J42" i="34"/>
  <c r="O41" i="34"/>
  <c r="N41" i="34"/>
  <c r="M41" i="34"/>
  <c r="L41" i="34"/>
  <c r="K41" i="34"/>
  <c r="J41" i="34"/>
  <c r="O40" i="34"/>
  <c r="N40" i="34"/>
  <c r="M40" i="34"/>
  <c r="L40" i="34"/>
  <c r="K40" i="34"/>
  <c r="J40" i="34"/>
  <c r="O39" i="34"/>
  <c r="N39" i="34"/>
  <c r="M39" i="34"/>
  <c r="L39" i="34"/>
  <c r="K39" i="34"/>
  <c r="J39" i="34"/>
  <c r="O38" i="34"/>
  <c r="N38" i="34"/>
  <c r="M38" i="34"/>
  <c r="L38" i="34"/>
  <c r="K38" i="34"/>
  <c r="J38" i="34"/>
  <c r="O37" i="34"/>
  <c r="N37" i="34"/>
  <c r="M37" i="34"/>
  <c r="L37" i="34"/>
  <c r="K37" i="34"/>
  <c r="J37" i="34"/>
  <c r="J36" i="34"/>
  <c r="O35" i="34"/>
  <c r="N35" i="34"/>
  <c r="M35" i="34"/>
  <c r="L35" i="34"/>
  <c r="K35" i="34"/>
  <c r="J35" i="34"/>
  <c r="O34" i="34"/>
  <c r="N34" i="34"/>
  <c r="M34" i="34"/>
  <c r="L34" i="34"/>
  <c r="K34" i="34"/>
  <c r="J34" i="34"/>
  <c r="O33" i="34"/>
  <c r="N33" i="34"/>
  <c r="M33" i="34"/>
  <c r="L33" i="34"/>
  <c r="K33" i="34"/>
  <c r="J33" i="34"/>
  <c r="O32" i="34"/>
  <c r="N32" i="34"/>
  <c r="M32" i="34"/>
  <c r="L32" i="34"/>
  <c r="K32" i="34"/>
  <c r="J32" i="34"/>
  <c r="O31" i="34"/>
  <c r="N31" i="34"/>
  <c r="M31" i="34"/>
  <c r="L31" i="34"/>
  <c r="K31" i="34"/>
  <c r="J31" i="34"/>
  <c r="O30" i="34"/>
  <c r="N30" i="34"/>
  <c r="M30" i="34"/>
  <c r="L30" i="34"/>
  <c r="K30" i="34"/>
  <c r="J30" i="34"/>
  <c r="O28" i="34"/>
  <c r="N28" i="34"/>
  <c r="M28" i="34"/>
  <c r="L28" i="34"/>
  <c r="K28" i="34"/>
  <c r="J28" i="34"/>
  <c r="O27" i="34"/>
  <c r="N27" i="34"/>
  <c r="M27" i="34"/>
  <c r="L27" i="34"/>
  <c r="K27" i="34"/>
  <c r="J27" i="34"/>
  <c r="O26" i="34"/>
  <c r="N26" i="34"/>
  <c r="M26" i="34"/>
  <c r="L26" i="34"/>
  <c r="K26" i="34"/>
  <c r="J26" i="34"/>
  <c r="O25" i="34"/>
  <c r="N25" i="34"/>
  <c r="M25" i="34"/>
  <c r="L25" i="34"/>
  <c r="K25" i="34"/>
  <c r="J25" i="34"/>
  <c r="O24" i="34"/>
  <c r="N24" i="34"/>
  <c r="M24" i="34"/>
  <c r="L24" i="34"/>
  <c r="K24" i="34"/>
  <c r="J24" i="34"/>
  <c r="O23" i="34"/>
  <c r="N23" i="34"/>
  <c r="M23" i="34"/>
  <c r="L23" i="34"/>
  <c r="K23" i="34"/>
  <c r="J23" i="34"/>
  <c r="J22" i="34"/>
  <c r="O21" i="34"/>
  <c r="N21" i="34"/>
  <c r="M21" i="34"/>
  <c r="L21" i="34"/>
  <c r="K21" i="34"/>
  <c r="J21" i="34"/>
  <c r="O20" i="34"/>
  <c r="N20" i="34"/>
  <c r="M20" i="34"/>
  <c r="L20" i="34"/>
  <c r="K20" i="34"/>
  <c r="J20" i="34"/>
  <c r="O19" i="34"/>
  <c r="N19" i="34"/>
  <c r="M19" i="34"/>
  <c r="L19" i="34"/>
  <c r="K19" i="34"/>
  <c r="J19" i="34"/>
  <c r="O18" i="34"/>
  <c r="N18" i="34"/>
  <c r="M18" i="34"/>
  <c r="L18" i="34"/>
  <c r="K18" i="34"/>
  <c r="J18" i="34"/>
  <c r="O17" i="34"/>
  <c r="N17" i="34"/>
  <c r="M17" i="34"/>
  <c r="L17" i="34"/>
  <c r="K17" i="34"/>
  <c r="J17" i="34"/>
  <c r="O16" i="34"/>
  <c r="N16" i="34"/>
  <c r="M16" i="34"/>
  <c r="L16" i="34"/>
  <c r="K16" i="34"/>
  <c r="J16" i="34"/>
  <c r="J15" i="34"/>
  <c r="O14" i="34"/>
  <c r="N14" i="34"/>
  <c r="M14" i="34"/>
  <c r="L14" i="34"/>
  <c r="K14" i="34"/>
  <c r="J14" i="34"/>
  <c r="O13" i="34"/>
  <c r="N13" i="34"/>
  <c r="M13" i="34"/>
  <c r="L13" i="34"/>
  <c r="K13" i="34"/>
  <c r="J13" i="34"/>
  <c r="O12" i="34"/>
  <c r="N12" i="34"/>
  <c r="M12" i="34"/>
  <c r="L12" i="34"/>
  <c r="K12" i="34"/>
  <c r="J12" i="34"/>
  <c r="L14" i="31"/>
  <c r="O11" i="34"/>
  <c r="N11" i="34"/>
  <c r="M11" i="34"/>
  <c r="L11" i="34"/>
  <c r="K11" i="34"/>
  <c r="J11" i="34"/>
  <c r="O10" i="34"/>
  <c r="N10" i="34"/>
  <c r="M10" i="34"/>
  <c r="L10" i="34"/>
  <c r="K10" i="34"/>
  <c r="J10" i="34"/>
  <c r="O9" i="34"/>
  <c r="N9" i="34"/>
  <c r="M9" i="34"/>
  <c r="L9" i="34"/>
  <c r="K9" i="34"/>
  <c r="J8" i="34"/>
  <c r="O7" i="34"/>
  <c r="N7" i="34"/>
  <c r="M7" i="34"/>
  <c r="L7" i="34"/>
  <c r="K7" i="34"/>
  <c r="J7" i="34"/>
  <c r="O6" i="34"/>
  <c r="N6" i="34"/>
  <c r="M6" i="34"/>
  <c r="L6" i="34"/>
  <c r="K6" i="34"/>
  <c r="J6" i="34"/>
  <c r="O5" i="34"/>
  <c r="N5" i="34"/>
  <c r="M5" i="34"/>
  <c r="L5" i="34"/>
  <c r="K5" i="34"/>
  <c r="J5" i="34"/>
  <c r="O4" i="34"/>
  <c r="N4" i="34"/>
  <c r="M4" i="34"/>
  <c r="L4" i="34"/>
  <c r="K4" i="34"/>
  <c r="J4" i="34"/>
  <c r="O3" i="34"/>
  <c r="N3" i="34"/>
  <c r="M3" i="34"/>
  <c r="L3" i="34"/>
  <c r="K3" i="34"/>
  <c r="J3" i="34"/>
  <c r="O2" i="34"/>
  <c r="N2" i="34"/>
  <c r="M2" i="34"/>
  <c r="L2" i="34"/>
  <c r="K2" i="34"/>
  <c r="O56" i="30"/>
  <c r="N56" i="30"/>
  <c r="M56" i="30"/>
  <c r="L56" i="30"/>
  <c r="K56" i="30"/>
  <c r="J56" i="30"/>
  <c r="O55" i="30"/>
  <c r="N55" i="30"/>
  <c r="M55" i="30"/>
  <c r="L55" i="30"/>
  <c r="K55" i="30"/>
  <c r="J55" i="30"/>
  <c r="O54" i="30"/>
  <c r="N54" i="30"/>
  <c r="M54" i="30"/>
  <c r="L54" i="30"/>
  <c r="K54" i="30"/>
  <c r="J54" i="30"/>
  <c r="O53" i="30"/>
  <c r="N53" i="30"/>
  <c r="M53" i="30"/>
  <c r="L53" i="30"/>
  <c r="K53" i="30"/>
  <c r="J53" i="30"/>
  <c r="O52" i="30"/>
  <c r="N52" i="30"/>
  <c r="M52" i="30"/>
  <c r="L52" i="30"/>
  <c r="K52" i="30"/>
  <c r="J52" i="30"/>
  <c r="O51" i="30"/>
  <c r="N51" i="30"/>
  <c r="M51" i="30"/>
  <c r="L51" i="30"/>
  <c r="K51" i="30"/>
  <c r="J51" i="30"/>
  <c r="J50" i="30"/>
  <c r="O49" i="30"/>
  <c r="N49" i="30"/>
  <c r="M49" i="30"/>
  <c r="L49" i="30"/>
  <c r="K49" i="30"/>
  <c r="J49" i="30"/>
  <c r="O48" i="30"/>
  <c r="N48" i="30"/>
  <c r="M48" i="30"/>
  <c r="L48" i="30"/>
  <c r="K48" i="30"/>
  <c r="J48" i="30"/>
  <c r="O47" i="30"/>
  <c r="N47" i="30"/>
  <c r="M47" i="30"/>
  <c r="L47" i="30"/>
  <c r="K47" i="30"/>
  <c r="J47" i="30"/>
  <c r="O46" i="30"/>
  <c r="N46" i="30"/>
  <c r="M46" i="30"/>
  <c r="L46" i="30"/>
  <c r="K46" i="30"/>
  <c r="J46" i="30"/>
  <c r="O45" i="30"/>
  <c r="N45" i="30"/>
  <c r="M45" i="30"/>
  <c r="L45" i="30"/>
  <c r="K45" i="30"/>
  <c r="J45" i="30"/>
  <c r="O44" i="30"/>
  <c r="N44" i="30"/>
  <c r="M44" i="30"/>
  <c r="L44" i="30"/>
  <c r="K44" i="30"/>
  <c r="J44" i="30"/>
  <c r="J43" i="30"/>
  <c r="O42" i="30"/>
  <c r="N42" i="30"/>
  <c r="M42" i="30"/>
  <c r="L42" i="30"/>
  <c r="K42" i="30"/>
  <c r="J42" i="30"/>
  <c r="O41" i="30"/>
  <c r="N41" i="30"/>
  <c r="M41" i="30"/>
  <c r="L41" i="30"/>
  <c r="K41" i="30"/>
  <c r="J41" i="30"/>
  <c r="O40" i="30"/>
  <c r="N40" i="30"/>
  <c r="M40" i="30"/>
  <c r="L40" i="30"/>
  <c r="K40" i="30"/>
  <c r="J40" i="30"/>
  <c r="O39" i="30"/>
  <c r="N39" i="30"/>
  <c r="M39" i="30"/>
  <c r="L39" i="30"/>
  <c r="K39" i="30"/>
  <c r="J39" i="30"/>
  <c r="O38" i="30"/>
  <c r="N38" i="30"/>
  <c r="M38" i="30"/>
  <c r="L38" i="30"/>
  <c r="K38" i="30"/>
  <c r="J38" i="30"/>
  <c r="O37" i="30"/>
  <c r="N37" i="30"/>
  <c r="M37" i="30"/>
  <c r="L37" i="30"/>
  <c r="K37" i="30"/>
  <c r="J37" i="30"/>
  <c r="J36" i="30"/>
  <c r="O35" i="30"/>
  <c r="N35" i="30"/>
  <c r="M35" i="30"/>
  <c r="L35" i="30"/>
  <c r="K35" i="30"/>
  <c r="J35" i="30"/>
  <c r="O34" i="30"/>
  <c r="N34" i="30"/>
  <c r="M34" i="30"/>
  <c r="L34" i="30"/>
  <c r="K34" i="30"/>
  <c r="J34" i="30"/>
  <c r="O33" i="30"/>
  <c r="N33" i="30"/>
  <c r="M33" i="30"/>
  <c r="L33" i="30"/>
  <c r="K33" i="30"/>
  <c r="J33" i="30"/>
  <c r="O32" i="30"/>
  <c r="N32" i="30"/>
  <c r="M32" i="30"/>
  <c r="L32" i="30"/>
  <c r="K32" i="30"/>
  <c r="J32" i="30"/>
  <c r="O31" i="30"/>
  <c r="N31" i="30"/>
  <c r="M31" i="30"/>
  <c r="L31" i="30"/>
  <c r="K31" i="30"/>
  <c r="J31" i="30"/>
  <c r="O30" i="30"/>
  <c r="N30" i="30"/>
  <c r="M30" i="30"/>
  <c r="L30" i="30"/>
  <c r="K30" i="30"/>
  <c r="J30" i="30"/>
  <c r="O28" i="30"/>
  <c r="N28" i="30"/>
  <c r="M28" i="30"/>
  <c r="L28" i="30"/>
  <c r="K28" i="30"/>
  <c r="J28" i="30"/>
  <c r="O27" i="30"/>
  <c r="N27" i="30"/>
  <c r="M27" i="30"/>
  <c r="L27" i="30"/>
  <c r="K27" i="30"/>
  <c r="J27" i="30"/>
  <c r="O26" i="30"/>
  <c r="N26" i="30"/>
  <c r="M26" i="30"/>
  <c r="L26" i="30"/>
  <c r="K26" i="30"/>
  <c r="J26" i="30"/>
  <c r="O25" i="30"/>
  <c r="N25" i="30"/>
  <c r="M25" i="30"/>
  <c r="L25" i="30"/>
  <c r="K25" i="30"/>
  <c r="J25" i="30"/>
  <c r="O24" i="30"/>
  <c r="N24" i="30"/>
  <c r="M24" i="30"/>
  <c r="L24" i="30"/>
  <c r="K24" i="30"/>
  <c r="J24" i="30"/>
  <c r="O23" i="30"/>
  <c r="N23" i="30"/>
  <c r="M23" i="30"/>
  <c r="L23" i="30"/>
  <c r="K23" i="30"/>
  <c r="J23" i="30"/>
  <c r="J22" i="30"/>
  <c r="O21" i="30"/>
  <c r="N21" i="30"/>
  <c r="M21" i="30"/>
  <c r="L21" i="30"/>
  <c r="K21" i="30"/>
  <c r="J21" i="30"/>
  <c r="O20" i="30"/>
  <c r="N20" i="30"/>
  <c r="M20" i="30"/>
  <c r="L20" i="30"/>
  <c r="K20" i="30"/>
  <c r="J20" i="30"/>
  <c r="O19" i="30"/>
  <c r="N19" i="30"/>
  <c r="M19" i="30"/>
  <c r="L19" i="30"/>
  <c r="K19" i="30"/>
  <c r="J19" i="30"/>
  <c r="O18" i="30"/>
  <c r="N18" i="30"/>
  <c r="M18" i="30"/>
  <c r="L18" i="30"/>
  <c r="K18" i="30"/>
  <c r="J18" i="30"/>
  <c r="O17" i="30"/>
  <c r="N17" i="30"/>
  <c r="M17" i="30"/>
  <c r="L17" i="30"/>
  <c r="K17" i="30"/>
  <c r="J17" i="30"/>
  <c r="O16" i="30"/>
  <c r="N16" i="30"/>
  <c r="M16" i="30"/>
  <c r="L16" i="30"/>
  <c r="K16" i="30"/>
  <c r="J16" i="30"/>
  <c r="J15" i="30"/>
  <c r="O14" i="30"/>
  <c r="N14" i="30"/>
  <c r="M14" i="30"/>
  <c r="L14" i="30"/>
  <c r="K14" i="30"/>
  <c r="J14" i="30"/>
  <c r="O13" i="30"/>
  <c r="N13" i="30"/>
  <c r="M13" i="30"/>
  <c r="L13" i="30"/>
  <c r="K13" i="30"/>
  <c r="J13" i="30"/>
  <c r="O12" i="30"/>
  <c r="N12" i="30"/>
  <c r="M12" i="30"/>
  <c r="L12" i="30"/>
  <c r="K12" i="30"/>
  <c r="J12" i="30"/>
  <c r="O11" i="30"/>
  <c r="N11" i="30"/>
  <c r="M11" i="30"/>
  <c r="L11" i="30"/>
  <c r="K11" i="30"/>
  <c r="J11" i="30"/>
  <c r="O10" i="30"/>
  <c r="N10" i="30"/>
  <c r="M10" i="30"/>
  <c r="L10" i="30"/>
  <c r="K10" i="30"/>
  <c r="J10" i="30"/>
  <c r="O9" i="30"/>
  <c r="N9" i="30"/>
  <c r="M9" i="30"/>
  <c r="L9" i="30"/>
  <c r="K9" i="30"/>
  <c r="J9" i="30"/>
  <c r="J8" i="30"/>
  <c r="O7" i="30"/>
  <c r="N7" i="30"/>
  <c r="M7" i="30"/>
  <c r="L7" i="30"/>
  <c r="K7" i="30"/>
  <c r="J7" i="30"/>
  <c r="O6" i="30"/>
  <c r="N6" i="30"/>
  <c r="M6" i="30"/>
  <c r="L6" i="30"/>
  <c r="K6" i="30"/>
  <c r="J6" i="30"/>
  <c r="O5" i="30"/>
  <c r="N5" i="30"/>
  <c r="M5" i="30"/>
  <c r="L5" i="30"/>
  <c r="K5" i="30"/>
  <c r="J5" i="30"/>
  <c r="O4" i="30"/>
  <c r="N4" i="30"/>
  <c r="M4" i="30"/>
  <c r="L4" i="30"/>
  <c r="K4" i="30"/>
  <c r="J4" i="30"/>
  <c r="O3" i="30"/>
  <c r="N3" i="30"/>
  <c r="M3" i="30"/>
  <c r="L3" i="30"/>
  <c r="K3" i="30"/>
  <c r="J3" i="30"/>
  <c r="O2" i="30"/>
  <c r="N2" i="30"/>
  <c r="M2" i="30"/>
  <c r="L2" i="30"/>
  <c r="K2" i="30"/>
  <c r="O56" i="27"/>
  <c r="N56" i="27"/>
  <c r="M56" i="27"/>
  <c r="L56" i="27"/>
  <c r="K56" i="27"/>
  <c r="J56" i="27"/>
  <c r="O55" i="27"/>
  <c r="N55" i="27"/>
  <c r="M55" i="27"/>
  <c r="L55" i="27"/>
  <c r="K55" i="27"/>
  <c r="J55" i="27"/>
  <c r="O54" i="27"/>
  <c r="N54" i="27"/>
  <c r="M54" i="27"/>
  <c r="L54" i="27"/>
  <c r="K54" i="27"/>
  <c r="J54" i="27"/>
  <c r="O53" i="27"/>
  <c r="N53" i="27"/>
  <c r="M53" i="27"/>
  <c r="L53" i="27"/>
  <c r="K53" i="27"/>
  <c r="J53" i="27"/>
  <c r="O52" i="27"/>
  <c r="N52" i="27"/>
  <c r="M52" i="27"/>
  <c r="L52" i="27"/>
  <c r="K52" i="27"/>
  <c r="J52" i="27"/>
  <c r="O51" i="27"/>
  <c r="N51" i="27"/>
  <c r="M51" i="27"/>
  <c r="L51" i="27"/>
  <c r="K51" i="27"/>
  <c r="J51" i="27"/>
  <c r="J50" i="27"/>
  <c r="O49" i="27"/>
  <c r="N49" i="27"/>
  <c r="M49" i="27"/>
  <c r="L49" i="27"/>
  <c r="K49" i="27"/>
  <c r="J49" i="27"/>
  <c r="O48" i="27"/>
  <c r="N48" i="27"/>
  <c r="M48" i="27"/>
  <c r="L48" i="27"/>
  <c r="K48" i="27"/>
  <c r="J48" i="27"/>
  <c r="O47" i="27"/>
  <c r="N47" i="27"/>
  <c r="M47" i="27"/>
  <c r="L47" i="27"/>
  <c r="K47" i="27"/>
  <c r="J47" i="27"/>
  <c r="O46" i="27"/>
  <c r="N46" i="27"/>
  <c r="M46" i="27"/>
  <c r="L46" i="27"/>
  <c r="K46" i="27"/>
  <c r="J46" i="27"/>
  <c r="O45" i="27"/>
  <c r="N45" i="27"/>
  <c r="M45" i="27"/>
  <c r="L45" i="27"/>
  <c r="K45" i="27"/>
  <c r="J45" i="27"/>
  <c r="O44" i="27"/>
  <c r="N44" i="27"/>
  <c r="M44" i="27"/>
  <c r="L44" i="27"/>
  <c r="K44" i="27"/>
  <c r="J44" i="27"/>
  <c r="J43" i="27"/>
  <c r="O42" i="27"/>
  <c r="N42" i="27"/>
  <c r="M42" i="27"/>
  <c r="L42" i="27"/>
  <c r="K42" i="27"/>
  <c r="J42" i="27"/>
  <c r="O41" i="27"/>
  <c r="N41" i="27"/>
  <c r="M41" i="27"/>
  <c r="L41" i="27"/>
  <c r="K41" i="27"/>
  <c r="J41" i="27"/>
  <c r="O40" i="27"/>
  <c r="N40" i="27"/>
  <c r="M40" i="27"/>
  <c r="L40" i="27"/>
  <c r="K40" i="27"/>
  <c r="J40" i="27"/>
  <c r="O39" i="27"/>
  <c r="N39" i="27"/>
  <c r="M39" i="27"/>
  <c r="L39" i="27"/>
  <c r="K39" i="27"/>
  <c r="J39" i="27"/>
  <c r="O38" i="27"/>
  <c r="N38" i="27"/>
  <c r="M38" i="27"/>
  <c r="L38" i="27"/>
  <c r="K38" i="27"/>
  <c r="J38" i="27"/>
  <c r="O37" i="27"/>
  <c r="N37" i="27"/>
  <c r="M37" i="27"/>
  <c r="L37" i="27"/>
  <c r="K37" i="27"/>
  <c r="J37" i="27"/>
  <c r="J36" i="27"/>
  <c r="O35" i="27"/>
  <c r="N35" i="27"/>
  <c r="M35" i="27"/>
  <c r="L35" i="27"/>
  <c r="K35" i="27"/>
  <c r="J35" i="27"/>
  <c r="O34" i="27"/>
  <c r="N34" i="27"/>
  <c r="M34" i="27"/>
  <c r="L34" i="27"/>
  <c r="K34" i="27"/>
  <c r="J34" i="27"/>
  <c r="O33" i="27"/>
  <c r="N33" i="27"/>
  <c r="M33" i="27"/>
  <c r="L33" i="27"/>
  <c r="K33" i="27"/>
  <c r="J33" i="27"/>
  <c r="O32" i="27"/>
  <c r="N32" i="27"/>
  <c r="M32" i="27"/>
  <c r="L32" i="27"/>
  <c r="K32" i="27"/>
  <c r="J32" i="27"/>
  <c r="O31" i="27"/>
  <c r="N31" i="27"/>
  <c r="M31" i="27"/>
  <c r="L31" i="27"/>
  <c r="K31" i="27"/>
  <c r="J31" i="27"/>
  <c r="O30" i="27"/>
  <c r="N30" i="27"/>
  <c r="M30" i="27"/>
  <c r="L30" i="27"/>
  <c r="K30" i="27"/>
  <c r="J30" i="27"/>
  <c r="O28" i="27"/>
  <c r="N28" i="27"/>
  <c r="M28" i="27"/>
  <c r="L28" i="27"/>
  <c r="K28" i="27"/>
  <c r="J28" i="27"/>
  <c r="O27" i="27"/>
  <c r="N27" i="27"/>
  <c r="M27" i="27"/>
  <c r="L27" i="27"/>
  <c r="K27" i="27"/>
  <c r="J27" i="27"/>
  <c r="O26" i="27"/>
  <c r="N26" i="27"/>
  <c r="M26" i="27"/>
  <c r="L26" i="27"/>
  <c r="K26" i="27"/>
  <c r="J26" i="27"/>
  <c r="O25" i="27"/>
  <c r="N25" i="27"/>
  <c r="M25" i="27"/>
  <c r="L25" i="27"/>
  <c r="K25" i="27"/>
  <c r="J25" i="27"/>
  <c r="O24" i="27"/>
  <c r="N24" i="27"/>
  <c r="M24" i="27"/>
  <c r="L24" i="27"/>
  <c r="K24" i="27"/>
  <c r="J24" i="27"/>
  <c r="O23" i="27"/>
  <c r="N23" i="27"/>
  <c r="M23" i="27"/>
  <c r="L23" i="27"/>
  <c r="K23" i="27"/>
  <c r="J23" i="27"/>
  <c r="J22" i="27"/>
  <c r="O21" i="27"/>
  <c r="N21" i="27"/>
  <c r="M21" i="27"/>
  <c r="L21" i="27"/>
  <c r="K21" i="27"/>
  <c r="J21" i="27"/>
  <c r="O20" i="27"/>
  <c r="N20" i="27"/>
  <c r="M20" i="27"/>
  <c r="L20" i="27"/>
  <c r="K20" i="27"/>
  <c r="J20" i="27"/>
  <c r="O19" i="27"/>
  <c r="N19" i="27"/>
  <c r="M19" i="27"/>
  <c r="L19" i="27"/>
  <c r="K19" i="27"/>
  <c r="J19" i="27"/>
  <c r="O18" i="27"/>
  <c r="N18" i="27"/>
  <c r="M18" i="27"/>
  <c r="L18" i="27"/>
  <c r="K18" i="27"/>
  <c r="J18" i="27"/>
  <c r="O17" i="27"/>
  <c r="N17" i="27"/>
  <c r="M17" i="27"/>
  <c r="L17" i="27"/>
  <c r="K17" i="27"/>
  <c r="J17" i="27"/>
  <c r="O16" i="27"/>
  <c r="N16" i="27"/>
  <c r="M16" i="27"/>
  <c r="L16" i="27"/>
  <c r="K16" i="27"/>
  <c r="J16" i="27"/>
  <c r="J15" i="27"/>
  <c r="O14" i="27"/>
  <c r="N14" i="27"/>
  <c r="M14" i="27"/>
  <c r="L14" i="27"/>
  <c r="K14" i="27"/>
  <c r="J14" i="27"/>
  <c r="O13" i="27"/>
  <c r="N13" i="27"/>
  <c r="M13" i="27"/>
  <c r="L13" i="27"/>
  <c r="K13" i="27"/>
  <c r="J13" i="27"/>
  <c r="O12" i="27"/>
  <c r="N12" i="27"/>
  <c r="M12" i="27"/>
  <c r="L12" i="27"/>
  <c r="K12" i="27"/>
  <c r="J12" i="27"/>
  <c r="O11" i="27"/>
  <c r="N11" i="27"/>
  <c r="M11" i="27"/>
  <c r="L11" i="27"/>
  <c r="K11" i="27"/>
  <c r="J11" i="27"/>
  <c r="O10" i="27"/>
  <c r="N10" i="27"/>
  <c r="M10" i="27"/>
  <c r="L10" i="27"/>
  <c r="K10" i="27"/>
  <c r="J10" i="27"/>
  <c r="O9" i="27"/>
  <c r="N9" i="27"/>
  <c r="M9" i="27"/>
  <c r="L9" i="27"/>
  <c r="K9" i="27"/>
  <c r="J9" i="27"/>
  <c r="J8" i="27"/>
  <c r="O7" i="27"/>
  <c r="N7" i="27"/>
  <c r="M7" i="27"/>
  <c r="L7" i="27"/>
  <c r="K7" i="27"/>
  <c r="J7" i="27"/>
  <c r="O6" i="27"/>
  <c r="N6" i="27"/>
  <c r="M6" i="27"/>
  <c r="L6" i="27"/>
  <c r="K6" i="27"/>
  <c r="J6" i="27"/>
  <c r="O5" i="27"/>
  <c r="N5" i="27"/>
  <c r="M5" i="27"/>
  <c r="L5" i="27"/>
  <c r="K5" i="27"/>
  <c r="J5" i="27"/>
  <c r="O4" i="27"/>
  <c r="N4" i="27"/>
  <c r="M4" i="27"/>
  <c r="L4" i="27"/>
  <c r="K4" i="27"/>
  <c r="J4" i="27"/>
  <c r="O3" i="27"/>
  <c r="N3" i="27"/>
  <c r="M3" i="27"/>
  <c r="L3" i="27"/>
  <c r="K3" i="27"/>
  <c r="J3" i="27"/>
  <c r="O2" i="27"/>
  <c r="N2" i="27"/>
  <c r="M2" i="27"/>
  <c r="L2" i="27"/>
  <c r="K2" i="27"/>
  <c r="O56" i="26"/>
  <c r="N56" i="26"/>
  <c r="M56" i="26"/>
  <c r="L56" i="26"/>
  <c r="K56" i="26"/>
  <c r="J56" i="26"/>
  <c r="O55" i="26"/>
  <c r="N55" i="26"/>
  <c r="M55" i="26"/>
  <c r="L55" i="26"/>
  <c r="K55" i="26"/>
  <c r="J55" i="26"/>
  <c r="O54" i="26"/>
  <c r="N54" i="26"/>
  <c r="M54" i="26"/>
  <c r="L54" i="26"/>
  <c r="K54" i="26"/>
  <c r="J54" i="26"/>
  <c r="O53" i="26"/>
  <c r="N53" i="26"/>
  <c r="M53" i="26"/>
  <c r="L53" i="26"/>
  <c r="K53" i="26"/>
  <c r="J53" i="26"/>
  <c r="O52" i="26"/>
  <c r="N52" i="26"/>
  <c r="M52" i="26"/>
  <c r="L52" i="26"/>
  <c r="K52" i="26"/>
  <c r="J52" i="26"/>
  <c r="O51" i="26"/>
  <c r="N51" i="26"/>
  <c r="M51" i="26"/>
  <c r="L51" i="26"/>
  <c r="K51" i="26"/>
  <c r="J51" i="26"/>
  <c r="J50" i="26"/>
  <c r="O49" i="26"/>
  <c r="N49" i="26"/>
  <c r="M49" i="26"/>
  <c r="L49" i="26"/>
  <c r="K49" i="26"/>
  <c r="J49" i="26"/>
  <c r="O48" i="26"/>
  <c r="N48" i="26"/>
  <c r="M48" i="26"/>
  <c r="L48" i="26"/>
  <c r="K48" i="26"/>
  <c r="J48" i="26"/>
  <c r="O47" i="26"/>
  <c r="N47" i="26"/>
  <c r="M47" i="26"/>
  <c r="L47" i="26"/>
  <c r="K47" i="26"/>
  <c r="J47" i="26"/>
  <c r="O46" i="26"/>
  <c r="N46" i="26"/>
  <c r="M46" i="26"/>
  <c r="L46" i="26"/>
  <c r="K46" i="26"/>
  <c r="J46" i="26"/>
  <c r="O45" i="26"/>
  <c r="N45" i="26"/>
  <c r="M45" i="26"/>
  <c r="L45" i="26"/>
  <c r="K45" i="26"/>
  <c r="J45" i="26"/>
  <c r="O44" i="26"/>
  <c r="N44" i="26"/>
  <c r="M44" i="26"/>
  <c r="L44" i="26"/>
  <c r="K44" i="26"/>
  <c r="J44" i="26"/>
  <c r="J43" i="26"/>
  <c r="O42" i="26"/>
  <c r="N42" i="26"/>
  <c r="M42" i="26"/>
  <c r="L42" i="26"/>
  <c r="K42" i="26"/>
  <c r="J42" i="26"/>
  <c r="O41" i="26"/>
  <c r="N41" i="26"/>
  <c r="M41" i="26"/>
  <c r="L41" i="26"/>
  <c r="K41" i="26"/>
  <c r="J41" i="26"/>
  <c r="O40" i="26"/>
  <c r="N40" i="26"/>
  <c r="M40" i="26"/>
  <c r="L40" i="26"/>
  <c r="K40" i="26"/>
  <c r="J40" i="26"/>
  <c r="O39" i="26"/>
  <c r="N39" i="26"/>
  <c r="M39" i="26"/>
  <c r="L39" i="26"/>
  <c r="K39" i="26"/>
  <c r="J39" i="26"/>
  <c r="O38" i="26"/>
  <c r="N38" i="26"/>
  <c r="M38" i="26"/>
  <c r="L38" i="26"/>
  <c r="K38" i="26"/>
  <c r="J38" i="26"/>
  <c r="O37" i="26"/>
  <c r="N37" i="26"/>
  <c r="M37" i="26"/>
  <c r="L37" i="26"/>
  <c r="K37" i="26"/>
  <c r="J37" i="26"/>
  <c r="J36" i="26"/>
  <c r="O35" i="26"/>
  <c r="N35" i="26"/>
  <c r="M35" i="26"/>
  <c r="L35" i="26"/>
  <c r="K35" i="26"/>
  <c r="J35" i="26"/>
  <c r="O34" i="26"/>
  <c r="N34" i="26"/>
  <c r="M34" i="26"/>
  <c r="L34" i="26"/>
  <c r="K34" i="26"/>
  <c r="J34" i="26"/>
  <c r="O33" i="26"/>
  <c r="N33" i="26"/>
  <c r="M33" i="26"/>
  <c r="L33" i="26"/>
  <c r="K33" i="26"/>
  <c r="J33" i="26"/>
  <c r="O32" i="26"/>
  <c r="N32" i="26"/>
  <c r="M32" i="26"/>
  <c r="L32" i="26"/>
  <c r="K32" i="26"/>
  <c r="J32" i="26"/>
  <c r="O31" i="26"/>
  <c r="N31" i="26"/>
  <c r="M31" i="26"/>
  <c r="L31" i="26"/>
  <c r="K31" i="26"/>
  <c r="J31" i="26"/>
  <c r="O30" i="26"/>
  <c r="N30" i="26"/>
  <c r="M30" i="26"/>
  <c r="L30" i="26"/>
  <c r="K30" i="26"/>
  <c r="J30" i="26"/>
  <c r="O28" i="26"/>
  <c r="N28" i="26"/>
  <c r="M28" i="26"/>
  <c r="L28" i="26"/>
  <c r="K28" i="26"/>
  <c r="J28" i="26"/>
  <c r="O27" i="26"/>
  <c r="N27" i="26"/>
  <c r="M27" i="26"/>
  <c r="L27" i="26"/>
  <c r="K27" i="26"/>
  <c r="J27" i="26"/>
  <c r="O26" i="26"/>
  <c r="N26" i="26"/>
  <c r="M26" i="26"/>
  <c r="L26" i="26"/>
  <c r="K26" i="26"/>
  <c r="J26" i="26"/>
  <c r="O25" i="26"/>
  <c r="N25" i="26"/>
  <c r="M25" i="26"/>
  <c r="L25" i="26"/>
  <c r="K25" i="26"/>
  <c r="J25" i="26"/>
  <c r="O24" i="26"/>
  <c r="N24" i="26"/>
  <c r="M24" i="26"/>
  <c r="L24" i="26"/>
  <c r="K24" i="26"/>
  <c r="J24" i="26"/>
  <c r="O23" i="26"/>
  <c r="N23" i="26"/>
  <c r="M23" i="26"/>
  <c r="L23" i="26"/>
  <c r="K23" i="26"/>
  <c r="J23" i="26"/>
  <c r="J22" i="26"/>
  <c r="O21" i="26"/>
  <c r="N21" i="26"/>
  <c r="M21" i="26"/>
  <c r="L21" i="26"/>
  <c r="K21" i="26"/>
  <c r="J21" i="26"/>
  <c r="O20" i="26"/>
  <c r="N20" i="26"/>
  <c r="M20" i="26"/>
  <c r="L20" i="26"/>
  <c r="K20" i="26"/>
  <c r="J20" i="26"/>
  <c r="O19" i="26"/>
  <c r="N19" i="26"/>
  <c r="M19" i="26"/>
  <c r="L19" i="26"/>
  <c r="K19" i="26"/>
  <c r="J19" i="26"/>
  <c r="O18" i="26"/>
  <c r="N18" i="26"/>
  <c r="M18" i="26"/>
  <c r="L18" i="26"/>
  <c r="K18" i="26"/>
  <c r="J18" i="26"/>
  <c r="O17" i="26"/>
  <c r="N17" i="26"/>
  <c r="M17" i="26"/>
  <c r="L17" i="26"/>
  <c r="K17" i="26"/>
  <c r="J17" i="26"/>
  <c r="O16" i="26"/>
  <c r="N16" i="26"/>
  <c r="M16" i="26"/>
  <c r="L16" i="26"/>
  <c r="K16" i="26"/>
  <c r="J16" i="26"/>
  <c r="J15" i="26"/>
  <c r="O14" i="26"/>
  <c r="N14" i="26"/>
  <c r="M14" i="26"/>
  <c r="L14" i="26"/>
  <c r="K14" i="26"/>
  <c r="J14" i="26"/>
  <c r="O13" i="26"/>
  <c r="N13" i="26"/>
  <c r="M13" i="26"/>
  <c r="L13" i="26"/>
  <c r="K13" i="26"/>
  <c r="J13" i="26"/>
  <c r="O12" i="26"/>
  <c r="N12" i="26"/>
  <c r="M12" i="26"/>
  <c r="L12" i="26"/>
  <c r="K12" i="26"/>
  <c r="J12" i="26"/>
  <c r="O11" i="26"/>
  <c r="N11" i="26"/>
  <c r="M11" i="26"/>
  <c r="L11" i="26"/>
  <c r="K11" i="26"/>
  <c r="J11" i="26"/>
  <c r="O10" i="26"/>
  <c r="N10" i="26"/>
  <c r="M10" i="26"/>
  <c r="L10" i="26"/>
  <c r="K10" i="26"/>
  <c r="J10" i="26"/>
  <c r="O9" i="26"/>
  <c r="N9" i="26"/>
  <c r="M9" i="26"/>
  <c r="L9" i="26"/>
  <c r="K9" i="26"/>
  <c r="J9" i="26"/>
  <c r="J8" i="26"/>
  <c r="O7" i="26"/>
  <c r="N7" i="26"/>
  <c r="M7" i="26"/>
  <c r="L7" i="26"/>
  <c r="K7" i="26"/>
  <c r="J7" i="26"/>
  <c r="O6" i="26"/>
  <c r="N6" i="26"/>
  <c r="M6" i="26"/>
  <c r="L6" i="26"/>
  <c r="K6" i="26"/>
  <c r="J6" i="26"/>
  <c r="O5" i="26"/>
  <c r="N5" i="26"/>
  <c r="M5" i="26"/>
  <c r="L5" i="26"/>
  <c r="K5" i="26"/>
  <c r="J5" i="26"/>
  <c r="O4" i="26"/>
  <c r="N4" i="26"/>
  <c r="M4" i="26"/>
  <c r="L4" i="26"/>
  <c r="K4" i="26"/>
  <c r="J4" i="26"/>
  <c r="O3" i="26"/>
  <c r="N3" i="26"/>
  <c r="M3" i="26"/>
  <c r="L3" i="26"/>
  <c r="K3" i="26"/>
  <c r="J3" i="26"/>
  <c r="O2" i="26"/>
  <c r="N2" i="26"/>
  <c r="M2" i="26"/>
  <c r="L2" i="26"/>
  <c r="K2" i="26"/>
  <c r="O56" i="32"/>
  <c r="N56" i="32"/>
  <c r="M56" i="32"/>
  <c r="L56" i="32"/>
  <c r="K56" i="32"/>
  <c r="J56" i="32"/>
  <c r="O55" i="32"/>
  <c r="N55" i="32"/>
  <c r="M55" i="32"/>
  <c r="L55" i="32"/>
  <c r="K55" i="32"/>
  <c r="J55" i="32"/>
  <c r="O54" i="32"/>
  <c r="N54" i="32"/>
  <c r="M54" i="32"/>
  <c r="L54" i="32"/>
  <c r="K54" i="32"/>
  <c r="J54" i="32"/>
  <c r="O53" i="32"/>
  <c r="N53" i="32"/>
  <c r="M53" i="32"/>
  <c r="L53" i="32"/>
  <c r="K53" i="32"/>
  <c r="J53" i="32"/>
  <c r="O52" i="32"/>
  <c r="N52" i="32"/>
  <c r="M52" i="32"/>
  <c r="L52" i="32"/>
  <c r="K52" i="32"/>
  <c r="J52" i="32"/>
  <c r="O51" i="32"/>
  <c r="N51" i="32"/>
  <c r="M51" i="32"/>
  <c r="L51" i="32"/>
  <c r="K51" i="32"/>
  <c r="J51" i="32"/>
  <c r="J50" i="32"/>
  <c r="O49" i="32"/>
  <c r="N49" i="32"/>
  <c r="M49" i="32"/>
  <c r="L49" i="32"/>
  <c r="K49" i="32"/>
  <c r="J49" i="32"/>
  <c r="O48" i="32"/>
  <c r="N48" i="32"/>
  <c r="M48" i="32"/>
  <c r="L48" i="32"/>
  <c r="K48" i="32"/>
  <c r="J48" i="32"/>
  <c r="O47" i="32"/>
  <c r="N47" i="32"/>
  <c r="M47" i="32"/>
  <c r="L47" i="32"/>
  <c r="K47" i="32"/>
  <c r="J47" i="32"/>
  <c r="O46" i="32"/>
  <c r="N46" i="32"/>
  <c r="M46" i="32"/>
  <c r="L46" i="32"/>
  <c r="K46" i="32"/>
  <c r="J46" i="32"/>
  <c r="O45" i="32"/>
  <c r="N45" i="32"/>
  <c r="M45" i="32"/>
  <c r="L45" i="32"/>
  <c r="K45" i="32"/>
  <c r="J45" i="32"/>
  <c r="O44" i="32"/>
  <c r="N44" i="32"/>
  <c r="M44" i="32"/>
  <c r="L44" i="32"/>
  <c r="K44" i="32"/>
  <c r="J44" i="32"/>
  <c r="J43" i="32"/>
  <c r="O42" i="32"/>
  <c r="N42" i="32"/>
  <c r="M42" i="32"/>
  <c r="L42" i="32"/>
  <c r="K42" i="32"/>
  <c r="J42" i="32"/>
  <c r="O41" i="32"/>
  <c r="N41" i="32"/>
  <c r="M41" i="32"/>
  <c r="L41" i="32"/>
  <c r="K41" i="32"/>
  <c r="J41" i="32"/>
  <c r="O40" i="32"/>
  <c r="N40" i="32"/>
  <c r="M40" i="32"/>
  <c r="L40" i="32"/>
  <c r="K40" i="32"/>
  <c r="J40" i="32"/>
  <c r="O39" i="32"/>
  <c r="N39" i="32"/>
  <c r="M39" i="32"/>
  <c r="L39" i="32"/>
  <c r="K39" i="32"/>
  <c r="J39" i="32"/>
  <c r="O38" i="32"/>
  <c r="N38" i="32"/>
  <c r="M38" i="32"/>
  <c r="L38" i="32"/>
  <c r="K38" i="32"/>
  <c r="J38" i="32"/>
  <c r="O37" i="32"/>
  <c r="N37" i="32"/>
  <c r="M37" i="32"/>
  <c r="L37" i="32"/>
  <c r="K37" i="32"/>
  <c r="J37" i="32"/>
  <c r="J36" i="32"/>
  <c r="O35" i="32"/>
  <c r="N35" i="32"/>
  <c r="M35" i="32"/>
  <c r="L35" i="32"/>
  <c r="K35" i="32"/>
  <c r="J35" i="32"/>
  <c r="O34" i="32"/>
  <c r="N34" i="32"/>
  <c r="M34" i="32"/>
  <c r="L34" i="32"/>
  <c r="K34" i="32"/>
  <c r="J34" i="32"/>
  <c r="O33" i="32"/>
  <c r="N33" i="32"/>
  <c r="M33" i="32"/>
  <c r="L33" i="32"/>
  <c r="K33" i="32"/>
  <c r="J33" i="32"/>
  <c r="O32" i="32"/>
  <c r="N32" i="32"/>
  <c r="M32" i="32"/>
  <c r="L32" i="32"/>
  <c r="K32" i="32"/>
  <c r="J32" i="32"/>
  <c r="O31" i="32"/>
  <c r="N31" i="32"/>
  <c r="M31" i="32"/>
  <c r="L31" i="32"/>
  <c r="K31" i="32"/>
  <c r="J31" i="32"/>
  <c r="O30" i="32"/>
  <c r="N30" i="32"/>
  <c r="M30" i="32"/>
  <c r="L30" i="32"/>
  <c r="K30" i="32"/>
  <c r="J30" i="32"/>
  <c r="O28" i="32"/>
  <c r="N28" i="32"/>
  <c r="M28" i="32"/>
  <c r="L28" i="32"/>
  <c r="K28" i="32"/>
  <c r="J28" i="32"/>
  <c r="O27" i="32"/>
  <c r="N27" i="32"/>
  <c r="M27" i="32"/>
  <c r="L27" i="32"/>
  <c r="K27" i="32"/>
  <c r="J27" i="32"/>
  <c r="O26" i="32"/>
  <c r="N26" i="32"/>
  <c r="M26" i="32"/>
  <c r="L26" i="32"/>
  <c r="K26" i="32"/>
  <c r="J26" i="32"/>
  <c r="O25" i="32"/>
  <c r="N25" i="32"/>
  <c r="M25" i="32"/>
  <c r="L25" i="32"/>
  <c r="K25" i="32"/>
  <c r="J25" i="32"/>
  <c r="O24" i="32"/>
  <c r="N24" i="32"/>
  <c r="M24" i="32"/>
  <c r="L24" i="32"/>
  <c r="K24" i="32"/>
  <c r="J24" i="32"/>
  <c r="O23" i="32"/>
  <c r="N23" i="32"/>
  <c r="M23" i="32"/>
  <c r="L23" i="32"/>
  <c r="K23" i="32"/>
  <c r="J23" i="32"/>
  <c r="J22" i="32"/>
  <c r="O21" i="32"/>
  <c r="N21" i="32"/>
  <c r="M21" i="32"/>
  <c r="L21" i="32"/>
  <c r="K21" i="32"/>
  <c r="J21" i="32"/>
  <c r="O20" i="32"/>
  <c r="N20" i="32"/>
  <c r="M20" i="32"/>
  <c r="L20" i="32"/>
  <c r="K20" i="32"/>
  <c r="J20" i="32"/>
  <c r="O19" i="32"/>
  <c r="N19" i="32"/>
  <c r="M19" i="32"/>
  <c r="L19" i="32"/>
  <c r="K19" i="32"/>
  <c r="J19" i="32"/>
  <c r="O18" i="32"/>
  <c r="N18" i="32"/>
  <c r="M18" i="32"/>
  <c r="L18" i="32"/>
  <c r="K18" i="32"/>
  <c r="J18" i="32"/>
  <c r="O17" i="32"/>
  <c r="N17" i="32"/>
  <c r="M17" i="32"/>
  <c r="L17" i="32"/>
  <c r="K17" i="32"/>
  <c r="J17" i="32"/>
  <c r="O16" i="32"/>
  <c r="N16" i="32"/>
  <c r="M16" i="32"/>
  <c r="L16" i="32"/>
  <c r="K16" i="32"/>
  <c r="J16" i="32"/>
  <c r="J15" i="32"/>
  <c r="O14" i="32"/>
  <c r="N14" i="32"/>
  <c r="M14" i="32"/>
  <c r="L14" i="32"/>
  <c r="K14" i="32"/>
  <c r="J14" i="32"/>
  <c r="O13" i="32"/>
  <c r="N13" i="32"/>
  <c r="M13" i="32"/>
  <c r="L13" i="32"/>
  <c r="K13" i="32"/>
  <c r="J13" i="32"/>
  <c r="O12" i="32"/>
  <c r="N12" i="32"/>
  <c r="M12" i="32"/>
  <c r="L12" i="32"/>
  <c r="K12" i="32"/>
  <c r="J12" i="32"/>
  <c r="P24" i="31"/>
  <c r="O11" i="32"/>
  <c r="N11" i="32"/>
  <c r="M11" i="32"/>
  <c r="L11" i="32"/>
  <c r="K11" i="32"/>
  <c r="J11" i="32"/>
  <c r="O10" i="32"/>
  <c r="N10" i="32"/>
  <c r="M10" i="32"/>
  <c r="L10" i="32"/>
  <c r="K10" i="32"/>
  <c r="J10" i="32"/>
  <c r="O9" i="32"/>
  <c r="N9" i="32"/>
  <c r="M9" i="32"/>
  <c r="L9" i="32"/>
  <c r="K9" i="32"/>
  <c r="J9" i="32"/>
  <c r="J8" i="32"/>
  <c r="O7" i="32"/>
  <c r="N7" i="32"/>
  <c r="M7" i="32"/>
  <c r="L7" i="32"/>
  <c r="K7" i="32"/>
  <c r="J7" i="32"/>
  <c r="O6" i="32"/>
  <c r="N6" i="32"/>
  <c r="M6" i="32"/>
  <c r="L6" i="32"/>
  <c r="K6" i="32"/>
  <c r="J6" i="32"/>
  <c r="O5" i="32"/>
  <c r="N5" i="32"/>
  <c r="M5" i="32"/>
  <c r="L5" i="32"/>
  <c r="K5" i="32"/>
  <c r="J5" i="32"/>
  <c r="O4" i="32"/>
  <c r="N4" i="32"/>
  <c r="M4" i="32"/>
  <c r="L4" i="32"/>
  <c r="K4" i="32"/>
  <c r="J4" i="32"/>
  <c r="O3" i="32"/>
  <c r="N3" i="32"/>
  <c r="M3" i="32"/>
  <c r="L3" i="32"/>
  <c r="K3" i="32"/>
  <c r="J3" i="32"/>
  <c r="O2" i="32"/>
  <c r="N2" i="32"/>
  <c r="M2" i="32"/>
  <c r="L2" i="32"/>
  <c r="K2" i="32"/>
  <c r="O56" i="25"/>
  <c r="N56" i="25"/>
  <c r="M56" i="25"/>
  <c r="L56" i="25"/>
  <c r="K56" i="25"/>
  <c r="J56" i="25"/>
  <c r="O55" i="25"/>
  <c r="N55" i="25"/>
  <c r="M55" i="25"/>
  <c r="L55" i="25"/>
  <c r="K55" i="25"/>
  <c r="J55" i="25"/>
  <c r="O54" i="25"/>
  <c r="N54" i="25"/>
  <c r="M54" i="25"/>
  <c r="L54" i="25"/>
  <c r="K54" i="25"/>
  <c r="J54" i="25"/>
  <c r="O53" i="25"/>
  <c r="N53" i="25"/>
  <c r="M53" i="25"/>
  <c r="L53" i="25"/>
  <c r="K53" i="25"/>
  <c r="J53" i="25"/>
  <c r="O52" i="25"/>
  <c r="N52" i="25"/>
  <c r="M52" i="25"/>
  <c r="L52" i="25"/>
  <c r="K52" i="25"/>
  <c r="J52" i="25"/>
  <c r="O51" i="25"/>
  <c r="N51" i="25"/>
  <c r="M51" i="25"/>
  <c r="L51" i="25"/>
  <c r="K51" i="25"/>
  <c r="J51" i="25"/>
  <c r="J50" i="25"/>
  <c r="O49" i="25"/>
  <c r="N49" i="25"/>
  <c r="M49" i="25"/>
  <c r="L49" i="25"/>
  <c r="K49" i="25"/>
  <c r="J49" i="25"/>
  <c r="O48" i="25"/>
  <c r="N48" i="25"/>
  <c r="M48" i="25"/>
  <c r="L48" i="25"/>
  <c r="K48" i="25"/>
  <c r="J48" i="25"/>
  <c r="O47" i="25"/>
  <c r="N47" i="25"/>
  <c r="M47" i="25"/>
  <c r="L47" i="25"/>
  <c r="K47" i="25"/>
  <c r="J47" i="25"/>
  <c r="O46" i="25"/>
  <c r="N46" i="25"/>
  <c r="M46" i="25"/>
  <c r="L46" i="25"/>
  <c r="K46" i="25"/>
  <c r="J46" i="25"/>
  <c r="O45" i="25"/>
  <c r="N45" i="25"/>
  <c r="M45" i="25"/>
  <c r="L45" i="25"/>
  <c r="K45" i="25"/>
  <c r="J45" i="25"/>
  <c r="O44" i="25"/>
  <c r="N44" i="25"/>
  <c r="M44" i="25"/>
  <c r="L44" i="25"/>
  <c r="K44" i="25"/>
  <c r="J44" i="25"/>
  <c r="J43" i="25"/>
  <c r="O42" i="25"/>
  <c r="N42" i="25"/>
  <c r="M42" i="25"/>
  <c r="L42" i="25"/>
  <c r="K42" i="25"/>
  <c r="J42" i="25"/>
  <c r="O41" i="25"/>
  <c r="N41" i="25"/>
  <c r="M41" i="25"/>
  <c r="L41" i="25"/>
  <c r="K41" i="25"/>
  <c r="J41" i="25"/>
  <c r="O40" i="25"/>
  <c r="N40" i="25"/>
  <c r="M40" i="25"/>
  <c r="L40" i="25"/>
  <c r="K40" i="25"/>
  <c r="J40" i="25"/>
  <c r="O39" i="25"/>
  <c r="N39" i="25"/>
  <c r="M39" i="25"/>
  <c r="L39" i="25"/>
  <c r="K39" i="25"/>
  <c r="J39" i="25"/>
  <c r="O38" i="25"/>
  <c r="N38" i="25"/>
  <c r="M38" i="25"/>
  <c r="L38" i="25"/>
  <c r="K38" i="25"/>
  <c r="J38" i="25"/>
  <c r="O37" i="25"/>
  <c r="N37" i="25"/>
  <c r="M37" i="25"/>
  <c r="L37" i="25"/>
  <c r="K37" i="25"/>
  <c r="J37" i="25"/>
  <c r="J36" i="25"/>
  <c r="O35" i="25"/>
  <c r="N35" i="25"/>
  <c r="M35" i="25"/>
  <c r="L35" i="25"/>
  <c r="K35" i="25"/>
  <c r="J35" i="25"/>
  <c r="O34" i="25"/>
  <c r="N34" i="25"/>
  <c r="M34" i="25"/>
  <c r="L34" i="25"/>
  <c r="K34" i="25"/>
  <c r="J34" i="25"/>
  <c r="O33" i="25"/>
  <c r="N33" i="25"/>
  <c r="M33" i="25"/>
  <c r="L33" i="25"/>
  <c r="K33" i="25"/>
  <c r="J33" i="25"/>
  <c r="O32" i="25"/>
  <c r="N32" i="25"/>
  <c r="M32" i="25"/>
  <c r="L32" i="25"/>
  <c r="K32" i="25"/>
  <c r="J32" i="25"/>
  <c r="O31" i="25"/>
  <c r="N31" i="25"/>
  <c r="M31" i="25"/>
  <c r="L31" i="25"/>
  <c r="K31" i="25"/>
  <c r="J31" i="25"/>
  <c r="O30" i="25"/>
  <c r="N30" i="25"/>
  <c r="M30" i="25"/>
  <c r="L30" i="25"/>
  <c r="K30" i="25"/>
  <c r="J30" i="25"/>
  <c r="O28" i="25"/>
  <c r="N28" i="25"/>
  <c r="M28" i="25"/>
  <c r="L28" i="25"/>
  <c r="K28" i="25"/>
  <c r="J28" i="25"/>
  <c r="O27" i="25"/>
  <c r="N27" i="25"/>
  <c r="M27" i="25"/>
  <c r="L27" i="25"/>
  <c r="K27" i="25"/>
  <c r="J27" i="25"/>
  <c r="O26" i="25"/>
  <c r="N26" i="25"/>
  <c r="M26" i="25"/>
  <c r="L26" i="25"/>
  <c r="K26" i="25"/>
  <c r="J26" i="25"/>
  <c r="O25" i="25"/>
  <c r="N25" i="25"/>
  <c r="M25" i="25"/>
  <c r="L25" i="25"/>
  <c r="K25" i="25"/>
  <c r="J25" i="25"/>
  <c r="O24" i="25"/>
  <c r="N24" i="25"/>
  <c r="M24" i="25"/>
  <c r="L24" i="25"/>
  <c r="K24" i="25"/>
  <c r="J24" i="25"/>
  <c r="O23" i="25"/>
  <c r="N23" i="25"/>
  <c r="M23" i="25"/>
  <c r="L23" i="25"/>
  <c r="K23" i="25"/>
  <c r="J23" i="25"/>
  <c r="J22" i="25"/>
  <c r="O21" i="25"/>
  <c r="N21" i="25"/>
  <c r="M21" i="25"/>
  <c r="L21" i="25"/>
  <c r="K21" i="25"/>
  <c r="J21" i="25"/>
  <c r="O20" i="25"/>
  <c r="N20" i="25"/>
  <c r="M20" i="25"/>
  <c r="L20" i="25"/>
  <c r="K20" i="25"/>
  <c r="J20" i="25"/>
  <c r="O19" i="25"/>
  <c r="N19" i="25"/>
  <c r="M19" i="25"/>
  <c r="L19" i="25"/>
  <c r="K19" i="25"/>
  <c r="J19" i="25"/>
  <c r="O18" i="25"/>
  <c r="N18" i="25"/>
  <c r="M18" i="25"/>
  <c r="L18" i="25"/>
  <c r="K18" i="25"/>
  <c r="J18" i="25"/>
  <c r="O17" i="25"/>
  <c r="N17" i="25"/>
  <c r="M17" i="25"/>
  <c r="L17" i="25"/>
  <c r="K17" i="25"/>
  <c r="J17" i="25"/>
  <c r="O16" i="25"/>
  <c r="N16" i="25"/>
  <c r="M16" i="25"/>
  <c r="L16" i="25"/>
  <c r="K16" i="25"/>
  <c r="J16" i="25"/>
  <c r="J15" i="25"/>
  <c r="O14" i="25"/>
  <c r="N14" i="25"/>
  <c r="M14" i="25"/>
  <c r="L14" i="25"/>
  <c r="K14" i="25"/>
  <c r="J14" i="25"/>
  <c r="O13" i="25"/>
  <c r="N13" i="25"/>
  <c r="M13" i="25"/>
  <c r="L13" i="25"/>
  <c r="K13" i="25"/>
  <c r="J13" i="25"/>
  <c r="O12" i="25"/>
  <c r="N12" i="25"/>
  <c r="M12" i="25"/>
  <c r="L12" i="25"/>
  <c r="K12" i="25"/>
  <c r="J12" i="25"/>
  <c r="L22" i="31"/>
  <c r="O11" i="25"/>
  <c r="N11" i="25"/>
  <c r="M11" i="25"/>
  <c r="L11" i="25"/>
  <c r="K11" i="25"/>
  <c r="J11" i="25"/>
  <c r="O10" i="25"/>
  <c r="N10" i="25"/>
  <c r="M10" i="25"/>
  <c r="L10" i="25"/>
  <c r="K10" i="25"/>
  <c r="J10" i="25"/>
  <c r="O9" i="25"/>
  <c r="N9" i="25"/>
  <c r="M9" i="25"/>
  <c r="L9" i="25"/>
  <c r="K9" i="25"/>
  <c r="J9" i="25"/>
  <c r="J8" i="25"/>
  <c r="O7" i="25"/>
  <c r="N7" i="25"/>
  <c r="M7" i="25"/>
  <c r="L7" i="25"/>
  <c r="K7" i="25"/>
  <c r="J7" i="25"/>
  <c r="O6" i="25"/>
  <c r="N6" i="25"/>
  <c r="M6" i="25"/>
  <c r="L6" i="25"/>
  <c r="K6" i="25"/>
  <c r="J6" i="25"/>
  <c r="O5" i="25"/>
  <c r="N5" i="25"/>
  <c r="M5" i="25"/>
  <c r="L5" i="25"/>
  <c r="K5" i="25"/>
  <c r="J5" i="25"/>
  <c r="O4" i="25"/>
  <c r="N4" i="25"/>
  <c r="M4" i="25"/>
  <c r="L4" i="25"/>
  <c r="K4" i="25"/>
  <c r="J4" i="25"/>
  <c r="O3" i="25"/>
  <c r="N3" i="25"/>
  <c r="M3" i="25"/>
  <c r="L3" i="25"/>
  <c r="K3" i="25"/>
  <c r="J3" i="25"/>
  <c r="O2" i="25"/>
  <c r="N2" i="25"/>
  <c r="M2" i="25"/>
  <c r="L2" i="25"/>
  <c r="K2" i="25"/>
  <c r="O56" i="24"/>
  <c r="N56" i="24"/>
  <c r="M56" i="24"/>
  <c r="L56" i="24"/>
  <c r="K56" i="24"/>
  <c r="J56" i="24"/>
  <c r="O55" i="24"/>
  <c r="N55" i="24"/>
  <c r="M55" i="24"/>
  <c r="L55" i="24"/>
  <c r="K55" i="24"/>
  <c r="J55" i="24"/>
  <c r="O54" i="24"/>
  <c r="N54" i="24"/>
  <c r="M54" i="24"/>
  <c r="L54" i="24"/>
  <c r="K54" i="24"/>
  <c r="J54" i="24"/>
  <c r="O53" i="24"/>
  <c r="N53" i="24"/>
  <c r="M53" i="24"/>
  <c r="L53" i="24"/>
  <c r="K53" i="24"/>
  <c r="J53" i="24"/>
  <c r="O52" i="24"/>
  <c r="N52" i="24"/>
  <c r="M52" i="24"/>
  <c r="L52" i="24"/>
  <c r="K52" i="24"/>
  <c r="J52" i="24"/>
  <c r="O51" i="24"/>
  <c r="N51" i="24"/>
  <c r="M51" i="24"/>
  <c r="L51" i="24"/>
  <c r="K51" i="24"/>
  <c r="J51" i="24"/>
  <c r="J50" i="24"/>
  <c r="O49" i="24"/>
  <c r="N49" i="24"/>
  <c r="M49" i="24"/>
  <c r="L49" i="24"/>
  <c r="K49" i="24"/>
  <c r="J49" i="24"/>
  <c r="O48" i="24"/>
  <c r="N48" i="24"/>
  <c r="M48" i="24"/>
  <c r="L48" i="24"/>
  <c r="K48" i="24"/>
  <c r="J48" i="24"/>
  <c r="O47" i="24"/>
  <c r="N47" i="24"/>
  <c r="M47" i="24"/>
  <c r="L47" i="24"/>
  <c r="K47" i="24"/>
  <c r="J47" i="24"/>
  <c r="O46" i="24"/>
  <c r="N46" i="24"/>
  <c r="M46" i="24"/>
  <c r="L46" i="24"/>
  <c r="K46" i="24"/>
  <c r="J46" i="24"/>
  <c r="O45" i="24"/>
  <c r="N45" i="24"/>
  <c r="M45" i="24"/>
  <c r="L45" i="24"/>
  <c r="K45" i="24"/>
  <c r="J45" i="24"/>
  <c r="O44" i="24"/>
  <c r="N44" i="24"/>
  <c r="M44" i="24"/>
  <c r="L44" i="24"/>
  <c r="K44" i="24"/>
  <c r="J44" i="24"/>
  <c r="J43" i="24"/>
  <c r="O42" i="24"/>
  <c r="N42" i="24"/>
  <c r="M42" i="24"/>
  <c r="L42" i="24"/>
  <c r="K42" i="24"/>
  <c r="J42" i="24"/>
  <c r="O41" i="24"/>
  <c r="N41" i="24"/>
  <c r="M41" i="24"/>
  <c r="L41" i="24"/>
  <c r="K41" i="24"/>
  <c r="J41" i="24"/>
  <c r="O40" i="24"/>
  <c r="N40" i="24"/>
  <c r="M40" i="24"/>
  <c r="L40" i="24"/>
  <c r="K40" i="24"/>
  <c r="J40" i="24"/>
  <c r="O39" i="24"/>
  <c r="N39" i="24"/>
  <c r="M39" i="24"/>
  <c r="L39" i="24"/>
  <c r="K39" i="24"/>
  <c r="J39" i="24"/>
  <c r="O38" i="24"/>
  <c r="N38" i="24"/>
  <c r="M38" i="24"/>
  <c r="L38" i="24"/>
  <c r="K38" i="24"/>
  <c r="J38" i="24"/>
  <c r="O37" i="24"/>
  <c r="N37" i="24"/>
  <c r="M37" i="24"/>
  <c r="L37" i="24"/>
  <c r="K37" i="24"/>
  <c r="J37" i="24"/>
  <c r="J36" i="24"/>
  <c r="O35" i="24"/>
  <c r="N35" i="24"/>
  <c r="M35" i="24"/>
  <c r="L35" i="24"/>
  <c r="K35" i="24"/>
  <c r="J35" i="24"/>
  <c r="O34" i="24"/>
  <c r="N34" i="24"/>
  <c r="M34" i="24"/>
  <c r="L34" i="24"/>
  <c r="K34" i="24"/>
  <c r="J34" i="24"/>
  <c r="O33" i="24"/>
  <c r="N33" i="24"/>
  <c r="M33" i="24"/>
  <c r="L33" i="24"/>
  <c r="K33" i="24"/>
  <c r="J33" i="24"/>
  <c r="O32" i="24"/>
  <c r="N32" i="24"/>
  <c r="M32" i="24"/>
  <c r="L32" i="24"/>
  <c r="K32" i="24"/>
  <c r="J32" i="24"/>
  <c r="O31" i="24"/>
  <c r="N31" i="24"/>
  <c r="M31" i="24"/>
  <c r="L31" i="24"/>
  <c r="K31" i="24"/>
  <c r="J31" i="24"/>
  <c r="O30" i="24"/>
  <c r="N30" i="24"/>
  <c r="M30" i="24"/>
  <c r="L30" i="24"/>
  <c r="K30" i="24"/>
  <c r="J30" i="24"/>
  <c r="O28" i="24"/>
  <c r="N28" i="24"/>
  <c r="M28" i="24"/>
  <c r="L28" i="24"/>
  <c r="K28" i="24"/>
  <c r="J28" i="24"/>
  <c r="O27" i="24"/>
  <c r="N27" i="24"/>
  <c r="M27" i="24"/>
  <c r="L27" i="24"/>
  <c r="K27" i="24"/>
  <c r="J27" i="24"/>
  <c r="O26" i="24"/>
  <c r="N26" i="24"/>
  <c r="M26" i="24"/>
  <c r="L26" i="24"/>
  <c r="K26" i="24"/>
  <c r="J26" i="24"/>
  <c r="O25" i="24"/>
  <c r="N25" i="24"/>
  <c r="M25" i="24"/>
  <c r="L25" i="24"/>
  <c r="K25" i="24"/>
  <c r="J25" i="24"/>
  <c r="O24" i="24"/>
  <c r="N24" i="24"/>
  <c r="M24" i="24"/>
  <c r="L24" i="24"/>
  <c r="K24" i="24"/>
  <c r="J24" i="24"/>
  <c r="O23" i="24"/>
  <c r="N23" i="24"/>
  <c r="M23" i="24"/>
  <c r="L23" i="24"/>
  <c r="K23" i="24"/>
  <c r="J23" i="24"/>
  <c r="J22" i="24"/>
  <c r="O21" i="24"/>
  <c r="N21" i="24"/>
  <c r="M21" i="24"/>
  <c r="L21" i="24"/>
  <c r="K21" i="24"/>
  <c r="J21" i="24"/>
  <c r="O20" i="24"/>
  <c r="N20" i="24"/>
  <c r="M20" i="24"/>
  <c r="L20" i="24"/>
  <c r="K20" i="24"/>
  <c r="J20" i="24"/>
  <c r="O19" i="24"/>
  <c r="N19" i="24"/>
  <c r="M19" i="24"/>
  <c r="L19" i="24"/>
  <c r="K19" i="24"/>
  <c r="J19" i="24"/>
  <c r="O18" i="24"/>
  <c r="N18" i="24"/>
  <c r="M18" i="24"/>
  <c r="L18" i="24"/>
  <c r="K18" i="24"/>
  <c r="J18" i="24"/>
  <c r="O17" i="24"/>
  <c r="N17" i="24"/>
  <c r="M17" i="24"/>
  <c r="L17" i="24"/>
  <c r="K17" i="24"/>
  <c r="J17" i="24"/>
  <c r="O16" i="24"/>
  <c r="N16" i="24"/>
  <c r="M16" i="24"/>
  <c r="L16" i="24"/>
  <c r="K16" i="24"/>
  <c r="J16" i="24"/>
  <c r="J15" i="24"/>
  <c r="O14" i="24"/>
  <c r="N14" i="24"/>
  <c r="M14" i="24"/>
  <c r="L14" i="24"/>
  <c r="K14" i="24"/>
  <c r="J14" i="24"/>
  <c r="O13" i="24"/>
  <c r="N13" i="24"/>
  <c r="M13" i="24"/>
  <c r="L13" i="24"/>
  <c r="K13" i="24"/>
  <c r="J13" i="24"/>
  <c r="O12" i="24"/>
  <c r="N12" i="24"/>
  <c r="M12" i="24"/>
  <c r="L12" i="24"/>
  <c r="K12" i="24"/>
  <c r="J12" i="24"/>
  <c r="O11" i="24"/>
  <c r="N11" i="24"/>
  <c r="M11" i="24"/>
  <c r="L11" i="24"/>
  <c r="K11" i="24"/>
  <c r="J11" i="24"/>
  <c r="O10" i="24"/>
  <c r="N10" i="24"/>
  <c r="M10" i="24"/>
  <c r="L10" i="24"/>
  <c r="K10" i="24"/>
  <c r="J10" i="24"/>
  <c r="O9" i="24"/>
  <c r="N9" i="24"/>
  <c r="M9" i="24"/>
  <c r="L9" i="24"/>
  <c r="K9" i="24"/>
  <c r="J9" i="24"/>
  <c r="J8" i="24"/>
  <c r="O7" i="24"/>
  <c r="N7" i="24"/>
  <c r="M7" i="24"/>
  <c r="L7" i="24"/>
  <c r="K7" i="24"/>
  <c r="J7" i="24"/>
  <c r="O6" i="24"/>
  <c r="N6" i="24"/>
  <c r="M6" i="24"/>
  <c r="L6" i="24"/>
  <c r="K6" i="24"/>
  <c r="J6" i="24"/>
  <c r="O5" i="24"/>
  <c r="N5" i="24"/>
  <c r="M5" i="24"/>
  <c r="L5" i="24"/>
  <c r="K5" i="24"/>
  <c r="J5" i="24"/>
  <c r="O4" i="24"/>
  <c r="N4" i="24"/>
  <c r="M4" i="24"/>
  <c r="L4" i="24"/>
  <c r="K4" i="24"/>
  <c r="J4" i="24"/>
  <c r="O3" i="24"/>
  <c r="N3" i="24"/>
  <c r="M3" i="24"/>
  <c r="L3" i="24"/>
  <c r="K3" i="24"/>
  <c r="J3" i="24"/>
  <c r="O2" i="24"/>
  <c r="N2" i="24"/>
  <c r="M2" i="24"/>
  <c r="L2" i="24"/>
  <c r="K2" i="24"/>
  <c r="O56" i="23"/>
  <c r="N56" i="23"/>
  <c r="M56" i="23"/>
  <c r="L56" i="23"/>
  <c r="K56" i="23"/>
  <c r="J56" i="23"/>
  <c r="O55" i="23"/>
  <c r="N55" i="23"/>
  <c r="M55" i="23"/>
  <c r="L55" i="23"/>
  <c r="K55" i="23"/>
  <c r="J55" i="23"/>
  <c r="O54" i="23"/>
  <c r="N54" i="23"/>
  <c r="M54" i="23"/>
  <c r="L54" i="23"/>
  <c r="K54" i="23"/>
  <c r="J54" i="23"/>
  <c r="O53" i="23"/>
  <c r="N53" i="23"/>
  <c r="M53" i="23"/>
  <c r="L53" i="23"/>
  <c r="K53" i="23"/>
  <c r="J53" i="23"/>
  <c r="O52" i="23"/>
  <c r="N52" i="23"/>
  <c r="M52" i="23"/>
  <c r="L52" i="23"/>
  <c r="K52" i="23"/>
  <c r="J52" i="23"/>
  <c r="O51" i="23"/>
  <c r="N51" i="23"/>
  <c r="M51" i="23"/>
  <c r="L51" i="23"/>
  <c r="K51" i="23"/>
  <c r="J51" i="23"/>
  <c r="J50" i="23"/>
  <c r="O49" i="23"/>
  <c r="N49" i="23"/>
  <c r="M49" i="23"/>
  <c r="L49" i="23"/>
  <c r="K49" i="23"/>
  <c r="J49" i="23"/>
  <c r="O48" i="23"/>
  <c r="N48" i="23"/>
  <c r="M48" i="23"/>
  <c r="L48" i="23"/>
  <c r="K48" i="23"/>
  <c r="J48" i="23"/>
  <c r="O47" i="23"/>
  <c r="N47" i="23"/>
  <c r="M47" i="23"/>
  <c r="L47" i="23"/>
  <c r="K47" i="23"/>
  <c r="J47" i="23"/>
  <c r="O46" i="23"/>
  <c r="N46" i="23"/>
  <c r="M46" i="23"/>
  <c r="L46" i="23"/>
  <c r="K46" i="23"/>
  <c r="J46" i="23"/>
  <c r="O45" i="23"/>
  <c r="N45" i="23"/>
  <c r="M45" i="23"/>
  <c r="L45" i="23"/>
  <c r="K45" i="23"/>
  <c r="J45" i="23"/>
  <c r="O44" i="23"/>
  <c r="N44" i="23"/>
  <c r="M44" i="23"/>
  <c r="L44" i="23"/>
  <c r="K44" i="23"/>
  <c r="J44" i="23"/>
  <c r="J43" i="23"/>
  <c r="O42" i="23"/>
  <c r="N42" i="23"/>
  <c r="M42" i="23"/>
  <c r="L42" i="23"/>
  <c r="K42" i="23"/>
  <c r="J42" i="23"/>
  <c r="O41" i="23"/>
  <c r="N41" i="23"/>
  <c r="M41" i="23"/>
  <c r="L41" i="23"/>
  <c r="K41" i="23"/>
  <c r="J41" i="23"/>
  <c r="O40" i="23"/>
  <c r="N40" i="23"/>
  <c r="M40" i="23"/>
  <c r="L40" i="23"/>
  <c r="K40" i="23"/>
  <c r="J40" i="23"/>
  <c r="O39" i="23"/>
  <c r="N39" i="23"/>
  <c r="M39" i="23"/>
  <c r="L39" i="23"/>
  <c r="K39" i="23"/>
  <c r="J39" i="23"/>
  <c r="O38" i="23"/>
  <c r="N38" i="23"/>
  <c r="M38" i="23"/>
  <c r="L38" i="23"/>
  <c r="K38" i="23"/>
  <c r="J38" i="23"/>
  <c r="O37" i="23"/>
  <c r="N37" i="23"/>
  <c r="M37" i="23"/>
  <c r="L37" i="23"/>
  <c r="K37" i="23"/>
  <c r="J37" i="23"/>
  <c r="J36" i="23"/>
  <c r="O35" i="23"/>
  <c r="N35" i="23"/>
  <c r="M35" i="23"/>
  <c r="L35" i="23"/>
  <c r="K35" i="23"/>
  <c r="J35" i="23"/>
  <c r="O34" i="23"/>
  <c r="N34" i="23"/>
  <c r="M34" i="23"/>
  <c r="L34" i="23"/>
  <c r="K34" i="23"/>
  <c r="J34" i="23"/>
  <c r="O33" i="23"/>
  <c r="N33" i="23"/>
  <c r="M33" i="23"/>
  <c r="L33" i="23"/>
  <c r="K33" i="23"/>
  <c r="J33" i="23"/>
  <c r="O32" i="23"/>
  <c r="N32" i="23"/>
  <c r="M32" i="23"/>
  <c r="L32" i="23"/>
  <c r="K32" i="23"/>
  <c r="J32" i="23"/>
  <c r="O31" i="23"/>
  <c r="N31" i="23"/>
  <c r="M31" i="23"/>
  <c r="L31" i="23"/>
  <c r="K31" i="23"/>
  <c r="J31" i="23"/>
  <c r="O30" i="23"/>
  <c r="N30" i="23"/>
  <c r="M30" i="23"/>
  <c r="L30" i="23"/>
  <c r="K30" i="23"/>
  <c r="J30" i="23"/>
  <c r="O28" i="23"/>
  <c r="N28" i="23"/>
  <c r="M28" i="23"/>
  <c r="L28" i="23"/>
  <c r="K28" i="23"/>
  <c r="J28" i="23"/>
  <c r="O27" i="23"/>
  <c r="N27" i="23"/>
  <c r="M27" i="23"/>
  <c r="L27" i="23"/>
  <c r="K27" i="23"/>
  <c r="J27" i="23"/>
  <c r="O26" i="23"/>
  <c r="N26" i="23"/>
  <c r="M26" i="23"/>
  <c r="L26" i="23"/>
  <c r="K26" i="23"/>
  <c r="J26" i="23"/>
  <c r="O25" i="23"/>
  <c r="N25" i="23"/>
  <c r="M25" i="23"/>
  <c r="L25" i="23"/>
  <c r="K25" i="23"/>
  <c r="J25" i="23"/>
  <c r="O24" i="23"/>
  <c r="N24" i="23"/>
  <c r="M24" i="23"/>
  <c r="L24" i="23"/>
  <c r="K24" i="23"/>
  <c r="J24" i="23"/>
  <c r="O23" i="23"/>
  <c r="N23" i="23"/>
  <c r="M23" i="23"/>
  <c r="L23" i="23"/>
  <c r="K23" i="23"/>
  <c r="J23" i="23"/>
  <c r="J22" i="23"/>
  <c r="O21" i="23"/>
  <c r="N21" i="23"/>
  <c r="M21" i="23"/>
  <c r="L21" i="23"/>
  <c r="K21" i="23"/>
  <c r="J21" i="23"/>
  <c r="O20" i="23"/>
  <c r="N20" i="23"/>
  <c r="M20" i="23"/>
  <c r="L20" i="23"/>
  <c r="K20" i="23"/>
  <c r="J20" i="23"/>
  <c r="O19" i="23"/>
  <c r="N19" i="23"/>
  <c r="M19" i="23"/>
  <c r="L19" i="23"/>
  <c r="K19" i="23"/>
  <c r="J19" i="23"/>
  <c r="O18" i="23"/>
  <c r="N18" i="23"/>
  <c r="M18" i="23"/>
  <c r="L18" i="23"/>
  <c r="K18" i="23"/>
  <c r="J18" i="23"/>
  <c r="O17" i="23"/>
  <c r="N17" i="23"/>
  <c r="M17" i="23"/>
  <c r="L17" i="23"/>
  <c r="K17" i="23"/>
  <c r="J17" i="23"/>
  <c r="O16" i="23"/>
  <c r="N16" i="23"/>
  <c r="M16" i="23"/>
  <c r="L16" i="23"/>
  <c r="K16" i="23"/>
  <c r="J16" i="23"/>
  <c r="J15" i="23"/>
  <c r="O14" i="23"/>
  <c r="N14" i="23"/>
  <c r="M14" i="23"/>
  <c r="L14" i="23"/>
  <c r="K14" i="23"/>
  <c r="J14" i="23"/>
  <c r="O13" i="23"/>
  <c r="N13" i="23"/>
  <c r="M13" i="23"/>
  <c r="L13" i="23"/>
  <c r="K13" i="23"/>
  <c r="J13" i="23"/>
  <c r="O12" i="23"/>
  <c r="N12" i="23"/>
  <c r="M12" i="23"/>
  <c r="L12" i="23"/>
  <c r="K12" i="23"/>
  <c r="J12" i="23"/>
  <c r="O11" i="23"/>
  <c r="N11" i="23"/>
  <c r="M11" i="23"/>
  <c r="L11" i="23"/>
  <c r="K11" i="23"/>
  <c r="J11" i="23"/>
  <c r="O10" i="23"/>
  <c r="N10" i="23"/>
  <c r="M10" i="23"/>
  <c r="L10" i="23"/>
  <c r="K10" i="23"/>
  <c r="J10" i="23"/>
  <c r="O9" i="23"/>
  <c r="N9" i="23"/>
  <c r="M9" i="23"/>
  <c r="L9" i="23"/>
  <c r="K9" i="23"/>
  <c r="J9" i="23"/>
  <c r="J8" i="23"/>
  <c r="O7" i="23"/>
  <c r="N7" i="23"/>
  <c r="M7" i="23"/>
  <c r="L7" i="23"/>
  <c r="K7" i="23"/>
  <c r="J7" i="23"/>
  <c r="O6" i="23"/>
  <c r="N6" i="23"/>
  <c r="M6" i="23"/>
  <c r="L6" i="23"/>
  <c r="K6" i="23"/>
  <c r="J6" i="23"/>
  <c r="O5" i="23"/>
  <c r="N5" i="23"/>
  <c r="M5" i="23"/>
  <c r="L5" i="23"/>
  <c r="K5" i="23"/>
  <c r="J5" i="23"/>
  <c r="O4" i="23"/>
  <c r="N4" i="23"/>
  <c r="M4" i="23"/>
  <c r="L4" i="23"/>
  <c r="K4" i="23"/>
  <c r="J4" i="23"/>
  <c r="O3" i="23"/>
  <c r="N3" i="23"/>
  <c r="M3" i="23"/>
  <c r="L3" i="23"/>
  <c r="K3" i="23"/>
  <c r="J3" i="23"/>
  <c r="O2" i="23"/>
  <c r="N2" i="23"/>
  <c r="M2" i="23"/>
  <c r="L2" i="23"/>
  <c r="K2" i="23"/>
  <c r="O56" i="22"/>
  <c r="N56" i="22"/>
  <c r="M56" i="22"/>
  <c r="L56" i="22"/>
  <c r="K56" i="22"/>
  <c r="J56" i="22"/>
  <c r="O55" i="22"/>
  <c r="N55" i="22"/>
  <c r="M55" i="22"/>
  <c r="L55" i="22"/>
  <c r="K55" i="22"/>
  <c r="J55" i="22"/>
  <c r="O54" i="22"/>
  <c r="N54" i="22"/>
  <c r="M54" i="22"/>
  <c r="L54" i="22"/>
  <c r="K54" i="22"/>
  <c r="J54" i="22"/>
  <c r="O53" i="22"/>
  <c r="N53" i="22"/>
  <c r="M53" i="22"/>
  <c r="L53" i="22"/>
  <c r="K53" i="22"/>
  <c r="J53" i="22"/>
  <c r="O52" i="22"/>
  <c r="N52" i="22"/>
  <c r="M52" i="22"/>
  <c r="L52" i="22"/>
  <c r="K52" i="22"/>
  <c r="J52" i="22"/>
  <c r="O51" i="22"/>
  <c r="N51" i="22"/>
  <c r="M51" i="22"/>
  <c r="L51" i="22"/>
  <c r="K51" i="22"/>
  <c r="J51" i="22"/>
  <c r="J50" i="22"/>
  <c r="O49" i="22"/>
  <c r="N49" i="22"/>
  <c r="M49" i="22"/>
  <c r="L49" i="22"/>
  <c r="K49" i="22"/>
  <c r="J49" i="22"/>
  <c r="O48" i="22"/>
  <c r="N48" i="22"/>
  <c r="M48" i="22"/>
  <c r="L48" i="22"/>
  <c r="K48" i="22"/>
  <c r="J48" i="22"/>
  <c r="O47" i="22"/>
  <c r="N47" i="22"/>
  <c r="M47" i="22"/>
  <c r="L47" i="22"/>
  <c r="K47" i="22"/>
  <c r="J47" i="22"/>
  <c r="O46" i="22"/>
  <c r="N46" i="22"/>
  <c r="M46" i="22"/>
  <c r="L46" i="22"/>
  <c r="K46" i="22"/>
  <c r="J46" i="22"/>
  <c r="O45" i="22"/>
  <c r="N45" i="22"/>
  <c r="M45" i="22"/>
  <c r="L45" i="22"/>
  <c r="K45" i="22"/>
  <c r="J45" i="22"/>
  <c r="O44" i="22"/>
  <c r="N44" i="22"/>
  <c r="M44" i="22"/>
  <c r="L44" i="22"/>
  <c r="K44" i="22"/>
  <c r="J44" i="22"/>
  <c r="J43" i="22"/>
  <c r="O42" i="22"/>
  <c r="N42" i="22"/>
  <c r="M42" i="22"/>
  <c r="L42" i="22"/>
  <c r="K42" i="22"/>
  <c r="J42" i="22"/>
  <c r="O41" i="22"/>
  <c r="N41" i="22"/>
  <c r="M41" i="22"/>
  <c r="L41" i="22"/>
  <c r="K41" i="22"/>
  <c r="J41" i="22"/>
  <c r="O40" i="22"/>
  <c r="N40" i="22"/>
  <c r="M40" i="22"/>
  <c r="L40" i="22"/>
  <c r="K40" i="22"/>
  <c r="J40" i="22"/>
  <c r="O39" i="22"/>
  <c r="N39" i="22"/>
  <c r="M39" i="22"/>
  <c r="L39" i="22"/>
  <c r="K39" i="22"/>
  <c r="J39" i="22"/>
  <c r="O38" i="22"/>
  <c r="N38" i="22"/>
  <c r="M38" i="22"/>
  <c r="L38" i="22"/>
  <c r="K38" i="22"/>
  <c r="J38" i="22"/>
  <c r="O37" i="22"/>
  <c r="N37" i="22"/>
  <c r="M37" i="22"/>
  <c r="L37" i="22"/>
  <c r="K37" i="22"/>
  <c r="J37" i="22"/>
  <c r="J36" i="22"/>
  <c r="O35" i="22"/>
  <c r="N35" i="22"/>
  <c r="M35" i="22"/>
  <c r="L35" i="22"/>
  <c r="K35" i="22"/>
  <c r="J35" i="22"/>
  <c r="O34" i="22"/>
  <c r="N34" i="22"/>
  <c r="M34" i="22"/>
  <c r="L34" i="22"/>
  <c r="K34" i="22"/>
  <c r="J34" i="22"/>
  <c r="O33" i="22"/>
  <c r="N33" i="22"/>
  <c r="M33" i="22"/>
  <c r="L33" i="22"/>
  <c r="K33" i="22"/>
  <c r="J33" i="22"/>
  <c r="O32" i="22"/>
  <c r="N32" i="22"/>
  <c r="M32" i="22"/>
  <c r="L32" i="22"/>
  <c r="K32" i="22"/>
  <c r="J32" i="22"/>
  <c r="O31" i="22"/>
  <c r="N31" i="22"/>
  <c r="M31" i="22"/>
  <c r="L31" i="22"/>
  <c r="K31" i="22"/>
  <c r="J31" i="22"/>
  <c r="O30" i="22"/>
  <c r="N30" i="22"/>
  <c r="M30" i="22"/>
  <c r="L30" i="22"/>
  <c r="K30" i="22"/>
  <c r="J30" i="22"/>
  <c r="O28" i="22"/>
  <c r="N28" i="22"/>
  <c r="M28" i="22"/>
  <c r="L28" i="22"/>
  <c r="K28" i="22"/>
  <c r="J28" i="22"/>
  <c r="O27" i="22"/>
  <c r="N27" i="22"/>
  <c r="M27" i="22"/>
  <c r="L27" i="22"/>
  <c r="K27" i="22"/>
  <c r="J27" i="22"/>
  <c r="O26" i="22"/>
  <c r="N26" i="22"/>
  <c r="M26" i="22"/>
  <c r="L26" i="22"/>
  <c r="K26" i="22"/>
  <c r="J26" i="22"/>
  <c r="O25" i="22"/>
  <c r="N25" i="22"/>
  <c r="M25" i="22"/>
  <c r="L25" i="22"/>
  <c r="K25" i="22"/>
  <c r="J25" i="22"/>
  <c r="O24" i="22"/>
  <c r="N24" i="22"/>
  <c r="M24" i="22"/>
  <c r="L24" i="22"/>
  <c r="K24" i="22"/>
  <c r="J24" i="22"/>
  <c r="O23" i="22"/>
  <c r="N23" i="22"/>
  <c r="M23" i="22"/>
  <c r="L23" i="22"/>
  <c r="K23" i="22"/>
  <c r="J23" i="22"/>
  <c r="J22" i="22"/>
  <c r="O21" i="22"/>
  <c r="N21" i="22"/>
  <c r="M21" i="22"/>
  <c r="L21" i="22"/>
  <c r="K21" i="22"/>
  <c r="J21" i="22"/>
  <c r="O20" i="22"/>
  <c r="N20" i="22"/>
  <c r="M20" i="22"/>
  <c r="L20" i="22"/>
  <c r="K20" i="22"/>
  <c r="J20" i="22"/>
  <c r="O19" i="22"/>
  <c r="N19" i="22"/>
  <c r="M19" i="22"/>
  <c r="L19" i="22"/>
  <c r="K19" i="22"/>
  <c r="J19" i="22"/>
  <c r="O18" i="22"/>
  <c r="N18" i="22"/>
  <c r="M18" i="22"/>
  <c r="L18" i="22"/>
  <c r="K18" i="22"/>
  <c r="J18" i="22"/>
  <c r="O17" i="22"/>
  <c r="N17" i="22"/>
  <c r="M17" i="22"/>
  <c r="L17" i="22"/>
  <c r="K17" i="22"/>
  <c r="J17" i="22"/>
  <c r="O16" i="22"/>
  <c r="N16" i="22"/>
  <c r="M16" i="22"/>
  <c r="L16" i="22"/>
  <c r="K16" i="22"/>
  <c r="J16" i="22"/>
  <c r="J15" i="22"/>
  <c r="O14" i="22"/>
  <c r="N14" i="22"/>
  <c r="M14" i="22"/>
  <c r="L14" i="22"/>
  <c r="K14" i="22"/>
  <c r="J14" i="22"/>
  <c r="O13" i="22"/>
  <c r="N13" i="22"/>
  <c r="M13" i="22"/>
  <c r="L13" i="22"/>
  <c r="K13" i="22"/>
  <c r="J13" i="22"/>
  <c r="O12" i="22"/>
  <c r="N12" i="22"/>
  <c r="M12" i="22"/>
  <c r="L12" i="22"/>
  <c r="K12" i="22"/>
  <c r="J12" i="22"/>
  <c r="O11" i="22"/>
  <c r="N11" i="22"/>
  <c r="M11" i="22"/>
  <c r="L11" i="22"/>
  <c r="K11" i="22"/>
  <c r="J11" i="22"/>
  <c r="O10" i="22"/>
  <c r="N10" i="22"/>
  <c r="M10" i="22"/>
  <c r="L10" i="22"/>
  <c r="K10" i="22"/>
  <c r="J10" i="22"/>
  <c r="O9" i="22"/>
  <c r="N9" i="22"/>
  <c r="M9" i="22"/>
  <c r="L9" i="22"/>
  <c r="K9" i="22"/>
  <c r="J9" i="22"/>
  <c r="J8" i="22"/>
  <c r="O7" i="22"/>
  <c r="N7" i="22"/>
  <c r="M7" i="22"/>
  <c r="L7" i="22"/>
  <c r="K7" i="22"/>
  <c r="J7" i="22"/>
  <c r="O6" i="22"/>
  <c r="N6" i="22"/>
  <c r="M6" i="22"/>
  <c r="L6" i="22"/>
  <c r="K6" i="22"/>
  <c r="J6" i="22"/>
  <c r="O5" i="22"/>
  <c r="N5" i="22"/>
  <c r="M5" i="22"/>
  <c r="L5" i="22"/>
  <c r="K5" i="22"/>
  <c r="J5" i="22"/>
  <c r="O4" i="22"/>
  <c r="N4" i="22"/>
  <c r="M4" i="22"/>
  <c r="L4" i="22"/>
  <c r="K4" i="22"/>
  <c r="J4" i="22"/>
  <c r="O3" i="22"/>
  <c r="N3" i="22"/>
  <c r="M3" i="22"/>
  <c r="L3" i="22"/>
  <c r="K3" i="22"/>
  <c r="J3" i="22"/>
  <c r="O2" i="22"/>
  <c r="N2" i="22"/>
  <c r="M2" i="22"/>
  <c r="L2" i="22"/>
  <c r="K2" i="22"/>
  <c r="O56" i="21"/>
  <c r="N56" i="21"/>
  <c r="M56" i="21"/>
  <c r="L56" i="21"/>
  <c r="K56" i="21"/>
  <c r="J56" i="21"/>
  <c r="O55" i="21"/>
  <c r="N55" i="21"/>
  <c r="M55" i="21"/>
  <c r="L55" i="21"/>
  <c r="K55" i="21"/>
  <c r="J55" i="21"/>
  <c r="O54" i="21"/>
  <c r="N54" i="21"/>
  <c r="M54" i="21"/>
  <c r="L54" i="21"/>
  <c r="K54" i="21"/>
  <c r="J54" i="21"/>
  <c r="O53" i="21"/>
  <c r="N53" i="21"/>
  <c r="M53" i="21"/>
  <c r="L53" i="21"/>
  <c r="K53" i="21"/>
  <c r="J53" i="21"/>
  <c r="O52" i="21"/>
  <c r="N52" i="21"/>
  <c r="M52" i="21"/>
  <c r="L52" i="21"/>
  <c r="K52" i="21"/>
  <c r="J52" i="21"/>
  <c r="O51" i="21"/>
  <c r="N51" i="21"/>
  <c r="M51" i="21"/>
  <c r="L51" i="21"/>
  <c r="K51" i="21"/>
  <c r="J51" i="21"/>
  <c r="J50" i="21"/>
  <c r="O49" i="21"/>
  <c r="N49" i="21"/>
  <c r="M49" i="21"/>
  <c r="L49" i="21"/>
  <c r="K49" i="21"/>
  <c r="J49" i="21"/>
  <c r="O48" i="21"/>
  <c r="N48" i="21"/>
  <c r="M48" i="21"/>
  <c r="L48" i="21"/>
  <c r="K48" i="21"/>
  <c r="J48" i="21"/>
  <c r="O47" i="21"/>
  <c r="N47" i="21"/>
  <c r="M47" i="21"/>
  <c r="L47" i="21"/>
  <c r="K47" i="21"/>
  <c r="J47" i="21"/>
  <c r="O46" i="21"/>
  <c r="N46" i="21"/>
  <c r="M46" i="21"/>
  <c r="L46" i="21"/>
  <c r="K46" i="21"/>
  <c r="J46" i="21"/>
  <c r="O45" i="21"/>
  <c r="N45" i="21"/>
  <c r="M45" i="21"/>
  <c r="L45" i="21"/>
  <c r="K45" i="21"/>
  <c r="J45" i="21"/>
  <c r="O44" i="21"/>
  <c r="N44" i="21"/>
  <c r="M44" i="21"/>
  <c r="L44" i="21"/>
  <c r="K44" i="21"/>
  <c r="J44" i="21"/>
  <c r="J43" i="21"/>
  <c r="O42" i="21"/>
  <c r="N42" i="21"/>
  <c r="M42" i="21"/>
  <c r="L42" i="21"/>
  <c r="K42" i="21"/>
  <c r="J42" i="21"/>
  <c r="O41" i="21"/>
  <c r="N41" i="21"/>
  <c r="M41" i="21"/>
  <c r="L41" i="21"/>
  <c r="K41" i="21"/>
  <c r="J41" i="21"/>
  <c r="O40" i="21"/>
  <c r="N40" i="21"/>
  <c r="M40" i="21"/>
  <c r="L40" i="21"/>
  <c r="K40" i="21"/>
  <c r="J40" i="21"/>
  <c r="O39" i="21"/>
  <c r="N39" i="21"/>
  <c r="M39" i="21"/>
  <c r="L39" i="21"/>
  <c r="K39" i="21"/>
  <c r="J39" i="21"/>
  <c r="O38" i="21"/>
  <c r="N38" i="21"/>
  <c r="M38" i="21"/>
  <c r="L38" i="21"/>
  <c r="K38" i="21"/>
  <c r="J38" i="21"/>
  <c r="O37" i="21"/>
  <c r="N37" i="21"/>
  <c r="M37" i="21"/>
  <c r="L37" i="21"/>
  <c r="K37" i="21"/>
  <c r="J37" i="21"/>
  <c r="J36" i="21"/>
  <c r="O35" i="21"/>
  <c r="N35" i="21"/>
  <c r="M35" i="21"/>
  <c r="L35" i="21"/>
  <c r="K35" i="21"/>
  <c r="J35" i="21"/>
  <c r="O34" i="21"/>
  <c r="N34" i="21"/>
  <c r="M34" i="21"/>
  <c r="L34" i="21"/>
  <c r="K34" i="21"/>
  <c r="J34" i="21"/>
  <c r="O33" i="21"/>
  <c r="N33" i="21"/>
  <c r="M33" i="21"/>
  <c r="L33" i="21"/>
  <c r="K33" i="21"/>
  <c r="J33" i="21"/>
  <c r="O32" i="21"/>
  <c r="N32" i="21"/>
  <c r="M32" i="21"/>
  <c r="L32" i="21"/>
  <c r="K32" i="21"/>
  <c r="J32" i="21"/>
  <c r="O31" i="21"/>
  <c r="N31" i="21"/>
  <c r="M31" i="21"/>
  <c r="L31" i="21"/>
  <c r="K31" i="21"/>
  <c r="J31" i="21"/>
  <c r="O30" i="21"/>
  <c r="N30" i="21"/>
  <c r="M30" i="21"/>
  <c r="L30" i="21"/>
  <c r="K30" i="21"/>
  <c r="J30" i="21"/>
  <c r="O28" i="21"/>
  <c r="N28" i="21"/>
  <c r="M28" i="21"/>
  <c r="L28" i="21"/>
  <c r="K28" i="21"/>
  <c r="J28" i="21"/>
  <c r="O27" i="21"/>
  <c r="N27" i="21"/>
  <c r="M27" i="21"/>
  <c r="L27" i="21"/>
  <c r="K27" i="21"/>
  <c r="J27" i="21"/>
  <c r="O26" i="21"/>
  <c r="N26" i="21"/>
  <c r="M26" i="21"/>
  <c r="L26" i="21"/>
  <c r="K26" i="21"/>
  <c r="J26" i="21"/>
  <c r="O25" i="21"/>
  <c r="N25" i="21"/>
  <c r="M25" i="21"/>
  <c r="L25" i="21"/>
  <c r="K25" i="21"/>
  <c r="J25" i="21"/>
  <c r="O24" i="21"/>
  <c r="N24" i="21"/>
  <c r="M24" i="21"/>
  <c r="L24" i="21"/>
  <c r="K24" i="21"/>
  <c r="J24" i="21"/>
  <c r="O23" i="21"/>
  <c r="N23" i="21"/>
  <c r="M23" i="21"/>
  <c r="L23" i="21"/>
  <c r="K23" i="21"/>
  <c r="J23" i="21"/>
  <c r="J22" i="21"/>
  <c r="O21" i="21"/>
  <c r="N21" i="21"/>
  <c r="M21" i="21"/>
  <c r="L21" i="21"/>
  <c r="K21" i="21"/>
  <c r="J21" i="21"/>
  <c r="O20" i="21"/>
  <c r="N20" i="21"/>
  <c r="M20" i="21"/>
  <c r="L20" i="21"/>
  <c r="K20" i="21"/>
  <c r="J20" i="21"/>
  <c r="O19" i="21"/>
  <c r="N19" i="21"/>
  <c r="M19" i="21"/>
  <c r="L19" i="21"/>
  <c r="K19" i="21"/>
  <c r="J19" i="21"/>
  <c r="O18" i="21"/>
  <c r="N18" i="21"/>
  <c r="M18" i="21"/>
  <c r="L18" i="21"/>
  <c r="K18" i="21"/>
  <c r="J18" i="21"/>
  <c r="O17" i="21"/>
  <c r="N17" i="21"/>
  <c r="M17" i="21"/>
  <c r="L17" i="21"/>
  <c r="K17" i="21"/>
  <c r="J17" i="21"/>
  <c r="O16" i="21"/>
  <c r="N16" i="21"/>
  <c r="M16" i="21"/>
  <c r="L16" i="21"/>
  <c r="K16" i="21"/>
  <c r="J16" i="21"/>
  <c r="J15" i="21"/>
  <c r="O14" i="21"/>
  <c r="N14" i="21"/>
  <c r="M14" i="21"/>
  <c r="L14" i="21"/>
  <c r="K14" i="21"/>
  <c r="J14" i="21"/>
  <c r="O13" i="21"/>
  <c r="N13" i="21"/>
  <c r="M13" i="21"/>
  <c r="L13" i="21"/>
  <c r="K13" i="21"/>
  <c r="J13" i="21"/>
  <c r="O12" i="21"/>
  <c r="N12" i="21"/>
  <c r="M12" i="21"/>
  <c r="L12" i="21"/>
  <c r="K12" i="21"/>
  <c r="J12" i="21"/>
  <c r="L13" i="31"/>
  <c r="O11" i="21"/>
  <c r="N11" i="21"/>
  <c r="M11" i="21"/>
  <c r="L11" i="21"/>
  <c r="K11" i="21"/>
  <c r="J11" i="21"/>
  <c r="O10" i="21"/>
  <c r="N10" i="21"/>
  <c r="M10" i="21"/>
  <c r="L10" i="21"/>
  <c r="K10" i="21"/>
  <c r="J10" i="21"/>
  <c r="O9" i="21"/>
  <c r="N9" i="21"/>
  <c r="M9" i="21"/>
  <c r="L9" i="21"/>
  <c r="K9" i="21"/>
  <c r="J9" i="21"/>
  <c r="J8" i="21"/>
  <c r="O7" i="21"/>
  <c r="N7" i="21"/>
  <c r="M7" i="21"/>
  <c r="L7" i="21"/>
  <c r="K7" i="21"/>
  <c r="J7" i="21"/>
  <c r="O6" i="21"/>
  <c r="N6" i="21"/>
  <c r="M6" i="21"/>
  <c r="L6" i="21"/>
  <c r="K6" i="21"/>
  <c r="J6" i="21"/>
  <c r="O5" i="21"/>
  <c r="N5" i="21"/>
  <c r="M5" i="21"/>
  <c r="L5" i="21"/>
  <c r="K5" i="21"/>
  <c r="J5" i="21"/>
  <c r="O4" i="21"/>
  <c r="N4" i="21"/>
  <c r="M4" i="21"/>
  <c r="L4" i="21"/>
  <c r="K4" i="21"/>
  <c r="J4" i="21"/>
  <c r="O3" i="21"/>
  <c r="N3" i="21"/>
  <c r="M3" i="21"/>
  <c r="L3" i="21"/>
  <c r="K3" i="21"/>
  <c r="J3" i="21"/>
  <c r="O2" i="21"/>
  <c r="N2" i="21"/>
  <c r="M2" i="21"/>
  <c r="L2" i="21"/>
  <c r="K2" i="21"/>
  <c r="O56" i="20"/>
  <c r="N56" i="20"/>
  <c r="M56" i="20"/>
  <c r="L56" i="20"/>
  <c r="K56" i="20"/>
  <c r="J56" i="20"/>
  <c r="O55" i="20"/>
  <c r="N55" i="20"/>
  <c r="M55" i="20"/>
  <c r="L55" i="20"/>
  <c r="K55" i="20"/>
  <c r="J55" i="20"/>
  <c r="O54" i="20"/>
  <c r="N54" i="20"/>
  <c r="M54" i="20"/>
  <c r="L54" i="20"/>
  <c r="K54" i="20"/>
  <c r="J54" i="20"/>
  <c r="O53" i="20"/>
  <c r="N53" i="20"/>
  <c r="M53" i="20"/>
  <c r="L53" i="20"/>
  <c r="K53" i="20"/>
  <c r="J53" i="20"/>
  <c r="O52" i="20"/>
  <c r="N52" i="20"/>
  <c r="M52" i="20"/>
  <c r="L52" i="20"/>
  <c r="K52" i="20"/>
  <c r="J52" i="20"/>
  <c r="O51" i="20"/>
  <c r="N51" i="20"/>
  <c r="M51" i="20"/>
  <c r="L51" i="20"/>
  <c r="K51" i="20"/>
  <c r="J51" i="20"/>
  <c r="J50" i="20"/>
  <c r="O49" i="20"/>
  <c r="N49" i="20"/>
  <c r="M49" i="20"/>
  <c r="L49" i="20"/>
  <c r="K49" i="20"/>
  <c r="J49" i="20"/>
  <c r="O48" i="20"/>
  <c r="N48" i="20"/>
  <c r="M48" i="20"/>
  <c r="L48" i="20"/>
  <c r="K48" i="20"/>
  <c r="J48" i="20"/>
  <c r="O47" i="20"/>
  <c r="N47" i="20"/>
  <c r="M47" i="20"/>
  <c r="L47" i="20"/>
  <c r="K47" i="20"/>
  <c r="J47" i="20"/>
  <c r="O46" i="20"/>
  <c r="N46" i="20"/>
  <c r="M46" i="20"/>
  <c r="L46" i="20"/>
  <c r="K46" i="20"/>
  <c r="J46" i="20"/>
  <c r="O45" i="20"/>
  <c r="N45" i="20"/>
  <c r="M45" i="20"/>
  <c r="L45" i="20"/>
  <c r="K45" i="20"/>
  <c r="J45" i="20"/>
  <c r="O44" i="20"/>
  <c r="N44" i="20"/>
  <c r="M44" i="20"/>
  <c r="L44" i="20"/>
  <c r="K44" i="20"/>
  <c r="J44" i="20"/>
  <c r="J43" i="20"/>
  <c r="O42" i="20"/>
  <c r="N42" i="20"/>
  <c r="M42" i="20"/>
  <c r="L42" i="20"/>
  <c r="K42" i="20"/>
  <c r="J42" i="20"/>
  <c r="O41" i="20"/>
  <c r="N41" i="20"/>
  <c r="M41" i="20"/>
  <c r="L41" i="20"/>
  <c r="K41" i="20"/>
  <c r="J41" i="20"/>
  <c r="O40" i="20"/>
  <c r="N40" i="20"/>
  <c r="M40" i="20"/>
  <c r="L40" i="20"/>
  <c r="K40" i="20"/>
  <c r="J40" i="20"/>
  <c r="O39" i="20"/>
  <c r="N39" i="20"/>
  <c r="M39" i="20"/>
  <c r="L39" i="20"/>
  <c r="K39" i="20"/>
  <c r="J39" i="20"/>
  <c r="O38" i="20"/>
  <c r="N38" i="20"/>
  <c r="M38" i="20"/>
  <c r="L38" i="20"/>
  <c r="K38" i="20"/>
  <c r="J38" i="20"/>
  <c r="O37" i="20"/>
  <c r="N37" i="20"/>
  <c r="M37" i="20"/>
  <c r="L37" i="20"/>
  <c r="K37" i="20"/>
  <c r="J37" i="20"/>
  <c r="J36" i="20"/>
  <c r="O35" i="20"/>
  <c r="N35" i="20"/>
  <c r="M35" i="20"/>
  <c r="L35" i="20"/>
  <c r="K35" i="20"/>
  <c r="J35" i="20"/>
  <c r="O34" i="20"/>
  <c r="N34" i="20"/>
  <c r="M34" i="20"/>
  <c r="L34" i="20"/>
  <c r="K34" i="20"/>
  <c r="J34" i="20"/>
  <c r="O33" i="20"/>
  <c r="N33" i="20"/>
  <c r="M33" i="20"/>
  <c r="L33" i="20"/>
  <c r="K33" i="20"/>
  <c r="J33" i="20"/>
  <c r="O32" i="20"/>
  <c r="N32" i="20"/>
  <c r="M32" i="20"/>
  <c r="L32" i="20"/>
  <c r="K32" i="20"/>
  <c r="J32" i="20"/>
  <c r="O31" i="20"/>
  <c r="N31" i="20"/>
  <c r="M31" i="20"/>
  <c r="L31" i="20"/>
  <c r="K31" i="20"/>
  <c r="J31" i="20"/>
  <c r="O30" i="20"/>
  <c r="N30" i="20"/>
  <c r="M30" i="20"/>
  <c r="L30" i="20"/>
  <c r="K30" i="20"/>
  <c r="J30" i="20"/>
  <c r="O28" i="20"/>
  <c r="N28" i="20"/>
  <c r="M28" i="20"/>
  <c r="L28" i="20"/>
  <c r="K28" i="20"/>
  <c r="J28" i="20"/>
  <c r="O27" i="20"/>
  <c r="N27" i="20"/>
  <c r="M27" i="20"/>
  <c r="L27" i="20"/>
  <c r="K27" i="20"/>
  <c r="J27" i="20"/>
  <c r="O26" i="20"/>
  <c r="N26" i="20"/>
  <c r="M26" i="20"/>
  <c r="L26" i="20"/>
  <c r="K26" i="20"/>
  <c r="J26" i="20"/>
  <c r="O25" i="20"/>
  <c r="N25" i="20"/>
  <c r="M25" i="20"/>
  <c r="L25" i="20"/>
  <c r="K25" i="20"/>
  <c r="J25" i="20"/>
  <c r="O24" i="20"/>
  <c r="N24" i="20"/>
  <c r="M24" i="20"/>
  <c r="L24" i="20"/>
  <c r="K24" i="20"/>
  <c r="J24" i="20"/>
  <c r="O23" i="20"/>
  <c r="N23" i="20"/>
  <c r="M23" i="20"/>
  <c r="L23" i="20"/>
  <c r="K23" i="20"/>
  <c r="J23" i="20"/>
  <c r="J22" i="20"/>
  <c r="O21" i="20"/>
  <c r="N21" i="20"/>
  <c r="M21" i="20"/>
  <c r="L21" i="20"/>
  <c r="K21" i="20"/>
  <c r="J21" i="20"/>
  <c r="O20" i="20"/>
  <c r="N20" i="20"/>
  <c r="M20" i="20"/>
  <c r="L20" i="20"/>
  <c r="K20" i="20"/>
  <c r="J20" i="20"/>
  <c r="O19" i="20"/>
  <c r="N19" i="20"/>
  <c r="M19" i="20"/>
  <c r="L19" i="20"/>
  <c r="K19" i="20"/>
  <c r="J19" i="20"/>
  <c r="O18" i="20"/>
  <c r="N18" i="20"/>
  <c r="M18" i="20"/>
  <c r="L18" i="20"/>
  <c r="K18" i="20"/>
  <c r="J18" i="20"/>
  <c r="O17" i="20"/>
  <c r="N17" i="20"/>
  <c r="M17" i="20"/>
  <c r="L17" i="20"/>
  <c r="K17" i="20"/>
  <c r="J17" i="20"/>
  <c r="O16" i="20"/>
  <c r="N16" i="20"/>
  <c r="M16" i="20"/>
  <c r="L16" i="20"/>
  <c r="K16" i="20"/>
  <c r="J16" i="20"/>
  <c r="J15" i="20"/>
  <c r="O14" i="20"/>
  <c r="N14" i="20"/>
  <c r="M14" i="20"/>
  <c r="L14" i="20"/>
  <c r="K14" i="20"/>
  <c r="J14" i="20"/>
  <c r="O13" i="20"/>
  <c r="N13" i="20"/>
  <c r="M13" i="20"/>
  <c r="L13" i="20"/>
  <c r="K13" i="20"/>
  <c r="J13" i="20"/>
  <c r="O12" i="20"/>
  <c r="N12" i="20"/>
  <c r="M12" i="20"/>
  <c r="L12" i="20"/>
  <c r="K12" i="20"/>
  <c r="J12" i="20"/>
  <c r="O11" i="20"/>
  <c r="N11" i="20"/>
  <c r="M11" i="20"/>
  <c r="L11" i="20"/>
  <c r="K11" i="20"/>
  <c r="J11" i="20"/>
  <c r="O10" i="20"/>
  <c r="N10" i="20"/>
  <c r="M10" i="20"/>
  <c r="L10" i="20"/>
  <c r="K10" i="20"/>
  <c r="J10" i="20"/>
  <c r="O9" i="20"/>
  <c r="N9" i="20"/>
  <c r="M9" i="20"/>
  <c r="L9" i="20"/>
  <c r="K9" i="20"/>
  <c r="J9" i="20"/>
  <c r="J8" i="20"/>
  <c r="O7" i="20"/>
  <c r="N7" i="20"/>
  <c r="M7" i="20"/>
  <c r="L7" i="20"/>
  <c r="K7" i="20"/>
  <c r="J7" i="20"/>
  <c r="O6" i="20"/>
  <c r="N6" i="20"/>
  <c r="M6" i="20"/>
  <c r="L6" i="20"/>
  <c r="K6" i="20"/>
  <c r="J6" i="20"/>
  <c r="O5" i="20"/>
  <c r="N5" i="20"/>
  <c r="M5" i="20"/>
  <c r="L5" i="20"/>
  <c r="K5" i="20"/>
  <c r="J5" i="20"/>
  <c r="O4" i="20"/>
  <c r="N4" i="20"/>
  <c r="M4" i="20"/>
  <c r="L4" i="20"/>
  <c r="K4" i="20"/>
  <c r="J4" i="20"/>
  <c r="O3" i="20"/>
  <c r="N3" i="20"/>
  <c r="M3" i="20"/>
  <c r="L3" i="20"/>
  <c r="K3" i="20"/>
  <c r="J3" i="20"/>
  <c r="O2" i="20"/>
  <c r="N2" i="20"/>
  <c r="M2" i="20"/>
  <c r="L2" i="20"/>
  <c r="K2" i="20"/>
  <c r="O56" i="19"/>
  <c r="N56" i="19"/>
  <c r="M56" i="19"/>
  <c r="L56" i="19"/>
  <c r="K56" i="19"/>
  <c r="J56" i="19"/>
  <c r="O55" i="19"/>
  <c r="N55" i="19"/>
  <c r="M55" i="19"/>
  <c r="L55" i="19"/>
  <c r="K55" i="19"/>
  <c r="J55" i="19"/>
  <c r="O54" i="19"/>
  <c r="N54" i="19"/>
  <c r="M54" i="19"/>
  <c r="L54" i="19"/>
  <c r="K54" i="19"/>
  <c r="J54" i="19"/>
  <c r="O53" i="19"/>
  <c r="N53" i="19"/>
  <c r="M53" i="19"/>
  <c r="L53" i="19"/>
  <c r="K53" i="19"/>
  <c r="J53" i="19"/>
  <c r="O52" i="19"/>
  <c r="N52" i="19"/>
  <c r="M52" i="19"/>
  <c r="L52" i="19"/>
  <c r="K52" i="19"/>
  <c r="J52" i="19"/>
  <c r="O51" i="19"/>
  <c r="N51" i="19"/>
  <c r="M51" i="19"/>
  <c r="L51" i="19"/>
  <c r="K51" i="19"/>
  <c r="J51" i="19"/>
  <c r="J50" i="19"/>
  <c r="O49" i="19"/>
  <c r="N49" i="19"/>
  <c r="M49" i="19"/>
  <c r="L49" i="19"/>
  <c r="K49" i="19"/>
  <c r="J49" i="19"/>
  <c r="O48" i="19"/>
  <c r="N48" i="19"/>
  <c r="M48" i="19"/>
  <c r="L48" i="19"/>
  <c r="K48" i="19"/>
  <c r="J48" i="19"/>
  <c r="O47" i="19"/>
  <c r="N47" i="19"/>
  <c r="M47" i="19"/>
  <c r="L47" i="19"/>
  <c r="K47" i="19"/>
  <c r="J47" i="19"/>
  <c r="O46" i="19"/>
  <c r="N46" i="19"/>
  <c r="M46" i="19"/>
  <c r="L46" i="19"/>
  <c r="K46" i="19"/>
  <c r="J46" i="19"/>
  <c r="O45" i="19"/>
  <c r="N45" i="19"/>
  <c r="M45" i="19"/>
  <c r="L45" i="19"/>
  <c r="K45" i="19"/>
  <c r="J45" i="19"/>
  <c r="O44" i="19"/>
  <c r="N44" i="19"/>
  <c r="M44" i="19"/>
  <c r="L44" i="19"/>
  <c r="K44" i="19"/>
  <c r="J44" i="19"/>
  <c r="J43" i="19"/>
  <c r="O42" i="19"/>
  <c r="N42" i="19"/>
  <c r="M42" i="19"/>
  <c r="L42" i="19"/>
  <c r="K42" i="19"/>
  <c r="J42" i="19"/>
  <c r="O41" i="19"/>
  <c r="N41" i="19"/>
  <c r="M41" i="19"/>
  <c r="L41" i="19"/>
  <c r="K41" i="19"/>
  <c r="J41" i="19"/>
  <c r="O40" i="19"/>
  <c r="N40" i="19"/>
  <c r="M40" i="19"/>
  <c r="L40" i="19"/>
  <c r="K40" i="19"/>
  <c r="J40" i="19"/>
  <c r="O39" i="19"/>
  <c r="N39" i="19"/>
  <c r="M39" i="19"/>
  <c r="L39" i="19"/>
  <c r="K39" i="19"/>
  <c r="J39" i="19"/>
  <c r="O38" i="19"/>
  <c r="N38" i="19"/>
  <c r="M38" i="19"/>
  <c r="L38" i="19"/>
  <c r="K38" i="19"/>
  <c r="J38" i="19"/>
  <c r="O37" i="19"/>
  <c r="N37" i="19"/>
  <c r="M37" i="19"/>
  <c r="L37" i="19"/>
  <c r="K37" i="19"/>
  <c r="J37" i="19"/>
  <c r="J36" i="19"/>
  <c r="O35" i="19"/>
  <c r="N35" i="19"/>
  <c r="M35" i="19"/>
  <c r="L35" i="19"/>
  <c r="K35" i="19"/>
  <c r="J35" i="19"/>
  <c r="O34" i="19"/>
  <c r="N34" i="19"/>
  <c r="M34" i="19"/>
  <c r="L34" i="19"/>
  <c r="K34" i="19"/>
  <c r="J34" i="19"/>
  <c r="O33" i="19"/>
  <c r="N33" i="19"/>
  <c r="M33" i="19"/>
  <c r="L33" i="19"/>
  <c r="K33" i="19"/>
  <c r="J33" i="19"/>
  <c r="O32" i="19"/>
  <c r="N32" i="19"/>
  <c r="M32" i="19"/>
  <c r="L32" i="19"/>
  <c r="K32" i="19"/>
  <c r="J32" i="19"/>
  <c r="O31" i="19"/>
  <c r="N31" i="19"/>
  <c r="M31" i="19"/>
  <c r="L31" i="19"/>
  <c r="K31" i="19"/>
  <c r="J31" i="19"/>
  <c r="O30" i="19"/>
  <c r="N30" i="19"/>
  <c r="M30" i="19"/>
  <c r="L30" i="19"/>
  <c r="K30" i="19"/>
  <c r="J30" i="19"/>
  <c r="O28" i="19"/>
  <c r="N28" i="19"/>
  <c r="M28" i="19"/>
  <c r="L28" i="19"/>
  <c r="K28" i="19"/>
  <c r="J28" i="19"/>
  <c r="O27" i="19"/>
  <c r="N27" i="19"/>
  <c r="M27" i="19"/>
  <c r="L27" i="19"/>
  <c r="K27" i="19"/>
  <c r="J27" i="19"/>
  <c r="O26" i="19"/>
  <c r="N26" i="19"/>
  <c r="M26" i="19"/>
  <c r="L26" i="19"/>
  <c r="K26" i="19"/>
  <c r="J26" i="19"/>
  <c r="O25" i="19"/>
  <c r="N25" i="19"/>
  <c r="M25" i="19"/>
  <c r="L25" i="19"/>
  <c r="K25" i="19"/>
  <c r="J25" i="19"/>
  <c r="O24" i="19"/>
  <c r="N24" i="19"/>
  <c r="M24" i="19"/>
  <c r="L24" i="19"/>
  <c r="K24" i="19"/>
  <c r="J24" i="19"/>
  <c r="O23" i="19"/>
  <c r="N23" i="19"/>
  <c r="M23" i="19"/>
  <c r="L23" i="19"/>
  <c r="K23" i="19"/>
  <c r="J23" i="19"/>
  <c r="J22" i="19"/>
  <c r="O21" i="19"/>
  <c r="N21" i="19"/>
  <c r="M21" i="19"/>
  <c r="L21" i="19"/>
  <c r="K21" i="19"/>
  <c r="J21" i="19"/>
  <c r="O20" i="19"/>
  <c r="N20" i="19"/>
  <c r="M20" i="19"/>
  <c r="L20" i="19"/>
  <c r="K20" i="19"/>
  <c r="J20" i="19"/>
  <c r="O19" i="19"/>
  <c r="N19" i="19"/>
  <c r="M19" i="19"/>
  <c r="L19" i="19"/>
  <c r="K19" i="19"/>
  <c r="J19" i="19"/>
  <c r="O18" i="19"/>
  <c r="N18" i="19"/>
  <c r="M18" i="19"/>
  <c r="L18" i="19"/>
  <c r="K18" i="19"/>
  <c r="J18" i="19"/>
  <c r="O17" i="19"/>
  <c r="N17" i="19"/>
  <c r="M17" i="19"/>
  <c r="L17" i="19"/>
  <c r="K17" i="19"/>
  <c r="J17" i="19"/>
  <c r="O16" i="19"/>
  <c r="N16" i="19"/>
  <c r="M16" i="19"/>
  <c r="L16" i="19"/>
  <c r="K16" i="19"/>
  <c r="J16" i="19"/>
  <c r="J15" i="19"/>
  <c r="O14" i="19"/>
  <c r="N14" i="19"/>
  <c r="M14" i="19"/>
  <c r="L14" i="19"/>
  <c r="K14" i="19"/>
  <c r="J14" i="19"/>
  <c r="O13" i="19"/>
  <c r="N13" i="19"/>
  <c r="M13" i="19"/>
  <c r="L13" i="19"/>
  <c r="K13" i="19"/>
  <c r="J13" i="19"/>
  <c r="O12" i="19"/>
  <c r="N12" i="19"/>
  <c r="M12" i="19"/>
  <c r="L12" i="19"/>
  <c r="K12" i="19"/>
  <c r="J12" i="19"/>
  <c r="O11" i="19"/>
  <c r="N11" i="19"/>
  <c r="M11" i="19"/>
  <c r="L11" i="19"/>
  <c r="K11" i="19"/>
  <c r="J11" i="19"/>
  <c r="O10" i="19"/>
  <c r="N10" i="19"/>
  <c r="M10" i="19"/>
  <c r="L10" i="19"/>
  <c r="K10" i="19"/>
  <c r="J10" i="19"/>
  <c r="O9" i="19"/>
  <c r="N9" i="19"/>
  <c r="M9" i="19"/>
  <c r="L9" i="19"/>
  <c r="K9" i="19"/>
  <c r="J9" i="19"/>
  <c r="J8" i="19"/>
  <c r="O7" i="19"/>
  <c r="N7" i="19"/>
  <c r="M7" i="19"/>
  <c r="L7" i="19"/>
  <c r="K7" i="19"/>
  <c r="J7" i="19"/>
  <c r="O6" i="19"/>
  <c r="N6" i="19"/>
  <c r="M6" i="19"/>
  <c r="L6" i="19"/>
  <c r="K6" i="19"/>
  <c r="J6" i="19"/>
  <c r="O5" i="19"/>
  <c r="N5" i="19"/>
  <c r="M5" i="19"/>
  <c r="L5" i="19"/>
  <c r="K5" i="19"/>
  <c r="J5" i="19"/>
  <c r="O4" i="19"/>
  <c r="N4" i="19"/>
  <c r="M4" i="19"/>
  <c r="L4" i="19"/>
  <c r="K4" i="19"/>
  <c r="J4" i="19"/>
  <c r="O3" i="19"/>
  <c r="N3" i="19"/>
  <c r="M3" i="19"/>
  <c r="L3" i="19"/>
  <c r="K3" i="19"/>
  <c r="J3" i="19"/>
  <c r="O2" i="19"/>
  <c r="N2" i="19"/>
  <c r="M2" i="19"/>
  <c r="L2" i="19"/>
  <c r="K2" i="19"/>
  <c r="O56" i="13"/>
  <c r="N56" i="13"/>
  <c r="M56" i="13"/>
  <c r="L56" i="13"/>
  <c r="K56" i="13"/>
  <c r="J56" i="13"/>
  <c r="O55" i="13"/>
  <c r="N55" i="13"/>
  <c r="M55" i="13"/>
  <c r="L55" i="13"/>
  <c r="K55" i="13"/>
  <c r="J55" i="13"/>
  <c r="O54" i="13"/>
  <c r="N54" i="13"/>
  <c r="M54" i="13"/>
  <c r="L54" i="13"/>
  <c r="K54" i="13"/>
  <c r="J54" i="13"/>
  <c r="O53" i="13"/>
  <c r="N53" i="13"/>
  <c r="M53" i="13"/>
  <c r="L53" i="13"/>
  <c r="K53" i="13"/>
  <c r="J53" i="13"/>
  <c r="O52" i="13"/>
  <c r="N52" i="13"/>
  <c r="M52" i="13"/>
  <c r="L52" i="13"/>
  <c r="K52" i="13"/>
  <c r="J52" i="13"/>
  <c r="O51" i="13"/>
  <c r="N51" i="13"/>
  <c r="M51" i="13"/>
  <c r="L51" i="13"/>
  <c r="K51" i="13"/>
  <c r="J51" i="13"/>
  <c r="J50" i="13"/>
  <c r="O49" i="13"/>
  <c r="N49" i="13"/>
  <c r="M49" i="13"/>
  <c r="L49" i="13"/>
  <c r="K49" i="13"/>
  <c r="J49" i="13"/>
  <c r="O48" i="13"/>
  <c r="N48" i="13"/>
  <c r="M48" i="13"/>
  <c r="L48" i="13"/>
  <c r="K48" i="13"/>
  <c r="J48" i="13"/>
  <c r="O47" i="13"/>
  <c r="N47" i="13"/>
  <c r="M47" i="13"/>
  <c r="L47" i="13"/>
  <c r="K47" i="13"/>
  <c r="J47" i="13"/>
  <c r="O46" i="13"/>
  <c r="N46" i="13"/>
  <c r="M46" i="13"/>
  <c r="L46" i="13"/>
  <c r="K46" i="13"/>
  <c r="J46" i="13"/>
  <c r="O45" i="13"/>
  <c r="N45" i="13"/>
  <c r="M45" i="13"/>
  <c r="L45" i="13"/>
  <c r="K45" i="13"/>
  <c r="J45" i="13"/>
  <c r="O44" i="13"/>
  <c r="N44" i="13"/>
  <c r="M44" i="13"/>
  <c r="L44" i="13"/>
  <c r="K44" i="13"/>
  <c r="J44" i="13"/>
  <c r="J43" i="13"/>
  <c r="O42" i="13"/>
  <c r="N42" i="13"/>
  <c r="M42" i="13"/>
  <c r="L42" i="13"/>
  <c r="K42" i="13"/>
  <c r="J42" i="13"/>
  <c r="O41" i="13"/>
  <c r="N41" i="13"/>
  <c r="M41" i="13"/>
  <c r="L41" i="13"/>
  <c r="K41" i="13"/>
  <c r="J41" i="13"/>
  <c r="O40" i="13"/>
  <c r="N40" i="13"/>
  <c r="M40" i="13"/>
  <c r="L40" i="13"/>
  <c r="K40" i="13"/>
  <c r="J40" i="13"/>
  <c r="O39" i="13"/>
  <c r="N39" i="13"/>
  <c r="M39" i="13"/>
  <c r="L39" i="13"/>
  <c r="K39" i="13"/>
  <c r="J39" i="13"/>
  <c r="O38" i="13"/>
  <c r="N38" i="13"/>
  <c r="M38" i="13"/>
  <c r="L38" i="13"/>
  <c r="K38" i="13"/>
  <c r="J38" i="13"/>
  <c r="O37" i="13"/>
  <c r="N37" i="13"/>
  <c r="M37" i="13"/>
  <c r="L37" i="13"/>
  <c r="K37" i="13"/>
  <c r="J37" i="13"/>
  <c r="J36" i="13"/>
  <c r="O35" i="13"/>
  <c r="N35" i="13"/>
  <c r="M35" i="13"/>
  <c r="L35" i="13"/>
  <c r="K35" i="13"/>
  <c r="J35" i="13"/>
  <c r="O34" i="13"/>
  <c r="N34" i="13"/>
  <c r="M34" i="13"/>
  <c r="L34" i="13"/>
  <c r="K34" i="13"/>
  <c r="J34" i="13"/>
  <c r="O33" i="13"/>
  <c r="N33" i="13"/>
  <c r="M33" i="13"/>
  <c r="L33" i="13"/>
  <c r="K33" i="13"/>
  <c r="J33" i="13"/>
  <c r="O32" i="13"/>
  <c r="N32" i="13"/>
  <c r="M32" i="13"/>
  <c r="L32" i="13"/>
  <c r="K32" i="13"/>
  <c r="J32" i="13"/>
  <c r="O31" i="13"/>
  <c r="N31" i="13"/>
  <c r="M31" i="13"/>
  <c r="L31" i="13"/>
  <c r="K31" i="13"/>
  <c r="J31" i="13"/>
  <c r="O30" i="13"/>
  <c r="N30" i="13"/>
  <c r="M30" i="13"/>
  <c r="L30" i="13"/>
  <c r="K30" i="13"/>
  <c r="J30" i="13"/>
  <c r="O28" i="13"/>
  <c r="N28" i="13"/>
  <c r="M28" i="13"/>
  <c r="L28" i="13"/>
  <c r="K28" i="13"/>
  <c r="J28" i="13"/>
  <c r="O27" i="13"/>
  <c r="N27" i="13"/>
  <c r="M27" i="13"/>
  <c r="L27" i="13"/>
  <c r="K27" i="13"/>
  <c r="J27" i="13"/>
  <c r="O26" i="13"/>
  <c r="N26" i="13"/>
  <c r="M26" i="13"/>
  <c r="L26" i="13"/>
  <c r="K26" i="13"/>
  <c r="J26" i="13"/>
  <c r="O25" i="13"/>
  <c r="N25" i="13"/>
  <c r="M25" i="13"/>
  <c r="L25" i="13"/>
  <c r="K25" i="13"/>
  <c r="J25" i="13"/>
  <c r="O24" i="13"/>
  <c r="N24" i="13"/>
  <c r="M24" i="13"/>
  <c r="L24" i="13"/>
  <c r="K24" i="13"/>
  <c r="J24" i="13"/>
  <c r="O23" i="13"/>
  <c r="N23" i="13"/>
  <c r="M23" i="13"/>
  <c r="L23" i="13"/>
  <c r="K23" i="13"/>
  <c r="J23" i="13"/>
  <c r="J22" i="13"/>
  <c r="O21" i="13"/>
  <c r="N21" i="13"/>
  <c r="M21" i="13"/>
  <c r="L21" i="13"/>
  <c r="K21" i="13"/>
  <c r="J21" i="13"/>
  <c r="O20" i="13"/>
  <c r="N20" i="13"/>
  <c r="M20" i="13"/>
  <c r="L20" i="13"/>
  <c r="K20" i="13"/>
  <c r="J20" i="13"/>
  <c r="O19" i="13"/>
  <c r="N19" i="13"/>
  <c r="M19" i="13"/>
  <c r="L19" i="13"/>
  <c r="K19" i="13"/>
  <c r="J19" i="13"/>
  <c r="O18" i="13"/>
  <c r="N18" i="13"/>
  <c r="M18" i="13"/>
  <c r="L18" i="13"/>
  <c r="K18" i="13"/>
  <c r="J18" i="13"/>
  <c r="O17" i="13"/>
  <c r="N17" i="13"/>
  <c r="M17" i="13"/>
  <c r="L17" i="13"/>
  <c r="K17" i="13"/>
  <c r="J17" i="13"/>
  <c r="O16" i="13"/>
  <c r="N16" i="13"/>
  <c r="M16" i="13"/>
  <c r="L16" i="13"/>
  <c r="K16" i="13"/>
  <c r="J16" i="13"/>
  <c r="J15" i="13"/>
  <c r="O14" i="13"/>
  <c r="N14" i="13"/>
  <c r="M14" i="13"/>
  <c r="L14" i="13"/>
  <c r="K14" i="13"/>
  <c r="J14" i="13"/>
  <c r="O13" i="13"/>
  <c r="N13" i="13"/>
  <c r="M13" i="13"/>
  <c r="L13" i="13"/>
  <c r="K13" i="13"/>
  <c r="J13" i="13"/>
  <c r="O12" i="13"/>
  <c r="N12" i="13"/>
  <c r="M12" i="13"/>
  <c r="L12" i="13"/>
  <c r="K12" i="13"/>
  <c r="J12" i="13"/>
  <c r="L8" i="31"/>
  <c r="O11" i="13"/>
  <c r="N11" i="13"/>
  <c r="M11" i="13"/>
  <c r="L11" i="13"/>
  <c r="K11" i="13"/>
  <c r="J11" i="13"/>
  <c r="O10" i="13"/>
  <c r="N10" i="13"/>
  <c r="M10" i="13"/>
  <c r="L10" i="13"/>
  <c r="K10" i="13"/>
  <c r="J10" i="13"/>
  <c r="O9" i="13"/>
  <c r="N9" i="13"/>
  <c r="M9" i="13"/>
  <c r="L9" i="13"/>
  <c r="K9" i="13"/>
  <c r="J9" i="13"/>
  <c r="J8" i="13"/>
  <c r="O7" i="13"/>
  <c r="N7" i="13"/>
  <c r="M7" i="13"/>
  <c r="L7" i="13"/>
  <c r="K7" i="13"/>
  <c r="J7" i="13"/>
  <c r="O6" i="13"/>
  <c r="N6" i="13"/>
  <c r="M6" i="13"/>
  <c r="L6" i="13"/>
  <c r="K6" i="13"/>
  <c r="J6" i="13"/>
  <c r="O5" i="13"/>
  <c r="N5" i="13"/>
  <c r="M5" i="13"/>
  <c r="L5" i="13"/>
  <c r="K5" i="13"/>
  <c r="J5" i="13"/>
  <c r="O4" i="13"/>
  <c r="N4" i="13"/>
  <c r="M4" i="13"/>
  <c r="L4" i="13"/>
  <c r="K4" i="13"/>
  <c r="J4" i="13"/>
  <c r="O3" i="13"/>
  <c r="N3" i="13"/>
  <c r="M3" i="13"/>
  <c r="L3" i="13"/>
  <c r="K3" i="13"/>
  <c r="J3" i="13"/>
  <c r="O2" i="13"/>
  <c r="N2" i="13"/>
  <c r="M2" i="13"/>
  <c r="L2" i="13"/>
  <c r="K2" i="13"/>
  <c r="J2" i="13"/>
  <c r="O56" i="16"/>
  <c r="N56" i="16"/>
  <c r="M56" i="16"/>
  <c r="L56" i="16"/>
  <c r="K56" i="16"/>
  <c r="J56" i="16"/>
  <c r="O55" i="16"/>
  <c r="N55" i="16"/>
  <c r="M55" i="16"/>
  <c r="L55" i="16"/>
  <c r="K55" i="16"/>
  <c r="J55" i="16"/>
  <c r="O54" i="16"/>
  <c r="N54" i="16"/>
  <c r="M54" i="16"/>
  <c r="L54" i="16"/>
  <c r="K54" i="16"/>
  <c r="J54" i="16"/>
  <c r="O53" i="16"/>
  <c r="N53" i="16"/>
  <c r="M53" i="16"/>
  <c r="L53" i="16"/>
  <c r="K53" i="16"/>
  <c r="J53" i="16"/>
  <c r="O52" i="16"/>
  <c r="N52" i="16"/>
  <c r="M52" i="16"/>
  <c r="L52" i="16"/>
  <c r="K52" i="16"/>
  <c r="J52" i="16"/>
  <c r="O51" i="16"/>
  <c r="N51" i="16"/>
  <c r="M51" i="16"/>
  <c r="L51" i="16"/>
  <c r="K51" i="16"/>
  <c r="J51" i="16"/>
  <c r="J50" i="16"/>
  <c r="O49" i="16"/>
  <c r="N49" i="16"/>
  <c r="M49" i="16"/>
  <c r="L49" i="16"/>
  <c r="K49" i="16"/>
  <c r="J49" i="16"/>
  <c r="O48" i="16"/>
  <c r="N48" i="16"/>
  <c r="M48" i="16"/>
  <c r="L48" i="16"/>
  <c r="K48" i="16"/>
  <c r="J48" i="16"/>
  <c r="O47" i="16"/>
  <c r="N47" i="16"/>
  <c r="M47" i="16"/>
  <c r="L47" i="16"/>
  <c r="K47" i="16"/>
  <c r="J47" i="16"/>
  <c r="O46" i="16"/>
  <c r="N46" i="16"/>
  <c r="M46" i="16"/>
  <c r="L46" i="16"/>
  <c r="K46" i="16"/>
  <c r="J46" i="16"/>
  <c r="O45" i="16"/>
  <c r="N45" i="16"/>
  <c r="M45" i="16"/>
  <c r="L45" i="16"/>
  <c r="K45" i="16"/>
  <c r="J45" i="16"/>
  <c r="O44" i="16"/>
  <c r="N44" i="16"/>
  <c r="M44" i="16"/>
  <c r="L44" i="16"/>
  <c r="K44" i="16"/>
  <c r="J44" i="16"/>
  <c r="J43" i="16"/>
  <c r="O42" i="16"/>
  <c r="N42" i="16"/>
  <c r="M42" i="16"/>
  <c r="L42" i="16"/>
  <c r="K42" i="16"/>
  <c r="J42" i="16"/>
  <c r="O41" i="16"/>
  <c r="N41" i="16"/>
  <c r="M41" i="16"/>
  <c r="L41" i="16"/>
  <c r="K41" i="16"/>
  <c r="J41" i="16"/>
  <c r="O40" i="16"/>
  <c r="N40" i="16"/>
  <c r="M40" i="16"/>
  <c r="L40" i="16"/>
  <c r="K40" i="16"/>
  <c r="J40" i="16"/>
  <c r="O39" i="16"/>
  <c r="N39" i="16"/>
  <c r="M39" i="16"/>
  <c r="L39" i="16"/>
  <c r="K39" i="16"/>
  <c r="J39" i="16"/>
  <c r="O38" i="16"/>
  <c r="N38" i="16"/>
  <c r="M38" i="16"/>
  <c r="L38" i="16"/>
  <c r="K38" i="16"/>
  <c r="J38" i="16"/>
  <c r="O37" i="16"/>
  <c r="N37" i="16"/>
  <c r="M37" i="16"/>
  <c r="L37" i="16"/>
  <c r="K37" i="16"/>
  <c r="J37" i="16"/>
  <c r="J36" i="16"/>
  <c r="O35" i="16"/>
  <c r="N35" i="16"/>
  <c r="M35" i="16"/>
  <c r="L35" i="16"/>
  <c r="K35" i="16"/>
  <c r="J35" i="16"/>
  <c r="O34" i="16"/>
  <c r="N34" i="16"/>
  <c r="M34" i="16"/>
  <c r="L34" i="16"/>
  <c r="K34" i="16"/>
  <c r="J34" i="16"/>
  <c r="O33" i="16"/>
  <c r="N33" i="16"/>
  <c r="M33" i="16"/>
  <c r="L33" i="16"/>
  <c r="K33" i="16"/>
  <c r="J33" i="16"/>
  <c r="O32" i="16"/>
  <c r="N32" i="16"/>
  <c r="M32" i="16"/>
  <c r="L32" i="16"/>
  <c r="K32" i="16"/>
  <c r="J32" i="16"/>
  <c r="O31" i="16"/>
  <c r="N31" i="16"/>
  <c r="M31" i="16"/>
  <c r="L31" i="16"/>
  <c r="K31" i="16"/>
  <c r="J31" i="16"/>
  <c r="O30" i="16"/>
  <c r="N30" i="16"/>
  <c r="M30" i="16"/>
  <c r="L30" i="16"/>
  <c r="K30" i="16"/>
  <c r="J30" i="16"/>
  <c r="O28" i="16"/>
  <c r="N28" i="16"/>
  <c r="M28" i="16"/>
  <c r="L28" i="16"/>
  <c r="K28" i="16"/>
  <c r="J28" i="16"/>
  <c r="O27" i="16"/>
  <c r="N27" i="16"/>
  <c r="M27" i="16"/>
  <c r="L27" i="16"/>
  <c r="K27" i="16"/>
  <c r="J27" i="16"/>
  <c r="O26" i="16"/>
  <c r="N26" i="16"/>
  <c r="M26" i="16"/>
  <c r="L26" i="16"/>
  <c r="K26" i="16"/>
  <c r="J26" i="16"/>
  <c r="O25" i="16"/>
  <c r="N25" i="16"/>
  <c r="M25" i="16"/>
  <c r="L25" i="16"/>
  <c r="K25" i="16"/>
  <c r="J25" i="16"/>
  <c r="O24" i="16"/>
  <c r="N24" i="16"/>
  <c r="M24" i="16"/>
  <c r="L24" i="16"/>
  <c r="K24" i="16"/>
  <c r="J24" i="16"/>
  <c r="O23" i="16"/>
  <c r="N23" i="16"/>
  <c r="M23" i="16"/>
  <c r="L23" i="16"/>
  <c r="K23" i="16"/>
  <c r="J23" i="16"/>
  <c r="J22" i="16"/>
  <c r="O21" i="16"/>
  <c r="N21" i="16"/>
  <c r="M21" i="16"/>
  <c r="L21" i="16"/>
  <c r="K21" i="16"/>
  <c r="J21" i="16"/>
  <c r="O20" i="16"/>
  <c r="N20" i="16"/>
  <c r="M20" i="16"/>
  <c r="L20" i="16"/>
  <c r="K20" i="16"/>
  <c r="J20" i="16"/>
  <c r="O19" i="16"/>
  <c r="N19" i="16"/>
  <c r="M19" i="16"/>
  <c r="L19" i="16"/>
  <c r="K19" i="16"/>
  <c r="J19" i="16"/>
  <c r="O18" i="16"/>
  <c r="N18" i="16"/>
  <c r="M18" i="16"/>
  <c r="L18" i="16"/>
  <c r="K18" i="16"/>
  <c r="J18" i="16"/>
  <c r="O17" i="16"/>
  <c r="N17" i="16"/>
  <c r="M17" i="16"/>
  <c r="L17" i="16"/>
  <c r="K17" i="16"/>
  <c r="J17" i="16"/>
  <c r="O16" i="16"/>
  <c r="N16" i="16"/>
  <c r="M16" i="16"/>
  <c r="L16" i="16"/>
  <c r="K16" i="16"/>
  <c r="J16" i="16"/>
  <c r="J15" i="16"/>
  <c r="O14" i="16"/>
  <c r="N14" i="16"/>
  <c r="M14" i="16"/>
  <c r="L14" i="16"/>
  <c r="K14" i="16"/>
  <c r="J14" i="16"/>
  <c r="O13" i="16"/>
  <c r="N13" i="16"/>
  <c r="M13" i="16"/>
  <c r="L13" i="16"/>
  <c r="K13" i="16"/>
  <c r="J13" i="16"/>
  <c r="O12" i="16"/>
  <c r="N12" i="16"/>
  <c r="M12" i="16"/>
  <c r="L12" i="16"/>
  <c r="K12" i="16"/>
  <c r="J12" i="16"/>
  <c r="L9" i="31"/>
  <c r="O11" i="16"/>
  <c r="N11" i="16"/>
  <c r="M11" i="16"/>
  <c r="L11" i="16"/>
  <c r="K11" i="16"/>
  <c r="J11" i="16"/>
  <c r="O10" i="16"/>
  <c r="N10" i="16"/>
  <c r="M10" i="16"/>
  <c r="L10" i="16"/>
  <c r="K10" i="16"/>
  <c r="J10" i="16"/>
  <c r="O9" i="16"/>
  <c r="N9" i="16"/>
  <c r="M9" i="16"/>
  <c r="L9" i="16"/>
  <c r="K9" i="16"/>
  <c r="J9" i="16"/>
  <c r="J8" i="16"/>
  <c r="O7" i="16"/>
  <c r="N7" i="16"/>
  <c r="M7" i="16"/>
  <c r="L7" i="16"/>
  <c r="K7" i="16"/>
  <c r="J7" i="16"/>
  <c r="O6" i="16"/>
  <c r="N6" i="16"/>
  <c r="M6" i="16"/>
  <c r="L6" i="16"/>
  <c r="K6" i="16"/>
  <c r="J6" i="16"/>
  <c r="O5" i="16"/>
  <c r="N5" i="16"/>
  <c r="M5" i="16"/>
  <c r="L5" i="16"/>
  <c r="K5" i="16"/>
  <c r="J5" i="16"/>
  <c r="O4" i="16"/>
  <c r="N4" i="16"/>
  <c r="M4" i="16"/>
  <c r="L4" i="16"/>
  <c r="K4" i="16"/>
  <c r="J4" i="16"/>
  <c r="O3" i="16"/>
  <c r="N3" i="16"/>
  <c r="M3" i="16"/>
  <c r="L3" i="16"/>
  <c r="K3" i="16"/>
  <c r="J3" i="16"/>
  <c r="O2" i="16"/>
  <c r="N2" i="16"/>
  <c r="M2" i="16"/>
  <c r="L2" i="16"/>
  <c r="K2" i="16"/>
  <c r="O56" i="12"/>
  <c r="N56" i="12"/>
  <c r="M56" i="12"/>
  <c r="L56" i="12"/>
  <c r="K56" i="12"/>
  <c r="J56" i="12"/>
  <c r="O55" i="12"/>
  <c r="N55" i="12"/>
  <c r="M55" i="12"/>
  <c r="L55" i="12"/>
  <c r="K55" i="12"/>
  <c r="J55" i="12"/>
  <c r="O54" i="12"/>
  <c r="N54" i="12"/>
  <c r="M54" i="12"/>
  <c r="L54" i="12"/>
  <c r="K54" i="12"/>
  <c r="J54" i="12"/>
  <c r="O53" i="12"/>
  <c r="N53" i="12"/>
  <c r="M53" i="12"/>
  <c r="L53" i="12"/>
  <c r="K53" i="12"/>
  <c r="J53" i="12"/>
  <c r="O52" i="12"/>
  <c r="N52" i="12"/>
  <c r="M52" i="12"/>
  <c r="L52" i="12"/>
  <c r="K52" i="12"/>
  <c r="J52" i="12"/>
  <c r="O51" i="12"/>
  <c r="N51" i="12"/>
  <c r="M51" i="12"/>
  <c r="L51" i="12"/>
  <c r="K51" i="12"/>
  <c r="J51" i="12"/>
  <c r="J50" i="12"/>
  <c r="O49" i="12"/>
  <c r="N49" i="12"/>
  <c r="M49" i="12"/>
  <c r="L49" i="12"/>
  <c r="K49" i="12"/>
  <c r="J49" i="12"/>
  <c r="O48" i="12"/>
  <c r="N48" i="12"/>
  <c r="M48" i="12"/>
  <c r="L48" i="12"/>
  <c r="K48" i="12"/>
  <c r="J48" i="12"/>
  <c r="O47" i="12"/>
  <c r="N47" i="12"/>
  <c r="M47" i="12"/>
  <c r="L47" i="12"/>
  <c r="K47" i="12"/>
  <c r="J47" i="12"/>
  <c r="O46" i="12"/>
  <c r="N46" i="12"/>
  <c r="M46" i="12"/>
  <c r="L46" i="12"/>
  <c r="K46" i="12"/>
  <c r="J46" i="12"/>
  <c r="O45" i="12"/>
  <c r="N45" i="12"/>
  <c r="M45" i="12"/>
  <c r="L45" i="12"/>
  <c r="K45" i="12"/>
  <c r="J45" i="12"/>
  <c r="O44" i="12"/>
  <c r="N44" i="12"/>
  <c r="M44" i="12"/>
  <c r="L44" i="12"/>
  <c r="K44" i="12"/>
  <c r="J44" i="12"/>
  <c r="J43" i="12"/>
  <c r="O42" i="12"/>
  <c r="N42" i="12"/>
  <c r="M42" i="12"/>
  <c r="L42" i="12"/>
  <c r="K42" i="12"/>
  <c r="J42" i="12"/>
  <c r="O41" i="12"/>
  <c r="N41" i="12"/>
  <c r="M41" i="12"/>
  <c r="L41" i="12"/>
  <c r="K41" i="12"/>
  <c r="J41" i="12"/>
  <c r="O40" i="12"/>
  <c r="N40" i="12"/>
  <c r="M40" i="12"/>
  <c r="L40" i="12"/>
  <c r="K40" i="12"/>
  <c r="J40" i="12"/>
  <c r="O39" i="12"/>
  <c r="N39" i="12"/>
  <c r="M39" i="12"/>
  <c r="L39" i="12"/>
  <c r="K39" i="12"/>
  <c r="J39" i="12"/>
  <c r="O38" i="12"/>
  <c r="N38" i="12"/>
  <c r="M38" i="12"/>
  <c r="L38" i="12"/>
  <c r="K38" i="12"/>
  <c r="J38" i="12"/>
  <c r="O37" i="12"/>
  <c r="N37" i="12"/>
  <c r="M37" i="12"/>
  <c r="L37" i="12"/>
  <c r="K37" i="12"/>
  <c r="J37" i="12"/>
  <c r="J36" i="12"/>
  <c r="O35" i="12"/>
  <c r="N35" i="12"/>
  <c r="M35" i="12"/>
  <c r="L35" i="12"/>
  <c r="K35" i="12"/>
  <c r="J35" i="12"/>
  <c r="O34" i="12"/>
  <c r="N34" i="12"/>
  <c r="M34" i="12"/>
  <c r="L34" i="12"/>
  <c r="K34" i="12"/>
  <c r="J34" i="12"/>
  <c r="O33" i="12"/>
  <c r="N33" i="12"/>
  <c r="M33" i="12"/>
  <c r="L33" i="12"/>
  <c r="K33" i="12"/>
  <c r="J33" i="12"/>
  <c r="O32" i="12"/>
  <c r="N32" i="12"/>
  <c r="M32" i="12"/>
  <c r="L32" i="12"/>
  <c r="K32" i="12"/>
  <c r="J32" i="12"/>
  <c r="O31" i="12"/>
  <c r="N31" i="12"/>
  <c r="M31" i="12"/>
  <c r="L31" i="12"/>
  <c r="K31" i="12"/>
  <c r="J31" i="12"/>
  <c r="O30" i="12"/>
  <c r="N30" i="12"/>
  <c r="M30" i="12"/>
  <c r="L30" i="12"/>
  <c r="K30" i="12"/>
  <c r="J30" i="12"/>
  <c r="O28" i="12"/>
  <c r="N28" i="12"/>
  <c r="M28" i="12"/>
  <c r="L28" i="12"/>
  <c r="K28" i="12"/>
  <c r="J28" i="12"/>
  <c r="O27" i="12"/>
  <c r="N27" i="12"/>
  <c r="M27" i="12"/>
  <c r="L27" i="12"/>
  <c r="K27" i="12"/>
  <c r="J27" i="12"/>
  <c r="O26" i="12"/>
  <c r="N26" i="12"/>
  <c r="M26" i="12"/>
  <c r="L26" i="12"/>
  <c r="K26" i="12"/>
  <c r="J26" i="12"/>
  <c r="O25" i="12"/>
  <c r="N25" i="12"/>
  <c r="M25" i="12"/>
  <c r="L25" i="12"/>
  <c r="K25" i="12"/>
  <c r="J25" i="12"/>
  <c r="O24" i="12"/>
  <c r="N24" i="12"/>
  <c r="M24" i="12"/>
  <c r="L24" i="12"/>
  <c r="K24" i="12"/>
  <c r="J24" i="12"/>
  <c r="O23" i="12"/>
  <c r="N23" i="12"/>
  <c r="M23" i="12"/>
  <c r="L23" i="12"/>
  <c r="K23" i="12"/>
  <c r="J23" i="12"/>
  <c r="J22" i="12"/>
  <c r="O21" i="12"/>
  <c r="N21" i="12"/>
  <c r="M21" i="12"/>
  <c r="L21" i="12"/>
  <c r="K21" i="12"/>
  <c r="J21" i="12"/>
  <c r="O20" i="12"/>
  <c r="N20" i="12"/>
  <c r="M20" i="12"/>
  <c r="L20" i="12"/>
  <c r="K20" i="12"/>
  <c r="J20" i="12"/>
  <c r="O19" i="12"/>
  <c r="N19" i="12"/>
  <c r="M19" i="12"/>
  <c r="L19" i="12"/>
  <c r="K19" i="12"/>
  <c r="J19" i="12"/>
  <c r="O18" i="12"/>
  <c r="N18" i="12"/>
  <c r="M18" i="12"/>
  <c r="L18" i="12"/>
  <c r="K18" i="12"/>
  <c r="J18" i="12"/>
  <c r="O17" i="12"/>
  <c r="N17" i="12"/>
  <c r="M17" i="12"/>
  <c r="L17" i="12"/>
  <c r="K17" i="12"/>
  <c r="J17" i="12"/>
  <c r="O16" i="12"/>
  <c r="N16" i="12"/>
  <c r="M16" i="12"/>
  <c r="L16" i="12"/>
  <c r="K16" i="12"/>
  <c r="J16" i="12"/>
  <c r="J15" i="12"/>
  <c r="O14" i="12"/>
  <c r="N14" i="12"/>
  <c r="M14" i="12"/>
  <c r="L14" i="12"/>
  <c r="K14" i="12"/>
  <c r="J14" i="12"/>
  <c r="O13" i="12"/>
  <c r="N13" i="12"/>
  <c r="M13" i="12"/>
  <c r="L13" i="12"/>
  <c r="K13" i="12"/>
  <c r="J13" i="12"/>
  <c r="O12" i="12"/>
  <c r="N12" i="12"/>
  <c r="M12" i="12"/>
  <c r="L12" i="12"/>
  <c r="K12" i="12"/>
  <c r="J12" i="12"/>
  <c r="O11" i="12"/>
  <c r="N11" i="12"/>
  <c r="M11" i="12"/>
  <c r="L11" i="12"/>
  <c r="K11" i="12"/>
  <c r="J11" i="12"/>
  <c r="O10" i="12"/>
  <c r="N10" i="12"/>
  <c r="M10" i="12"/>
  <c r="L10" i="12"/>
  <c r="K10" i="12"/>
  <c r="J10" i="12"/>
  <c r="O9" i="12"/>
  <c r="N9" i="12"/>
  <c r="M9" i="12"/>
  <c r="L9" i="12"/>
  <c r="K9" i="12"/>
  <c r="J9" i="12"/>
  <c r="J8" i="12"/>
  <c r="O7" i="12"/>
  <c r="N7" i="12"/>
  <c r="M7" i="12"/>
  <c r="L7" i="12"/>
  <c r="K7" i="12"/>
  <c r="J7" i="12"/>
  <c r="O6" i="12"/>
  <c r="N6" i="12"/>
  <c r="M6" i="12"/>
  <c r="L6" i="12"/>
  <c r="K6" i="12"/>
  <c r="J6" i="12"/>
  <c r="O5" i="12"/>
  <c r="N5" i="12"/>
  <c r="M5" i="12"/>
  <c r="L5" i="12"/>
  <c r="K5" i="12"/>
  <c r="J5" i="12"/>
  <c r="O4" i="12"/>
  <c r="N4" i="12"/>
  <c r="M4" i="12"/>
  <c r="L4" i="12"/>
  <c r="K4" i="12"/>
  <c r="J4" i="12"/>
  <c r="O3" i="12"/>
  <c r="N3" i="12"/>
  <c r="M3" i="12"/>
  <c r="L3" i="12"/>
  <c r="K3" i="12"/>
  <c r="J3" i="12"/>
  <c r="O2" i="12"/>
  <c r="N2" i="12"/>
  <c r="M2" i="12"/>
  <c r="L2" i="12"/>
  <c r="K2" i="12"/>
  <c r="O56" i="18"/>
  <c r="N56" i="18"/>
  <c r="M56" i="18"/>
  <c r="L56" i="18"/>
  <c r="K56" i="18"/>
  <c r="J56" i="18"/>
  <c r="O55" i="18"/>
  <c r="N55" i="18"/>
  <c r="M55" i="18"/>
  <c r="L55" i="18"/>
  <c r="K55" i="18"/>
  <c r="J55" i="18"/>
  <c r="O54" i="18"/>
  <c r="N54" i="18"/>
  <c r="M54" i="18"/>
  <c r="L54" i="18"/>
  <c r="K54" i="18"/>
  <c r="J54" i="18"/>
  <c r="O53" i="18"/>
  <c r="N53" i="18"/>
  <c r="M53" i="18"/>
  <c r="L53" i="18"/>
  <c r="K53" i="18"/>
  <c r="J53" i="18"/>
  <c r="O52" i="18"/>
  <c r="N52" i="18"/>
  <c r="M52" i="18"/>
  <c r="L52" i="18"/>
  <c r="K52" i="18"/>
  <c r="J52" i="18"/>
  <c r="O51" i="18"/>
  <c r="N51" i="18"/>
  <c r="M51" i="18"/>
  <c r="L51" i="18"/>
  <c r="K51" i="18"/>
  <c r="J51" i="18"/>
  <c r="J50" i="18"/>
  <c r="O49" i="18"/>
  <c r="N49" i="18"/>
  <c r="M49" i="18"/>
  <c r="L49" i="18"/>
  <c r="K49" i="18"/>
  <c r="J49" i="18"/>
  <c r="O48" i="18"/>
  <c r="N48" i="18"/>
  <c r="M48" i="18"/>
  <c r="L48" i="18"/>
  <c r="K48" i="18"/>
  <c r="J48" i="18"/>
  <c r="O47" i="18"/>
  <c r="N47" i="18"/>
  <c r="M47" i="18"/>
  <c r="L47" i="18"/>
  <c r="K47" i="18"/>
  <c r="J47" i="18"/>
  <c r="O46" i="18"/>
  <c r="N46" i="18"/>
  <c r="M46" i="18"/>
  <c r="L46" i="18"/>
  <c r="K46" i="18"/>
  <c r="J46" i="18"/>
  <c r="O45" i="18"/>
  <c r="N45" i="18"/>
  <c r="M45" i="18"/>
  <c r="L45" i="18"/>
  <c r="K45" i="18"/>
  <c r="J45" i="18"/>
  <c r="O44" i="18"/>
  <c r="N44" i="18"/>
  <c r="M44" i="18"/>
  <c r="L44" i="18"/>
  <c r="K44" i="18"/>
  <c r="J44" i="18"/>
  <c r="J43" i="18"/>
  <c r="O42" i="18"/>
  <c r="N42" i="18"/>
  <c r="M42" i="18"/>
  <c r="L42" i="18"/>
  <c r="K42" i="18"/>
  <c r="J42" i="18"/>
  <c r="O41" i="18"/>
  <c r="N41" i="18"/>
  <c r="M41" i="18"/>
  <c r="L41" i="18"/>
  <c r="K41" i="18"/>
  <c r="J41" i="18"/>
  <c r="O40" i="18"/>
  <c r="N40" i="18"/>
  <c r="M40" i="18"/>
  <c r="L40" i="18"/>
  <c r="K40" i="18"/>
  <c r="J40" i="18"/>
  <c r="O39" i="18"/>
  <c r="N39" i="18"/>
  <c r="M39" i="18"/>
  <c r="L39" i="18"/>
  <c r="K39" i="18"/>
  <c r="J39" i="18"/>
  <c r="O38" i="18"/>
  <c r="N38" i="18"/>
  <c r="M38" i="18"/>
  <c r="L38" i="18"/>
  <c r="K38" i="18"/>
  <c r="J38" i="18"/>
  <c r="O37" i="18"/>
  <c r="N37" i="18"/>
  <c r="M37" i="18"/>
  <c r="L37" i="18"/>
  <c r="K37" i="18"/>
  <c r="J37" i="18"/>
  <c r="J36" i="18"/>
  <c r="O35" i="18"/>
  <c r="N35" i="18"/>
  <c r="M35" i="18"/>
  <c r="L35" i="18"/>
  <c r="K35" i="18"/>
  <c r="J35" i="18"/>
  <c r="O34" i="18"/>
  <c r="N34" i="18"/>
  <c r="M34" i="18"/>
  <c r="L34" i="18"/>
  <c r="K34" i="18"/>
  <c r="J34" i="18"/>
  <c r="O33" i="18"/>
  <c r="N33" i="18"/>
  <c r="M33" i="18"/>
  <c r="L33" i="18"/>
  <c r="K33" i="18"/>
  <c r="J33" i="18"/>
  <c r="O32" i="18"/>
  <c r="N32" i="18"/>
  <c r="M32" i="18"/>
  <c r="L32" i="18"/>
  <c r="K32" i="18"/>
  <c r="J32" i="18"/>
  <c r="O31" i="18"/>
  <c r="N31" i="18"/>
  <c r="M31" i="18"/>
  <c r="L31" i="18"/>
  <c r="K31" i="18"/>
  <c r="J31" i="18"/>
  <c r="O30" i="18"/>
  <c r="N30" i="18"/>
  <c r="M30" i="18"/>
  <c r="L30" i="18"/>
  <c r="K30" i="18"/>
  <c r="J30" i="18"/>
  <c r="O28" i="18"/>
  <c r="N28" i="18"/>
  <c r="M28" i="18"/>
  <c r="L28" i="18"/>
  <c r="K28" i="18"/>
  <c r="J28" i="18"/>
  <c r="O27" i="18"/>
  <c r="N27" i="18"/>
  <c r="M27" i="18"/>
  <c r="L27" i="18"/>
  <c r="K27" i="18"/>
  <c r="J27" i="18"/>
  <c r="O26" i="18"/>
  <c r="N26" i="18"/>
  <c r="M26" i="18"/>
  <c r="L26" i="18"/>
  <c r="K26" i="18"/>
  <c r="J26" i="18"/>
  <c r="O25" i="18"/>
  <c r="N25" i="18"/>
  <c r="M25" i="18"/>
  <c r="L25" i="18"/>
  <c r="K25" i="18"/>
  <c r="J25" i="18"/>
  <c r="O24" i="18"/>
  <c r="N24" i="18"/>
  <c r="M24" i="18"/>
  <c r="L24" i="18"/>
  <c r="K24" i="18"/>
  <c r="J24" i="18"/>
  <c r="O23" i="18"/>
  <c r="N23" i="18"/>
  <c r="M23" i="18"/>
  <c r="L23" i="18"/>
  <c r="K23" i="18"/>
  <c r="J23" i="18"/>
  <c r="J22" i="18"/>
  <c r="O21" i="18"/>
  <c r="N21" i="18"/>
  <c r="M21" i="18"/>
  <c r="L21" i="18"/>
  <c r="K21" i="18"/>
  <c r="J21" i="18"/>
  <c r="O20" i="18"/>
  <c r="N20" i="18"/>
  <c r="M20" i="18"/>
  <c r="L20" i="18"/>
  <c r="K20" i="18"/>
  <c r="J20" i="18"/>
  <c r="O19" i="18"/>
  <c r="N19" i="18"/>
  <c r="M19" i="18"/>
  <c r="L19" i="18"/>
  <c r="K19" i="18"/>
  <c r="J19" i="18"/>
  <c r="O18" i="18"/>
  <c r="N18" i="18"/>
  <c r="M18" i="18"/>
  <c r="L18" i="18"/>
  <c r="K18" i="18"/>
  <c r="J18" i="18"/>
  <c r="O17" i="18"/>
  <c r="N17" i="18"/>
  <c r="M17" i="18"/>
  <c r="L17" i="18"/>
  <c r="K17" i="18"/>
  <c r="J17" i="18"/>
  <c r="O16" i="18"/>
  <c r="N16" i="18"/>
  <c r="M16" i="18"/>
  <c r="L16" i="18"/>
  <c r="K16" i="18"/>
  <c r="J16" i="18"/>
  <c r="J15" i="18"/>
  <c r="O14" i="18"/>
  <c r="N14" i="18"/>
  <c r="M14" i="18"/>
  <c r="L14" i="18"/>
  <c r="K14" i="18"/>
  <c r="J14" i="18"/>
  <c r="O13" i="18"/>
  <c r="N13" i="18"/>
  <c r="M13" i="18"/>
  <c r="L13" i="18"/>
  <c r="K13" i="18"/>
  <c r="J13" i="18"/>
  <c r="O12" i="18"/>
  <c r="N12" i="18"/>
  <c r="M12" i="18"/>
  <c r="L12" i="18"/>
  <c r="K12" i="18"/>
  <c r="J12" i="18"/>
  <c r="O11" i="18"/>
  <c r="N11" i="18"/>
  <c r="M11" i="18"/>
  <c r="L11" i="18"/>
  <c r="K11" i="18"/>
  <c r="J11" i="18"/>
  <c r="O10" i="18"/>
  <c r="N10" i="18"/>
  <c r="M10" i="18"/>
  <c r="L10" i="18"/>
  <c r="K10" i="18"/>
  <c r="J10" i="18"/>
  <c r="O9" i="18"/>
  <c r="N9" i="18"/>
  <c r="M9" i="18"/>
  <c r="L9" i="18"/>
  <c r="K9" i="18"/>
  <c r="J9" i="18"/>
  <c r="J8" i="18"/>
  <c r="O7" i="18"/>
  <c r="N7" i="18"/>
  <c r="M7" i="18"/>
  <c r="L7" i="18"/>
  <c r="K7" i="18"/>
  <c r="J7" i="18"/>
  <c r="O6" i="18"/>
  <c r="N6" i="18"/>
  <c r="M6" i="18"/>
  <c r="L6" i="18"/>
  <c r="K6" i="18"/>
  <c r="J6" i="18"/>
  <c r="O5" i="18"/>
  <c r="N5" i="18"/>
  <c r="M5" i="18"/>
  <c r="L5" i="18"/>
  <c r="K5" i="18"/>
  <c r="J5" i="18"/>
  <c r="O4" i="18"/>
  <c r="N4" i="18"/>
  <c r="M4" i="18"/>
  <c r="L4" i="18"/>
  <c r="K4" i="18"/>
  <c r="J4" i="18"/>
  <c r="O3" i="18"/>
  <c r="N3" i="18"/>
  <c r="M3" i="18"/>
  <c r="L3" i="18"/>
  <c r="K3" i="18"/>
  <c r="J3" i="18"/>
  <c r="O2" i="18"/>
  <c r="N2" i="18"/>
  <c r="M2" i="18"/>
  <c r="L2" i="18"/>
  <c r="K2" i="18"/>
  <c r="J56" i="17"/>
  <c r="J55" i="17"/>
  <c r="J54" i="17"/>
  <c r="J53" i="17"/>
  <c r="J52" i="17"/>
  <c r="J51" i="17"/>
  <c r="J50" i="17"/>
  <c r="J49" i="17"/>
  <c r="J48" i="17"/>
  <c r="J47" i="17"/>
  <c r="J46" i="17"/>
  <c r="J45" i="17"/>
  <c r="J44" i="17"/>
  <c r="J43" i="17"/>
  <c r="J42" i="17"/>
  <c r="J41" i="17"/>
  <c r="J40" i="17"/>
  <c r="J39" i="17"/>
  <c r="J38" i="17"/>
  <c r="J37" i="17"/>
  <c r="J36" i="17"/>
  <c r="J35" i="17"/>
  <c r="J34" i="17"/>
  <c r="J33" i="17"/>
  <c r="J32" i="17"/>
  <c r="J31" i="17"/>
  <c r="J30" i="17"/>
  <c r="J28" i="17"/>
  <c r="J27" i="17"/>
  <c r="J26" i="17"/>
  <c r="J25" i="17"/>
  <c r="J24" i="17"/>
  <c r="J23" i="17"/>
  <c r="J22" i="17"/>
  <c r="J21" i="17"/>
  <c r="J20" i="17"/>
  <c r="J19" i="17"/>
  <c r="J18" i="17"/>
  <c r="J17" i="17"/>
  <c r="J16" i="17"/>
  <c r="J15" i="17"/>
  <c r="J14" i="17"/>
  <c r="J13" i="17"/>
  <c r="J12" i="17"/>
  <c r="J11" i="17"/>
  <c r="J10" i="17"/>
  <c r="J9" i="17"/>
  <c r="J8" i="17"/>
  <c r="J7" i="17"/>
  <c r="J6" i="17"/>
  <c r="J5" i="17"/>
  <c r="J4" i="17"/>
  <c r="J3" i="17"/>
  <c r="J56" i="28"/>
  <c r="J55" i="28"/>
  <c r="J54" i="28"/>
  <c r="J53" i="28"/>
  <c r="J52" i="28"/>
  <c r="J51" i="28"/>
  <c r="J50" i="28"/>
  <c r="J49" i="28"/>
  <c r="J48" i="28"/>
  <c r="J47" i="28"/>
  <c r="J46" i="28"/>
  <c r="J45" i="28"/>
  <c r="J44" i="28"/>
  <c r="J43" i="28"/>
  <c r="J42" i="28"/>
  <c r="J41" i="28"/>
  <c r="J40" i="28"/>
  <c r="J39" i="28"/>
  <c r="J38" i="28"/>
  <c r="J37" i="28"/>
  <c r="J36" i="28"/>
  <c r="J35" i="28"/>
  <c r="J34" i="28"/>
  <c r="J33" i="28"/>
  <c r="J32" i="28"/>
  <c r="J31" i="28"/>
  <c r="J30" i="28"/>
  <c r="J28" i="28"/>
  <c r="J27" i="28"/>
  <c r="J26" i="28"/>
  <c r="J25" i="28"/>
  <c r="J24" i="28"/>
  <c r="J23" i="28"/>
  <c r="J22" i="28"/>
  <c r="J21" i="28"/>
  <c r="J20" i="28"/>
  <c r="J19" i="28"/>
  <c r="J18" i="28"/>
  <c r="J17" i="28"/>
  <c r="J16" i="28"/>
  <c r="J15" i="28"/>
  <c r="J14" i="28"/>
  <c r="J13" i="28"/>
  <c r="J12" i="28"/>
  <c r="J11" i="28"/>
  <c r="J10" i="28"/>
  <c r="J9" i="28"/>
  <c r="J8" i="28"/>
  <c r="J7" i="28"/>
  <c r="J6" i="28"/>
  <c r="J5" i="28"/>
  <c r="J4" i="28"/>
  <c r="J3" i="28"/>
  <c r="J56" i="29"/>
  <c r="J55" i="29"/>
  <c r="J54" i="29"/>
  <c r="J53" i="29"/>
  <c r="J52" i="29"/>
  <c r="J51" i="29"/>
  <c r="J50" i="29"/>
  <c r="J49" i="29"/>
  <c r="J48" i="29"/>
  <c r="J47" i="29"/>
  <c r="J46" i="29"/>
  <c r="J45" i="29"/>
  <c r="J44" i="29"/>
  <c r="J43" i="29"/>
  <c r="J42" i="29"/>
  <c r="J41" i="29"/>
  <c r="J40" i="29"/>
  <c r="J39" i="29"/>
  <c r="J38" i="29"/>
  <c r="J37" i="29"/>
  <c r="J36" i="29"/>
  <c r="J35" i="29"/>
  <c r="J34" i="29"/>
  <c r="J33" i="29"/>
  <c r="J32" i="29"/>
  <c r="J31" i="29"/>
  <c r="J30" i="29"/>
  <c r="J28" i="29"/>
  <c r="J27" i="29"/>
  <c r="J26" i="29"/>
  <c r="J25" i="29"/>
  <c r="J24" i="29"/>
  <c r="J23" i="29"/>
  <c r="J22" i="29"/>
  <c r="J21" i="29"/>
  <c r="J20" i="29"/>
  <c r="J19" i="29"/>
  <c r="J18" i="29"/>
  <c r="J17" i="29"/>
  <c r="J16" i="29"/>
  <c r="J15" i="29"/>
  <c r="J14" i="29"/>
  <c r="J13" i="29"/>
  <c r="J12" i="29"/>
  <c r="J11" i="29"/>
  <c r="J10" i="29"/>
  <c r="J9" i="29"/>
  <c r="J8" i="29"/>
  <c r="J7" i="29"/>
  <c r="J6" i="29"/>
  <c r="J5" i="29"/>
  <c r="J4" i="29"/>
  <c r="J3" i="29"/>
  <c r="J56" i="6"/>
  <c r="J55" i="6"/>
  <c r="J54" i="6"/>
  <c r="J53" i="6"/>
  <c r="J52" i="6"/>
  <c r="J51" i="6"/>
  <c r="J50" i="6"/>
  <c r="J49" i="6"/>
  <c r="J48" i="6"/>
  <c r="J47" i="6"/>
  <c r="J46" i="6"/>
  <c r="J45" i="6"/>
  <c r="J44" i="6"/>
  <c r="J43" i="6"/>
  <c r="J42" i="6"/>
  <c r="J41" i="6"/>
  <c r="J40" i="6"/>
  <c r="J39" i="6"/>
  <c r="J38" i="6"/>
  <c r="J37" i="6"/>
  <c r="J36" i="6"/>
  <c r="J35" i="6"/>
  <c r="J34" i="6"/>
  <c r="J33" i="6"/>
  <c r="J32" i="6"/>
  <c r="J31" i="6"/>
  <c r="J30" i="6"/>
  <c r="J28" i="6"/>
  <c r="J27" i="6"/>
  <c r="J26" i="6"/>
  <c r="J25" i="6"/>
  <c r="J24" i="6"/>
  <c r="J23" i="6"/>
  <c r="J22" i="6"/>
  <c r="J21" i="6"/>
  <c r="J20" i="6"/>
  <c r="J19" i="6"/>
  <c r="J18" i="6"/>
  <c r="J17" i="6"/>
  <c r="J16" i="6"/>
  <c r="J15" i="6"/>
  <c r="J14" i="6"/>
  <c r="J13" i="6"/>
  <c r="J12" i="6"/>
  <c r="J11" i="6"/>
  <c r="J10" i="6"/>
  <c r="J9" i="6"/>
  <c r="J8" i="6"/>
  <c r="J7" i="6"/>
  <c r="J6" i="6"/>
  <c r="J5" i="6"/>
  <c r="J4" i="6"/>
  <c r="J3" i="6"/>
  <c r="J2" i="6"/>
  <c r="J56" i="11"/>
  <c r="J55" i="11"/>
  <c r="J54" i="11"/>
  <c r="J53" i="11"/>
  <c r="J52" i="11"/>
  <c r="J51" i="11"/>
  <c r="J50" i="11"/>
  <c r="J49" i="11"/>
  <c r="J48" i="11"/>
  <c r="J47" i="11"/>
  <c r="J46" i="11"/>
  <c r="J45" i="11"/>
  <c r="J44" i="11"/>
  <c r="J43" i="11"/>
  <c r="J42" i="11"/>
  <c r="J41" i="11"/>
  <c r="J40" i="11"/>
  <c r="J39" i="11"/>
  <c r="J38" i="11"/>
  <c r="J37" i="11"/>
  <c r="J36" i="11"/>
  <c r="J35" i="11"/>
  <c r="J34" i="11"/>
  <c r="J33" i="11"/>
  <c r="J32" i="11"/>
  <c r="J31" i="11"/>
  <c r="J30" i="11"/>
  <c r="J28" i="11"/>
  <c r="J27" i="11"/>
  <c r="J26" i="11"/>
  <c r="J25" i="11"/>
  <c r="J24" i="11"/>
  <c r="J23" i="11"/>
  <c r="J22" i="11"/>
  <c r="J21" i="11"/>
  <c r="J20" i="11"/>
  <c r="J19" i="11"/>
  <c r="J18" i="11"/>
  <c r="J17" i="11"/>
  <c r="J16" i="11"/>
  <c r="J15" i="11"/>
  <c r="J14" i="11"/>
  <c r="J13" i="11"/>
  <c r="J12" i="11"/>
  <c r="J11" i="11"/>
  <c r="J10" i="11"/>
  <c r="J9" i="11"/>
  <c r="J8" i="11"/>
  <c r="J7" i="11"/>
  <c r="J6" i="11"/>
  <c r="J5" i="11"/>
  <c r="J4" i="11"/>
  <c r="J3" i="11"/>
  <c r="J2" i="11"/>
  <c r="J56" i="10"/>
  <c r="J55" i="10"/>
  <c r="J54" i="10"/>
  <c r="J53" i="10"/>
  <c r="J52" i="10"/>
  <c r="J51" i="10"/>
  <c r="J50" i="10"/>
  <c r="J49" i="10"/>
  <c r="J48" i="10"/>
  <c r="J47" i="10"/>
  <c r="J46" i="10"/>
  <c r="J45" i="10"/>
  <c r="J44" i="10"/>
  <c r="J43" i="10"/>
  <c r="J42" i="10"/>
  <c r="J41" i="10"/>
  <c r="J40" i="10"/>
  <c r="J39" i="10"/>
  <c r="J38" i="10"/>
  <c r="J37" i="10"/>
  <c r="J36" i="10"/>
  <c r="J35" i="10"/>
  <c r="J34" i="10"/>
  <c r="J33" i="10"/>
  <c r="J32" i="10"/>
  <c r="J31" i="10"/>
  <c r="J30" i="10"/>
  <c r="J28" i="10"/>
  <c r="J27" i="10"/>
  <c r="J26" i="10"/>
  <c r="J25" i="10"/>
  <c r="J24" i="10"/>
  <c r="J23" i="10"/>
  <c r="J22" i="10"/>
  <c r="J21" i="10"/>
  <c r="J20" i="10"/>
  <c r="J15" i="10"/>
  <c r="J14" i="10"/>
  <c r="J13" i="10"/>
  <c r="J12" i="10"/>
  <c r="J11" i="10"/>
  <c r="J10" i="10"/>
  <c r="J9" i="10"/>
  <c r="J8" i="10"/>
  <c r="J7" i="10"/>
  <c r="J6" i="10"/>
  <c r="J5" i="10"/>
  <c r="J4" i="10"/>
  <c r="J3" i="10"/>
  <c r="J2" i="10"/>
  <c r="J55" i="3"/>
  <c r="J56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31" i="3"/>
  <c r="J32" i="3"/>
  <c r="J33" i="3"/>
  <c r="J34" i="3"/>
  <c r="J35" i="3"/>
  <c r="J36" i="3"/>
  <c r="J37" i="3"/>
  <c r="J38" i="3"/>
  <c r="J39" i="3"/>
  <c r="J40" i="3"/>
  <c r="J30" i="3"/>
  <c r="J18" i="3"/>
  <c r="J19" i="3"/>
  <c r="J20" i="3"/>
  <c r="J21" i="3"/>
  <c r="J22" i="3"/>
  <c r="J23" i="3"/>
  <c r="J24" i="3"/>
  <c r="J25" i="3"/>
  <c r="J26" i="3"/>
  <c r="J27" i="3"/>
  <c r="J28" i="3"/>
  <c r="J7" i="3"/>
  <c r="J8" i="3"/>
  <c r="J9" i="3"/>
  <c r="J11" i="3"/>
  <c r="J12" i="3"/>
  <c r="J13" i="3"/>
  <c r="J14" i="3"/>
  <c r="J15" i="3"/>
  <c r="J16" i="3"/>
  <c r="J17" i="3"/>
  <c r="J3" i="3"/>
  <c r="J4" i="3"/>
  <c r="J5" i="3"/>
  <c r="J6" i="3"/>
  <c r="J2" i="3"/>
  <c r="O56" i="17"/>
  <c r="N56" i="17"/>
  <c r="M56" i="17"/>
  <c r="L56" i="17"/>
  <c r="K56" i="17"/>
  <c r="O55" i="17"/>
  <c r="N55" i="17"/>
  <c r="M55" i="17"/>
  <c r="L55" i="17"/>
  <c r="K55" i="17"/>
  <c r="O54" i="17"/>
  <c r="N54" i="17"/>
  <c r="M54" i="17"/>
  <c r="L54" i="17"/>
  <c r="K54" i="17"/>
  <c r="O53" i="17"/>
  <c r="N53" i="17"/>
  <c r="M53" i="17"/>
  <c r="L53" i="17"/>
  <c r="K53" i="17"/>
  <c r="O52" i="17"/>
  <c r="N52" i="17"/>
  <c r="M52" i="17"/>
  <c r="L52" i="17"/>
  <c r="K52" i="17"/>
  <c r="O51" i="17"/>
  <c r="N51" i="17"/>
  <c r="M51" i="17"/>
  <c r="L51" i="17"/>
  <c r="K51" i="17"/>
  <c r="O49" i="17"/>
  <c r="N49" i="17"/>
  <c r="M49" i="17"/>
  <c r="L49" i="17"/>
  <c r="K49" i="17"/>
  <c r="O48" i="17"/>
  <c r="N48" i="17"/>
  <c r="M48" i="17"/>
  <c r="L48" i="17"/>
  <c r="K48" i="17"/>
  <c r="O47" i="17"/>
  <c r="N47" i="17"/>
  <c r="M47" i="17"/>
  <c r="L47" i="17"/>
  <c r="K47" i="17"/>
  <c r="O46" i="17"/>
  <c r="N46" i="17"/>
  <c r="M46" i="17"/>
  <c r="L46" i="17"/>
  <c r="K46" i="17"/>
  <c r="O45" i="17"/>
  <c r="N45" i="17"/>
  <c r="M45" i="17"/>
  <c r="L45" i="17"/>
  <c r="K45" i="17"/>
  <c r="O44" i="17"/>
  <c r="N44" i="17"/>
  <c r="M44" i="17"/>
  <c r="L44" i="17"/>
  <c r="K44" i="17"/>
  <c r="O42" i="17"/>
  <c r="N42" i="17"/>
  <c r="M42" i="17"/>
  <c r="L42" i="17"/>
  <c r="K42" i="17"/>
  <c r="O41" i="17"/>
  <c r="N41" i="17"/>
  <c r="M41" i="17"/>
  <c r="L41" i="17"/>
  <c r="K41" i="17"/>
  <c r="O40" i="17"/>
  <c r="N40" i="17"/>
  <c r="M40" i="17"/>
  <c r="L40" i="17"/>
  <c r="K40" i="17"/>
  <c r="O39" i="17"/>
  <c r="N39" i="17"/>
  <c r="M39" i="17"/>
  <c r="L39" i="17"/>
  <c r="K39" i="17"/>
  <c r="O38" i="17"/>
  <c r="N38" i="17"/>
  <c r="M38" i="17"/>
  <c r="L38" i="17"/>
  <c r="K38" i="17"/>
  <c r="O37" i="17"/>
  <c r="N37" i="17"/>
  <c r="M37" i="17"/>
  <c r="L37" i="17"/>
  <c r="K37" i="17"/>
  <c r="O35" i="17"/>
  <c r="N35" i="17"/>
  <c r="M35" i="17"/>
  <c r="L35" i="17"/>
  <c r="K35" i="17"/>
  <c r="O34" i="17"/>
  <c r="N34" i="17"/>
  <c r="M34" i="17"/>
  <c r="L34" i="17"/>
  <c r="K34" i="17"/>
  <c r="O33" i="17"/>
  <c r="N33" i="17"/>
  <c r="M33" i="17"/>
  <c r="L33" i="17"/>
  <c r="K33" i="17"/>
  <c r="O32" i="17"/>
  <c r="N32" i="17"/>
  <c r="M32" i="17"/>
  <c r="L32" i="17"/>
  <c r="K32" i="17"/>
  <c r="O31" i="17"/>
  <c r="N31" i="17"/>
  <c r="M31" i="17"/>
  <c r="L31" i="17"/>
  <c r="K31" i="17"/>
  <c r="O30" i="17"/>
  <c r="N30" i="17"/>
  <c r="M30" i="17"/>
  <c r="L30" i="17"/>
  <c r="K30" i="17"/>
  <c r="O28" i="17"/>
  <c r="N28" i="17"/>
  <c r="M28" i="17"/>
  <c r="L28" i="17"/>
  <c r="K28" i="17"/>
  <c r="O27" i="17"/>
  <c r="N27" i="17"/>
  <c r="M27" i="17"/>
  <c r="L27" i="17"/>
  <c r="K27" i="17"/>
  <c r="O26" i="17"/>
  <c r="N26" i="17"/>
  <c r="M26" i="17"/>
  <c r="L26" i="17"/>
  <c r="K26" i="17"/>
  <c r="O25" i="17"/>
  <c r="N25" i="17"/>
  <c r="M25" i="17"/>
  <c r="L25" i="17"/>
  <c r="K25" i="17"/>
  <c r="O24" i="17"/>
  <c r="N24" i="17"/>
  <c r="M24" i="17"/>
  <c r="L24" i="17"/>
  <c r="K24" i="17"/>
  <c r="O23" i="17"/>
  <c r="N23" i="17"/>
  <c r="M23" i="17"/>
  <c r="L23" i="17"/>
  <c r="K23" i="17"/>
  <c r="O21" i="17"/>
  <c r="N21" i="17"/>
  <c r="M21" i="17"/>
  <c r="L21" i="17"/>
  <c r="K21" i="17"/>
  <c r="O20" i="17"/>
  <c r="N20" i="17"/>
  <c r="M20" i="17"/>
  <c r="L20" i="17"/>
  <c r="K20" i="17"/>
  <c r="O19" i="17"/>
  <c r="N19" i="17"/>
  <c r="M19" i="17"/>
  <c r="L19" i="17"/>
  <c r="K19" i="17"/>
  <c r="O18" i="17"/>
  <c r="N18" i="17"/>
  <c r="M18" i="17"/>
  <c r="L18" i="17"/>
  <c r="K18" i="17"/>
  <c r="O17" i="17"/>
  <c r="N17" i="17"/>
  <c r="M17" i="17"/>
  <c r="L17" i="17"/>
  <c r="K17" i="17"/>
  <c r="O16" i="17"/>
  <c r="N16" i="17"/>
  <c r="M16" i="17"/>
  <c r="L16" i="17"/>
  <c r="K16" i="17"/>
  <c r="O14" i="17"/>
  <c r="N14" i="17"/>
  <c r="M14" i="17"/>
  <c r="L14" i="17"/>
  <c r="K14" i="17"/>
  <c r="O13" i="17"/>
  <c r="N13" i="17"/>
  <c r="M13" i="17"/>
  <c r="L13" i="17"/>
  <c r="K13" i="17"/>
  <c r="O12" i="17"/>
  <c r="N12" i="17"/>
  <c r="M12" i="17"/>
  <c r="L12" i="17"/>
  <c r="K12" i="17"/>
  <c r="O11" i="17"/>
  <c r="N11" i="17"/>
  <c r="M11" i="17"/>
  <c r="L11" i="17"/>
  <c r="K11" i="17"/>
  <c r="O10" i="17"/>
  <c r="N10" i="17"/>
  <c r="M10" i="17"/>
  <c r="L10" i="17"/>
  <c r="K10" i="17"/>
  <c r="O9" i="17"/>
  <c r="N9" i="17"/>
  <c r="M9" i="17"/>
  <c r="L9" i="17"/>
  <c r="K9" i="17"/>
  <c r="O7" i="17"/>
  <c r="N7" i="17"/>
  <c r="M7" i="17"/>
  <c r="L7" i="17"/>
  <c r="K7" i="17"/>
  <c r="O6" i="17"/>
  <c r="N6" i="17"/>
  <c r="M6" i="17"/>
  <c r="L6" i="17"/>
  <c r="K6" i="17"/>
  <c r="O5" i="17"/>
  <c r="N5" i="17"/>
  <c r="M5" i="17"/>
  <c r="L5" i="17"/>
  <c r="K5" i="17"/>
  <c r="O4" i="17"/>
  <c r="N4" i="17"/>
  <c r="M4" i="17"/>
  <c r="L4" i="17"/>
  <c r="K4" i="17"/>
  <c r="O3" i="17"/>
  <c r="N3" i="17"/>
  <c r="M3" i="17"/>
  <c r="L3" i="17"/>
  <c r="K3" i="17"/>
  <c r="O2" i="17"/>
  <c r="N2" i="17"/>
  <c r="M2" i="17"/>
  <c r="L2" i="17"/>
  <c r="K2" i="17"/>
  <c r="O56" i="28"/>
  <c r="N56" i="28"/>
  <c r="M56" i="28"/>
  <c r="L56" i="28"/>
  <c r="K56" i="28"/>
  <c r="O55" i="28"/>
  <c r="N55" i="28"/>
  <c r="M55" i="28"/>
  <c r="L55" i="28"/>
  <c r="K55" i="28"/>
  <c r="O54" i="28"/>
  <c r="N54" i="28"/>
  <c r="M54" i="28"/>
  <c r="L54" i="28"/>
  <c r="K54" i="28"/>
  <c r="O53" i="28"/>
  <c r="N53" i="28"/>
  <c r="M53" i="28"/>
  <c r="L53" i="28"/>
  <c r="K53" i="28"/>
  <c r="O52" i="28"/>
  <c r="N52" i="28"/>
  <c r="M52" i="28"/>
  <c r="L52" i="28"/>
  <c r="K52" i="28"/>
  <c r="O51" i="28"/>
  <c r="N51" i="28"/>
  <c r="M51" i="28"/>
  <c r="L51" i="28"/>
  <c r="K51" i="28"/>
  <c r="O49" i="28"/>
  <c r="N49" i="28"/>
  <c r="M49" i="28"/>
  <c r="L49" i="28"/>
  <c r="K49" i="28"/>
  <c r="O48" i="28"/>
  <c r="N48" i="28"/>
  <c r="M48" i="28"/>
  <c r="L48" i="28"/>
  <c r="K48" i="28"/>
  <c r="O47" i="28"/>
  <c r="N47" i="28"/>
  <c r="M47" i="28"/>
  <c r="L47" i="28"/>
  <c r="K47" i="28"/>
  <c r="O46" i="28"/>
  <c r="N46" i="28"/>
  <c r="M46" i="28"/>
  <c r="L46" i="28"/>
  <c r="K46" i="28"/>
  <c r="O45" i="28"/>
  <c r="N45" i="28"/>
  <c r="M45" i="28"/>
  <c r="L45" i="28"/>
  <c r="K45" i="28"/>
  <c r="O44" i="28"/>
  <c r="N44" i="28"/>
  <c r="M44" i="28"/>
  <c r="L44" i="28"/>
  <c r="K44" i="28"/>
  <c r="O42" i="28"/>
  <c r="N42" i="28"/>
  <c r="M42" i="28"/>
  <c r="L42" i="28"/>
  <c r="K42" i="28"/>
  <c r="O41" i="28"/>
  <c r="N41" i="28"/>
  <c r="M41" i="28"/>
  <c r="L41" i="28"/>
  <c r="K41" i="28"/>
  <c r="O40" i="28"/>
  <c r="N40" i="28"/>
  <c r="M40" i="28"/>
  <c r="L40" i="28"/>
  <c r="K40" i="28"/>
  <c r="O39" i="28"/>
  <c r="N39" i="28"/>
  <c r="M39" i="28"/>
  <c r="L39" i="28"/>
  <c r="K39" i="28"/>
  <c r="O38" i="28"/>
  <c r="N38" i="28"/>
  <c r="M38" i="28"/>
  <c r="L38" i="28"/>
  <c r="K38" i="28"/>
  <c r="O37" i="28"/>
  <c r="N37" i="28"/>
  <c r="M37" i="28"/>
  <c r="L37" i="28"/>
  <c r="K37" i="28"/>
  <c r="O35" i="28"/>
  <c r="N35" i="28"/>
  <c r="M35" i="28"/>
  <c r="L35" i="28"/>
  <c r="K35" i="28"/>
  <c r="O34" i="28"/>
  <c r="N34" i="28"/>
  <c r="M34" i="28"/>
  <c r="L34" i="28"/>
  <c r="K34" i="28"/>
  <c r="O33" i="28"/>
  <c r="N33" i="28"/>
  <c r="M33" i="28"/>
  <c r="L33" i="28"/>
  <c r="K33" i="28"/>
  <c r="O32" i="28"/>
  <c r="N32" i="28"/>
  <c r="M32" i="28"/>
  <c r="L32" i="28"/>
  <c r="K32" i="28"/>
  <c r="O31" i="28"/>
  <c r="N31" i="28"/>
  <c r="M31" i="28"/>
  <c r="L31" i="28"/>
  <c r="K31" i="28"/>
  <c r="O30" i="28"/>
  <c r="N30" i="28"/>
  <c r="M30" i="28"/>
  <c r="L30" i="28"/>
  <c r="K30" i="28"/>
  <c r="O28" i="28"/>
  <c r="N28" i="28"/>
  <c r="M28" i="28"/>
  <c r="L28" i="28"/>
  <c r="K28" i="28"/>
  <c r="O27" i="28"/>
  <c r="N27" i="28"/>
  <c r="M27" i="28"/>
  <c r="L27" i="28"/>
  <c r="K27" i="28"/>
  <c r="O26" i="28"/>
  <c r="N26" i="28"/>
  <c r="M26" i="28"/>
  <c r="L26" i="28"/>
  <c r="K26" i="28"/>
  <c r="O25" i="28"/>
  <c r="N25" i="28"/>
  <c r="M25" i="28"/>
  <c r="L25" i="28"/>
  <c r="K25" i="28"/>
  <c r="O24" i="28"/>
  <c r="N24" i="28"/>
  <c r="M24" i="28"/>
  <c r="L24" i="28"/>
  <c r="K24" i="28"/>
  <c r="O23" i="28"/>
  <c r="N23" i="28"/>
  <c r="M23" i="28"/>
  <c r="L23" i="28"/>
  <c r="K23" i="28"/>
  <c r="O21" i="28"/>
  <c r="N21" i="28"/>
  <c r="M21" i="28"/>
  <c r="L21" i="28"/>
  <c r="K21" i="28"/>
  <c r="O20" i="28"/>
  <c r="N20" i="28"/>
  <c r="M20" i="28"/>
  <c r="L20" i="28"/>
  <c r="K20" i="28"/>
  <c r="O19" i="28"/>
  <c r="N19" i="28"/>
  <c r="M19" i="28"/>
  <c r="L19" i="28"/>
  <c r="K19" i="28"/>
  <c r="O18" i="28"/>
  <c r="N18" i="28"/>
  <c r="M18" i="28"/>
  <c r="L18" i="28"/>
  <c r="K18" i="28"/>
  <c r="O17" i="28"/>
  <c r="N17" i="28"/>
  <c r="M17" i="28"/>
  <c r="L17" i="28"/>
  <c r="K17" i="28"/>
  <c r="O16" i="28"/>
  <c r="N16" i="28"/>
  <c r="M16" i="28"/>
  <c r="L16" i="28"/>
  <c r="K16" i="28"/>
  <c r="O14" i="28"/>
  <c r="N14" i="28"/>
  <c r="M14" i="28"/>
  <c r="L14" i="28"/>
  <c r="K14" i="28"/>
  <c r="O13" i="28"/>
  <c r="N13" i="28"/>
  <c r="M13" i="28"/>
  <c r="L13" i="28"/>
  <c r="K13" i="28"/>
  <c r="O12" i="28"/>
  <c r="N12" i="28"/>
  <c r="M12" i="28"/>
  <c r="L12" i="28"/>
  <c r="K12" i="28"/>
  <c r="O11" i="28"/>
  <c r="N11" i="28"/>
  <c r="M11" i="28"/>
  <c r="L11" i="28"/>
  <c r="K11" i="28"/>
  <c r="O10" i="28"/>
  <c r="N10" i="28"/>
  <c r="M10" i="28"/>
  <c r="L10" i="28"/>
  <c r="K10" i="28"/>
  <c r="O9" i="28"/>
  <c r="N9" i="28"/>
  <c r="M9" i="28"/>
  <c r="L9" i="28"/>
  <c r="K9" i="28"/>
  <c r="O7" i="28"/>
  <c r="N7" i="28"/>
  <c r="M7" i="28"/>
  <c r="L7" i="28"/>
  <c r="K7" i="28"/>
  <c r="O6" i="28"/>
  <c r="N6" i="28"/>
  <c r="M6" i="28"/>
  <c r="L6" i="28"/>
  <c r="K6" i="28"/>
  <c r="O5" i="28"/>
  <c r="N5" i="28"/>
  <c r="M5" i="28"/>
  <c r="L5" i="28"/>
  <c r="K5" i="28"/>
  <c r="O4" i="28"/>
  <c r="N4" i="28"/>
  <c r="M4" i="28"/>
  <c r="L4" i="28"/>
  <c r="K4" i="28"/>
  <c r="O3" i="28"/>
  <c r="N3" i="28"/>
  <c r="M3" i="28"/>
  <c r="L3" i="28"/>
  <c r="K3" i="28"/>
  <c r="O2" i="28"/>
  <c r="N2" i="28"/>
  <c r="M2" i="28"/>
  <c r="L2" i="28"/>
  <c r="K2" i="28"/>
  <c r="O56" i="29"/>
  <c r="N56" i="29"/>
  <c r="M56" i="29"/>
  <c r="L56" i="29"/>
  <c r="K56" i="29"/>
  <c r="O55" i="29"/>
  <c r="N55" i="29"/>
  <c r="M55" i="29"/>
  <c r="L55" i="29"/>
  <c r="K55" i="29"/>
  <c r="O54" i="29"/>
  <c r="N54" i="29"/>
  <c r="M54" i="29"/>
  <c r="L54" i="29"/>
  <c r="K54" i="29"/>
  <c r="O53" i="29"/>
  <c r="N53" i="29"/>
  <c r="M53" i="29"/>
  <c r="L53" i="29"/>
  <c r="K53" i="29"/>
  <c r="O52" i="29"/>
  <c r="N52" i="29"/>
  <c r="M52" i="29"/>
  <c r="L52" i="29"/>
  <c r="K52" i="29"/>
  <c r="O51" i="29"/>
  <c r="N51" i="29"/>
  <c r="M51" i="29"/>
  <c r="L51" i="29"/>
  <c r="K51" i="29"/>
  <c r="O49" i="29"/>
  <c r="N49" i="29"/>
  <c r="M49" i="29"/>
  <c r="L49" i="29"/>
  <c r="K49" i="29"/>
  <c r="O48" i="29"/>
  <c r="N48" i="29"/>
  <c r="M48" i="29"/>
  <c r="L48" i="29"/>
  <c r="K48" i="29"/>
  <c r="O47" i="29"/>
  <c r="N47" i="29"/>
  <c r="M47" i="29"/>
  <c r="L47" i="29"/>
  <c r="K47" i="29"/>
  <c r="O46" i="29"/>
  <c r="N46" i="29"/>
  <c r="M46" i="29"/>
  <c r="L46" i="29"/>
  <c r="K46" i="29"/>
  <c r="O45" i="29"/>
  <c r="N45" i="29"/>
  <c r="M45" i="29"/>
  <c r="L45" i="29"/>
  <c r="K45" i="29"/>
  <c r="O44" i="29"/>
  <c r="N44" i="29"/>
  <c r="M44" i="29"/>
  <c r="L44" i="29"/>
  <c r="K44" i="29"/>
  <c r="O42" i="29"/>
  <c r="N42" i="29"/>
  <c r="M42" i="29"/>
  <c r="L42" i="29"/>
  <c r="K42" i="29"/>
  <c r="O41" i="29"/>
  <c r="N41" i="29"/>
  <c r="M41" i="29"/>
  <c r="L41" i="29"/>
  <c r="K41" i="29"/>
  <c r="O40" i="29"/>
  <c r="N40" i="29"/>
  <c r="M40" i="29"/>
  <c r="L40" i="29"/>
  <c r="K40" i="29"/>
  <c r="O39" i="29"/>
  <c r="N39" i="29"/>
  <c r="M39" i="29"/>
  <c r="L39" i="29"/>
  <c r="K39" i="29"/>
  <c r="O38" i="29"/>
  <c r="N38" i="29"/>
  <c r="M38" i="29"/>
  <c r="L38" i="29"/>
  <c r="K38" i="29"/>
  <c r="O37" i="29"/>
  <c r="N37" i="29"/>
  <c r="M37" i="29"/>
  <c r="L37" i="29"/>
  <c r="K37" i="29"/>
  <c r="O35" i="29"/>
  <c r="N35" i="29"/>
  <c r="M35" i="29"/>
  <c r="L35" i="29"/>
  <c r="K35" i="29"/>
  <c r="O34" i="29"/>
  <c r="N34" i="29"/>
  <c r="M34" i="29"/>
  <c r="L34" i="29"/>
  <c r="K34" i="29"/>
  <c r="O33" i="29"/>
  <c r="N33" i="29"/>
  <c r="M33" i="29"/>
  <c r="L33" i="29"/>
  <c r="K33" i="29"/>
  <c r="O32" i="29"/>
  <c r="N32" i="29"/>
  <c r="M32" i="29"/>
  <c r="L32" i="29"/>
  <c r="K32" i="29"/>
  <c r="O31" i="29"/>
  <c r="N31" i="29"/>
  <c r="M31" i="29"/>
  <c r="L31" i="29"/>
  <c r="K31" i="29"/>
  <c r="O30" i="29"/>
  <c r="N30" i="29"/>
  <c r="M30" i="29"/>
  <c r="L30" i="29"/>
  <c r="K30" i="29"/>
  <c r="O28" i="29"/>
  <c r="N28" i="29"/>
  <c r="M28" i="29"/>
  <c r="L28" i="29"/>
  <c r="K28" i="29"/>
  <c r="O27" i="29"/>
  <c r="N27" i="29"/>
  <c r="M27" i="29"/>
  <c r="L27" i="29"/>
  <c r="K27" i="29"/>
  <c r="O26" i="29"/>
  <c r="N26" i="29"/>
  <c r="M26" i="29"/>
  <c r="L26" i="29"/>
  <c r="K26" i="29"/>
  <c r="O25" i="29"/>
  <c r="N25" i="29"/>
  <c r="M25" i="29"/>
  <c r="L25" i="29"/>
  <c r="K25" i="29"/>
  <c r="O24" i="29"/>
  <c r="N24" i="29"/>
  <c r="M24" i="29"/>
  <c r="L24" i="29"/>
  <c r="K24" i="29"/>
  <c r="O23" i="29"/>
  <c r="N23" i="29"/>
  <c r="M23" i="29"/>
  <c r="L23" i="29"/>
  <c r="K23" i="29"/>
  <c r="O21" i="29"/>
  <c r="N21" i="29"/>
  <c r="M21" i="29"/>
  <c r="L21" i="29"/>
  <c r="K21" i="29"/>
  <c r="O20" i="29"/>
  <c r="N20" i="29"/>
  <c r="M20" i="29"/>
  <c r="L20" i="29"/>
  <c r="K20" i="29"/>
  <c r="O19" i="29"/>
  <c r="N19" i="29"/>
  <c r="M19" i="29"/>
  <c r="L19" i="29"/>
  <c r="K19" i="29"/>
  <c r="O18" i="29"/>
  <c r="N18" i="29"/>
  <c r="M18" i="29"/>
  <c r="L18" i="29"/>
  <c r="K18" i="29"/>
  <c r="O17" i="29"/>
  <c r="N17" i="29"/>
  <c r="M17" i="29"/>
  <c r="L17" i="29"/>
  <c r="K17" i="29"/>
  <c r="O16" i="29"/>
  <c r="N16" i="29"/>
  <c r="M16" i="29"/>
  <c r="L16" i="29"/>
  <c r="K16" i="29"/>
  <c r="O14" i="29"/>
  <c r="N14" i="29"/>
  <c r="M14" i="29"/>
  <c r="L14" i="29"/>
  <c r="K14" i="29"/>
  <c r="O13" i="29"/>
  <c r="N13" i="29"/>
  <c r="M13" i="29"/>
  <c r="L13" i="29"/>
  <c r="K13" i="29"/>
  <c r="O12" i="29"/>
  <c r="N12" i="29"/>
  <c r="M12" i="29"/>
  <c r="L12" i="29"/>
  <c r="K12" i="29"/>
  <c r="P8" i="31"/>
  <c r="O11" i="29"/>
  <c r="N11" i="29"/>
  <c r="M11" i="29"/>
  <c r="L11" i="29"/>
  <c r="K11" i="29"/>
  <c r="O10" i="29"/>
  <c r="N10" i="29"/>
  <c r="M10" i="29"/>
  <c r="L10" i="29"/>
  <c r="K10" i="29"/>
  <c r="O9" i="29"/>
  <c r="N9" i="29"/>
  <c r="M9" i="29"/>
  <c r="L9" i="29"/>
  <c r="K9" i="29"/>
  <c r="O7" i="29"/>
  <c r="N7" i="29"/>
  <c r="M7" i="29"/>
  <c r="L7" i="29"/>
  <c r="K7" i="29"/>
  <c r="O6" i="29"/>
  <c r="N6" i="29"/>
  <c r="M6" i="29"/>
  <c r="L6" i="29"/>
  <c r="K6" i="29"/>
  <c r="O5" i="29"/>
  <c r="N5" i="29"/>
  <c r="M5" i="29"/>
  <c r="L5" i="29"/>
  <c r="K5" i="29"/>
  <c r="O4" i="29"/>
  <c r="N4" i="29"/>
  <c r="M4" i="29"/>
  <c r="L4" i="29"/>
  <c r="K4" i="29"/>
  <c r="O3" i="29"/>
  <c r="N3" i="29"/>
  <c r="M3" i="29"/>
  <c r="L3" i="29"/>
  <c r="K3" i="29"/>
  <c r="O2" i="29"/>
  <c r="N2" i="29"/>
  <c r="M2" i="29"/>
  <c r="L2" i="29"/>
  <c r="K2" i="29"/>
  <c r="P5" i="31"/>
  <c r="O56" i="6"/>
  <c r="N56" i="6"/>
  <c r="M56" i="6"/>
  <c r="L56" i="6"/>
  <c r="K56" i="6"/>
  <c r="O55" i="6"/>
  <c r="N55" i="6"/>
  <c r="M55" i="6"/>
  <c r="L55" i="6"/>
  <c r="K55" i="6"/>
  <c r="O54" i="6"/>
  <c r="N54" i="6"/>
  <c r="M54" i="6"/>
  <c r="L54" i="6"/>
  <c r="K54" i="6"/>
  <c r="O53" i="6"/>
  <c r="N53" i="6"/>
  <c r="M53" i="6"/>
  <c r="L53" i="6"/>
  <c r="K53" i="6"/>
  <c r="O52" i="6"/>
  <c r="N52" i="6"/>
  <c r="M52" i="6"/>
  <c r="L52" i="6"/>
  <c r="K52" i="6"/>
  <c r="O51" i="6"/>
  <c r="N51" i="6"/>
  <c r="M51" i="6"/>
  <c r="L51" i="6"/>
  <c r="K51" i="6"/>
  <c r="O49" i="6"/>
  <c r="N49" i="6"/>
  <c r="M49" i="6"/>
  <c r="L49" i="6"/>
  <c r="K49" i="6"/>
  <c r="O48" i="6"/>
  <c r="N48" i="6"/>
  <c r="M48" i="6"/>
  <c r="L48" i="6"/>
  <c r="K48" i="6"/>
  <c r="O47" i="6"/>
  <c r="N47" i="6"/>
  <c r="M47" i="6"/>
  <c r="L47" i="6"/>
  <c r="K47" i="6"/>
  <c r="O46" i="6"/>
  <c r="N46" i="6"/>
  <c r="M46" i="6"/>
  <c r="L46" i="6"/>
  <c r="K46" i="6"/>
  <c r="O45" i="6"/>
  <c r="N45" i="6"/>
  <c r="M45" i="6"/>
  <c r="L45" i="6"/>
  <c r="K45" i="6"/>
  <c r="O44" i="6"/>
  <c r="N44" i="6"/>
  <c r="M44" i="6"/>
  <c r="L44" i="6"/>
  <c r="K44" i="6"/>
  <c r="O42" i="6"/>
  <c r="N42" i="6"/>
  <c r="M42" i="6"/>
  <c r="L42" i="6"/>
  <c r="K42" i="6"/>
  <c r="O41" i="6"/>
  <c r="N41" i="6"/>
  <c r="M41" i="6"/>
  <c r="L41" i="6"/>
  <c r="K41" i="6"/>
  <c r="O40" i="6"/>
  <c r="N40" i="6"/>
  <c r="M40" i="6"/>
  <c r="L40" i="6"/>
  <c r="K40" i="6"/>
  <c r="O39" i="6"/>
  <c r="N39" i="6"/>
  <c r="M39" i="6"/>
  <c r="L39" i="6"/>
  <c r="K39" i="6"/>
  <c r="O38" i="6"/>
  <c r="N38" i="6"/>
  <c r="M38" i="6"/>
  <c r="L38" i="6"/>
  <c r="K38" i="6"/>
  <c r="O37" i="6"/>
  <c r="N37" i="6"/>
  <c r="M37" i="6"/>
  <c r="L37" i="6"/>
  <c r="K37" i="6"/>
  <c r="O35" i="6"/>
  <c r="N35" i="6"/>
  <c r="M35" i="6"/>
  <c r="L35" i="6"/>
  <c r="K35" i="6"/>
  <c r="O34" i="6"/>
  <c r="N34" i="6"/>
  <c r="M34" i="6"/>
  <c r="L34" i="6"/>
  <c r="K34" i="6"/>
  <c r="O33" i="6"/>
  <c r="N33" i="6"/>
  <c r="M33" i="6"/>
  <c r="L33" i="6"/>
  <c r="K33" i="6"/>
  <c r="O32" i="6"/>
  <c r="N32" i="6"/>
  <c r="M32" i="6"/>
  <c r="L32" i="6"/>
  <c r="K32" i="6"/>
  <c r="O31" i="6"/>
  <c r="N31" i="6"/>
  <c r="M31" i="6"/>
  <c r="L31" i="6"/>
  <c r="K31" i="6"/>
  <c r="O30" i="6"/>
  <c r="N30" i="6"/>
  <c r="M30" i="6"/>
  <c r="L30" i="6"/>
  <c r="K30" i="6"/>
  <c r="O28" i="6"/>
  <c r="N28" i="6"/>
  <c r="M28" i="6"/>
  <c r="L28" i="6"/>
  <c r="K28" i="6"/>
  <c r="O27" i="6"/>
  <c r="N27" i="6"/>
  <c r="M27" i="6"/>
  <c r="L27" i="6"/>
  <c r="K27" i="6"/>
  <c r="O26" i="6"/>
  <c r="N26" i="6"/>
  <c r="M26" i="6"/>
  <c r="L26" i="6"/>
  <c r="K26" i="6"/>
  <c r="O25" i="6"/>
  <c r="N25" i="6"/>
  <c r="M25" i="6"/>
  <c r="L25" i="6"/>
  <c r="K25" i="6"/>
  <c r="O24" i="6"/>
  <c r="N24" i="6"/>
  <c r="M24" i="6"/>
  <c r="L24" i="6"/>
  <c r="K24" i="6"/>
  <c r="O23" i="6"/>
  <c r="N23" i="6"/>
  <c r="M23" i="6"/>
  <c r="L23" i="6"/>
  <c r="K23" i="6"/>
  <c r="O21" i="6"/>
  <c r="N21" i="6"/>
  <c r="M21" i="6"/>
  <c r="L21" i="6"/>
  <c r="K21" i="6"/>
  <c r="O20" i="6"/>
  <c r="N20" i="6"/>
  <c r="M20" i="6"/>
  <c r="L20" i="6"/>
  <c r="K20" i="6"/>
  <c r="O19" i="6"/>
  <c r="N19" i="6"/>
  <c r="M19" i="6"/>
  <c r="L19" i="6"/>
  <c r="K19" i="6"/>
  <c r="O18" i="6"/>
  <c r="N18" i="6"/>
  <c r="M18" i="6"/>
  <c r="L18" i="6"/>
  <c r="K18" i="6"/>
  <c r="O17" i="6"/>
  <c r="N17" i="6"/>
  <c r="M17" i="6"/>
  <c r="L17" i="6"/>
  <c r="K17" i="6"/>
  <c r="O16" i="6"/>
  <c r="N16" i="6"/>
  <c r="M16" i="6"/>
  <c r="L16" i="6"/>
  <c r="K16" i="6"/>
  <c r="O14" i="6"/>
  <c r="N14" i="6"/>
  <c r="M14" i="6"/>
  <c r="L14" i="6"/>
  <c r="K14" i="6"/>
  <c r="O13" i="6"/>
  <c r="N13" i="6"/>
  <c r="M13" i="6"/>
  <c r="L13" i="6"/>
  <c r="K13" i="6"/>
  <c r="O12" i="6"/>
  <c r="N12" i="6"/>
  <c r="M12" i="6"/>
  <c r="L12" i="6"/>
  <c r="K12" i="6"/>
  <c r="O11" i="6"/>
  <c r="N11" i="6"/>
  <c r="M11" i="6"/>
  <c r="L11" i="6"/>
  <c r="K11" i="6"/>
  <c r="O10" i="6"/>
  <c r="N10" i="6"/>
  <c r="M10" i="6"/>
  <c r="L10" i="6"/>
  <c r="K10" i="6"/>
  <c r="O9" i="6"/>
  <c r="N9" i="6"/>
  <c r="M9" i="6"/>
  <c r="L9" i="6"/>
  <c r="K9" i="6"/>
  <c r="O7" i="6"/>
  <c r="N7" i="6"/>
  <c r="M7" i="6"/>
  <c r="L7" i="6"/>
  <c r="K7" i="6"/>
  <c r="O6" i="6"/>
  <c r="N6" i="6"/>
  <c r="M6" i="6"/>
  <c r="L6" i="6"/>
  <c r="K6" i="6"/>
  <c r="O5" i="6"/>
  <c r="N5" i="6"/>
  <c r="M5" i="6"/>
  <c r="L5" i="6"/>
  <c r="K5" i="6"/>
  <c r="O4" i="6"/>
  <c r="N4" i="6"/>
  <c r="M4" i="6"/>
  <c r="L4" i="6"/>
  <c r="K4" i="6"/>
  <c r="O3" i="6"/>
  <c r="N3" i="6"/>
  <c r="M3" i="6"/>
  <c r="L3" i="6"/>
  <c r="K3" i="6"/>
  <c r="O2" i="6"/>
  <c r="N2" i="6"/>
  <c r="M2" i="6"/>
  <c r="L2" i="6"/>
  <c r="K2" i="6"/>
  <c r="O56" i="11"/>
  <c r="N56" i="11"/>
  <c r="M56" i="11"/>
  <c r="L56" i="11"/>
  <c r="K56" i="11"/>
  <c r="O55" i="11"/>
  <c r="N55" i="11"/>
  <c r="M55" i="11"/>
  <c r="L55" i="11"/>
  <c r="K55" i="11"/>
  <c r="O54" i="11"/>
  <c r="N54" i="11"/>
  <c r="M54" i="11"/>
  <c r="L54" i="11"/>
  <c r="K54" i="11"/>
  <c r="O53" i="11"/>
  <c r="N53" i="11"/>
  <c r="M53" i="11"/>
  <c r="L53" i="11"/>
  <c r="K53" i="11"/>
  <c r="O52" i="11"/>
  <c r="N52" i="11"/>
  <c r="M52" i="11"/>
  <c r="L52" i="11"/>
  <c r="K52" i="11"/>
  <c r="O51" i="11"/>
  <c r="N51" i="11"/>
  <c r="M51" i="11"/>
  <c r="L51" i="11"/>
  <c r="K51" i="11"/>
  <c r="O49" i="11"/>
  <c r="N49" i="11"/>
  <c r="M49" i="11"/>
  <c r="L49" i="11"/>
  <c r="K49" i="11"/>
  <c r="O48" i="11"/>
  <c r="N48" i="11"/>
  <c r="M48" i="11"/>
  <c r="L48" i="11"/>
  <c r="K48" i="11"/>
  <c r="O47" i="11"/>
  <c r="N47" i="11"/>
  <c r="M47" i="11"/>
  <c r="L47" i="11"/>
  <c r="K47" i="11"/>
  <c r="O46" i="11"/>
  <c r="N46" i="11"/>
  <c r="M46" i="11"/>
  <c r="L46" i="11"/>
  <c r="K46" i="11"/>
  <c r="O45" i="11"/>
  <c r="N45" i="11"/>
  <c r="M45" i="11"/>
  <c r="L45" i="11"/>
  <c r="K45" i="11"/>
  <c r="O44" i="11"/>
  <c r="N44" i="11"/>
  <c r="M44" i="11"/>
  <c r="L44" i="11"/>
  <c r="K44" i="11"/>
  <c r="O42" i="11"/>
  <c r="N42" i="11"/>
  <c r="M42" i="11"/>
  <c r="L42" i="11"/>
  <c r="K42" i="11"/>
  <c r="O41" i="11"/>
  <c r="N41" i="11"/>
  <c r="M41" i="11"/>
  <c r="L41" i="11"/>
  <c r="K41" i="11"/>
  <c r="O40" i="11"/>
  <c r="N40" i="11"/>
  <c r="M40" i="11"/>
  <c r="L40" i="11"/>
  <c r="K40" i="11"/>
  <c r="O39" i="11"/>
  <c r="N39" i="11"/>
  <c r="M39" i="11"/>
  <c r="L39" i="11"/>
  <c r="K39" i="11"/>
  <c r="O38" i="11"/>
  <c r="N38" i="11"/>
  <c r="M38" i="11"/>
  <c r="L38" i="11"/>
  <c r="K38" i="11"/>
  <c r="O37" i="11"/>
  <c r="N37" i="11"/>
  <c r="M37" i="11"/>
  <c r="L37" i="11"/>
  <c r="K37" i="11"/>
  <c r="O35" i="11"/>
  <c r="N35" i="11"/>
  <c r="M35" i="11"/>
  <c r="L35" i="11"/>
  <c r="K35" i="11"/>
  <c r="O34" i="11"/>
  <c r="N34" i="11"/>
  <c r="M34" i="11"/>
  <c r="L34" i="11"/>
  <c r="K34" i="11"/>
  <c r="O33" i="11"/>
  <c r="N33" i="11"/>
  <c r="M33" i="11"/>
  <c r="L33" i="11"/>
  <c r="K33" i="11"/>
  <c r="O32" i="11"/>
  <c r="N32" i="11"/>
  <c r="M32" i="11"/>
  <c r="L32" i="11"/>
  <c r="K32" i="11"/>
  <c r="O31" i="11"/>
  <c r="N31" i="11"/>
  <c r="M31" i="11"/>
  <c r="L31" i="11"/>
  <c r="K31" i="11"/>
  <c r="O30" i="11"/>
  <c r="N30" i="11"/>
  <c r="M30" i="11"/>
  <c r="L30" i="11"/>
  <c r="K30" i="11"/>
  <c r="O28" i="11"/>
  <c r="N28" i="11"/>
  <c r="M28" i="11"/>
  <c r="L28" i="11"/>
  <c r="K28" i="11"/>
  <c r="O27" i="11"/>
  <c r="N27" i="11"/>
  <c r="M27" i="11"/>
  <c r="L27" i="11"/>
  <c r="K27" i="11"/>
  <c r="O26" i="11"/>
  <c r="N26" i="11"/>
  <c r="M26" i="11"/>
  <c r="L26" i="11"/>
  <c r="K26" i="11"/>
  <c r="O25" i="11"/>
  <c r="N25" i="11"/>
  <c r="M25" i="11"/>
  <c r="L25" i="11"/>
  <c r="K25" i="11"/>
  <c r="O24" i="11"/>
  <c r="N24" i="11"/>
  <c r="M24" i="11"/>
  <c r="L24" i="11"/>
  <c r="K24" i="11"/>
  <c r="O23" i="11"/>
  <c r="N23" i="11"/>
  <c r="M23" i="11"/>
  <c r="L23" i="11"/>
  <c r="K23" i="11"/>
  <c r="O21" i="11"/>
  <c r="N21" i="11"/>
  <c r="M21" i="11"/>
  <c r="L21" i="11"/>
  <c r="K21" i="11"/>
  <c r="O20" i="11"/>
  <c r="N20" i="11"/>
  <c r="M20" i="11"/>
  <c r="L20" i="11"/>
  <c r="K20" i="11"/>
  <c r="O19" i="11"/>
  <c r="N19" i="11"/>
  <c r="M19" i="11"/>
  <c r="L19" i="11"/>
  <c r="K19" i="11"/>
  <c r="O18" i="11"/>
  <c r="N18" i="11"/>
  <c r="M18" i="11"/>
  <c r="L18" i="11"/>
  <c r="K18" i="11"/>
  <c r="O17" i="11"/>
  <c r="N17" i="11"/>
  <c r="M17" i="11"/>
  <c r="L17" i="11"/>
  <c r="K17" i="11"/>
  <c r="O16" i="11"/>
  <c r="N16" i="11"/>
  <c r="M16" i="11"/>
  <c r="L16" i="11"/>
  <c r="K16" i="11"/>
  <c r="O14" i="11"/>
  <c r="N14" i="11"/>
  <c r="M14" i="11"/>
  <c r="L14" i="11"/>
  <c r="K14" i="11"/>
  <c r="O13" i="11"/>
  <c r="N13" i="11"/>
  <c r="M13" i="11"/>
  <c r="L13" i="11"/>
  <c r="K13" i="11"/>
  <c r="O12" i="11"/>
  <c r="N12" i="11"/>
  <c r="M12" i="11"/>
  <c r="L12" i="11"/>
  <c r="K12" i="11"/>
  <c r="O11" i="11"/>
  <c r="N11" i="11"/>
  <c r="M11" i="11"/>
  <c r="L11" i="11"/>
  <c r="K11" i="11"/>
  <c r="O10" i="11"/>
  <c r="N10" i="11"/>
  <c r="M10" i="11"/>
  <c r="L10" i="11"/>
  <c r="K10" i="11"/>
  <c r="O9" i="11"/>
  <c r="N9" i="11"/>
  <c r="M9" i="11"/>
  <c r="L9" i="11"/>
  <c r="K9" i="11"/>
  <c r="O7" i="11"/>
  <c r="N7" i="11"/>
  <c r="M7" i="11"/>
  <c r="L7" i="11"/>
  <c r="K7" i="11"/>
  <c r="O6" i="11"/>
  <c r="N6" i="11"/>
  <c r="M6" i="11"/>
  <c r="L6" i="11"/>
  <c r="K6" i="11"/>
  <c r="O5" i="11"/>
  <c r="N5" i="11"/>
  <c r="M5" i="11"/>
  <c r="L5" i="11"/>
  <c r="K5" i="11"/>
  <c r="O4" i="11"/>
  <c r="N4" i="11"/>
  <c r="M4" i="11"/>
  <c r="L4" i="11"/>
  <c r="K4" i="11"/>
  <c r="O3" i="11"/>
  <c r="N3" i="11"/>
  <c r="M3" i="11"/>
  <c r="L3" i="11"/>
  <c r="K3" i="11"/>
  <c r="O2" i="11"/>
  <c r="N2" i="11"/>
  <c r="M2" i="11"/>
  <c r="L2" i="11"/>
  <c r="K2" i="11"/>
  <c r="O56" i="10"/>
  <c r="N56" i="10"/>
  <c r="M56" i="10"/>
  <c r="L56" i="10"/>
  <c r="K56" i="10"/>
  <c r="O55" i="10"/>
  <c r="N55" i="10"/>
  <c r="M55" i="10"/>
  <c r="L55" i="10"/>
  <c r="K55" i="10"/>
  <c r="O54" i="10"/>
  <c r="N54" i="10"/>
  <c r="M54" i="10"/>
  <c r="L54" i="10"/>
  <c r="K54" i="10"/>
  <c r="O53" i="10"/>
  <c r="N53" i="10"/>
  <c r="M53" i="10"/>
  <c r="L53" i="10"/>
  <c r="K53" i="10"/>
  <c r="O52" i="10"/>
  <c r="N52" i="10"/>
  <c r="M52" i="10"/>
  <c r="L52" i="10"/>
  <c r="K52" i="10"/>
  <c r="O51" i="10"/>
  <c r="N51" i="10"/>
  <c r="M51" i="10"/>
  <c r="L51" i="10"/>
  <c r="K51" i="10"/>
  <c r="O49" i="10"/>
  <c r="N49" i="10"/>
  <c r="M49" i="10"/>
  <c r="L49" i="10"/>
  <c r="K49" i="10"/>
  <c r="O48" i="10"/>
  <c r="N48" i="10"/>
  <c r="M48" i="10"/>
  <c r="L48" i="10"/>
  <c r="K48" i="10"/>
  <c r="O47" i="10"/>
  <c r="N47" i="10"/>
  <c r="M47" i="10"/>
  <c r="L47" i="10"/>
  <c r="K47" i="10"/>
  <c r="O46" i="10"/>
  <c r="N46" i="10"/>
  <c r="M46" i="10"/>
  <c r="L46" i="10"/>
  <c r="K46" i="10"/>
  <c r="O45" i="10"/>
  <c r="N45" i="10"/>
  <c r="M45" i="10"/>
  <c r="L45" i="10"/>
  <c r="K45" i="10"/>
  <c r="O44" i="10"/>
  <c r="N44" i="10"/>
  <c r="M44" i="10"/>
  <c r="L44" i="10"/>
  <c r="K44" i="10"/>
  <c r="O42" i="10"/>
  <c r="N42" i="10"/>
  <c r="M42" i="10"/>
  <c r="L42" i="10"/>
  <c r="K42" i="10"/>
  <c r="O41" i="10"/>
  <c r="N41" i="10"/>
  <c r="M41" i="10"/>
  <c r="L41" i="10"/>
  <c r="K41" i="10"/>
  <c r="O40" i="10"/>
  <c r="N40" i="10"/>
  <c r="M40" i="10"/>
  <c r="L40" i="10"/>
  <c r="K40" i="10"/>
  <c r="O39" i="10"/>
  <c r="N39" i="10"/>
  <c r="M39" i="10"/>
  <c r="L39" i="10"/>
  <c r="K39" i="10"/>
  <c r="O38" i="10"/>
  <c r="N38" i="10"/>
  <c r="M38" i="10"/>
  <c r="L38" i="10"/>
  <c r="K38" i="10"/>
  <c r="O37" i="10"/>
  <c r="N37" i="10"/>
  <c r="M37" i="10"/>
  <c r="L37" i="10"/>
  <c r="K37" i="10"/>
  <c r="O35" i="10"/>
  <c r="N35" i="10"/>
  <c r="M35" i="10"/>
  <c r="L35" i="10"/>
  <c r="K35" i="10"/>
  <c r="O34" i="10"/>
  <c r="N34" i="10"/>
  <c r="M34" i="10"/>
  <c r="L34" i="10"/>
  <c r="K34" i="10"/>
  <c r="O33" i="10"/>
  <c r="N33" i="10"/>
  <c r="M33" i="10"/>
  <c r="L33" i="10"/>
  <c r="K33" i="10"/>
  <c r="O32" i="10"/>
  <c r="N32" i="10"/>
  <c r="M32" i="10"/>
  <c r="L32" i="10"/>
  <c r="K32" i="10"/>
  <c r="O31" i="10"/>
  <c r="N31" i="10"/>
  <c r="M31" i="10"/>
  <c r="L31" i="10"/>
  <c r="K31" i="10"/>
  <c r="O30" i="10"/>
  <c r="N30" i="10"/>
  <c r="M30" i="10"/>
  <c r="L30" i="10"/>
  <c r="K30" i="10"/>
  <c r="O28" i="10"/>
  <c r="N28" i="10"/>
  <c r="M28" i="10"/>
  <c r="L28" i="10"/>
  <c r="K28" i="10"/>
  <c r="O27" i="10"/>
  <c r="N27" i="10"/>
  <c r="M27" i="10"/>
  <c r="L27" i="10"/>
  <c r="K27" i="10"/>
  <c r="O26" i="10"/>
  <c r="N26" i="10"/>
  <c r="M26" i="10"/>
  <c r="L26" i="10"/>
  <c r="K26" i="10"/>
  <c r="O25" i="10"/>
  <c r="N25" i="10"/>
  <c r="M25" i="10"/>
  <c r="L25" i="10"/>
  <c r="K25" i="10"/>
  <c r="O24" i="10"/>
  <c r="N24" i="10"/>
  <c r="M24" i="10"/>
  <c r="L24" i="10"/>
  <c r="K24" i="10"/>
  <c r="O23" i="10"/>
  <c r="N23" i="10"/>
  <c r="M23" i="10"/>
  <c r="L23" i="10"/>
  <c r="K23" i="10"/>
  <c r="O21" i="10"/>
  <c r="N21" i="10"/>
  <c r="M21" i="10"/>
  <c r="L21" i="10"/>
  <c r="K21" i="10"/>
  <c r="O20" i="10"/>
  <c r="N20" i="10"/>
  <c r="M20" i="10"/>
  <c r="L20" i="10"/>
  <c r="K20" i="10"/>
  <c r="O19" i="10"/>
  <c r="N19" i="10"/>
  <c r="M19" i="10"/>
  <c r="L19" i="10"/>
  <c r="K19" i="10"/>
  <c r="O18" i="10"/>
  <c r="N18" i="10"/>
  <c r="M18" i="10"/>
  <c r="L18" i="10"/>
  <c r="K18" i="10"/>
  <c r="O17" i="10"/>
  <c r="N17" i="10"/>
  <c r="M17" i="10"/>
  <c r="L17" i="10"/>
  <c r="K17" i="10"/>
  <c r="O16" i="10"/>
  <c r="N16" i="10"/>
  <c r="M16" i="10"/>
  <c r="L16" i="10"/>
  <c r="K16" i="10"/>
  <c r="O14" i="10"/>
  <c r="N14" i="10"/>
  <c r="M14" i="10"/>
  <c r="L14" i="10"/>
  <c r="K14" i="10"/>
  <c r="O13" i="10"/>
  <c r="N13" i="10"/>
  <c r="M13" i="10"/>
  <c r="L13" i="10"/>
  <c r="K13" i="10"/>
  <c r="O12" i="10"/>
  <c r="N12" i="10"/>
  <c r="M12" i="10"/>
  <c r="L12" i="10"/>
  <c r="K12" i="10"/>
  <c r="O11" i="10"/>
  <c r="N11" i="10"/>
  <c r="M11" i="10"/>
  <c r="L11" i="10"/>
  <c r="K11" i="10"/>
  <c r="O10" i="10"/>
  <c r="N10" i="10"/>
  <c r="M10" i="10"/>
  <c r="L10" i="10"/>
  <c r="K10" i="10"/>
  <c r="O9" i="10"/>
  <c r="N9" i="10"/>
  <c r="M9" i="10"/>
  <c r="L9" i="10"/>
  <c r="K9" i="10"/>
  <c r="O7" i="10"/>
  <c r="N7" i="10"/>
  <c r="M7" i="10"/>
  <c r="L7" i="10"/>
  <c r="K7" i="10"/>
  <c r="O6" i="10"/>
  <c r="N6" i="10"/>
  <c r="M6" i="10"/>
  <c r="L6" i="10"/>
  <c r="K6" i="10"/>
  <c r="O5" i="10"/>
  <c r="N5" i="10"/>
  <c r="M5" i="10"/>
  <c r="L5" i="10"/>
  <c r="K5" i="10"/>
  <c r="O4" i="10"/>
  <c r="N4" i="10"/>
  <c r="M4" i="10"/>
  <c r="L4" i="10"/>
  <c r="K4" i="10"/>
  <c r="O3" i="10"/>
  <c r="N3" i="10"/>
  <c r="M3" i="10"/>
  <c r="L3" i="10"/>
  <c r="K3" i="10"/>
  <c r="O2" i="10"/>
  <c r="N2" i="10"/>
  <c r="M2" i="10"/>
  <c r="L2" i="10"/>
  <c r="K2" i="10"/>
  <c r="N4" i="3"/>
  <c r="K10" i="3"/>
  <c r="L10" i="3"/>
  <c r="M10" i="3"/>
  <c r="N10" i="3"/>
  <c r="O10" i="3"/>
  <c r="K11" i="3"/>
  <c r="L11" i="3"/>
  <c r="M11" i="3"/>
  <c r="N11" i="3"/>
  <c r="O11" i="3"/>
  <c r="K12" i="3"/>
  <c r="L12" i="3"/>
  <c r="M12" i="3"/>
  <c r="N12" i="3"/>
  <c r="O12" i="3"/>
  <c r="K13" i="3"/>
  <c r="L13" i="3"/>
  <c r="M13" i="3"/>
  <c r="N13" i="3"/>
  <c r="O13" i="3"/>
  <c r="K14" i="3"/>
  <c r="L14" i="3"/>
  <c r="M14" i="3"/>
  <c r="N14" i="3"/>
  <c r="O14" i="3"/>
  <c r="L9" i="3"/>
  <c r="M9" i="3"/>
  <c r="N9" i="3"/>
  <c r="O9" i="3"/>
  <c r="H23" i="31" l="1"/>
  <c r="F23" i="31"/>
  <c r="I23" i="31"/>
  <c r="G23" i="31"/>
  <c r="E23" i="31"/>
  <c r="H19" i="31"/>
  <c r="F19" i="31"/>
  <c r="I19" i="31"/>
  <c r="G19" i="31"/>
  <c r="E19" i="31"/>
  <c r="H15" i="31"/>
  <c r="F15" i="31"/>
  <c r="I15" i="31"/>
  <c r="G15" i="31"/>
  <c r="E15" i="31"/>
  <c r="H11" i="31"/>
  <c r="F11" i="31"/>
  <c r="I11" i="31"/>
  <c r="G11" i="31"/>
  <c r="E11" i="31"/>
  <c r="H7" i="31"/>
  <c r="F7" i="31"/>
  <c r="I7" i="31"/>
  <c r="G7" i="31"/>
  <c r="E7" i="31"/>
  <c r="G3" i="31"/>
  <c r="F3" i="31"/>
  <c r="I3" i="31"/>
  <c r="E3" i="31"/>
  <c r="H3" i="31"/>
  <c r="H22" i="31"/>
  <c r="F22" i="31"/>
  <c r="I22" i="31"/>
  <c r="G22" i="31"/>
  <c r="E22" i="31"/>
  <c r="H18" i="31"/>
  <c r="F18" i="31"/>
  <c r="I18" i="31"/>
  <c r="G18" i="31"/>
  <c r="E18" i="31"/>
  <c r="H14" i="31"/>
  <c r="F14" i="31"/>
  <c r="I14" i="31"/>
  <c r="G14" i="31"/>
  <c r="E14" i="31"/>
  <c r="H10" i="31"/>
  <c r="F10" i="31"/>
  <c r="I10" i="31"/>
  <c r="G10" i="31"/>
  <c r="E10" i="31"/>
  <c r="H6" i="31"/>
  <c r="F6" i="31"/>
  <c r="I6" i="31"/>
  <c r="G6" i="31"/>
  <c r="E6" i="31"/>
  <c r="I25" i="31"/>
  <c r="G25" i="31"/>
  <c r="E25" i="31"/>
  <c r="H25" i="31"/>
  <c r="F25" i="31"/>
  <c r="I21" i="31"/>
  <c r="G21" i="31"/>
  <c r="E21" i="31"/>
  <c r="H21" i="31"/>
  <c r="F21" i="31"/>
  <c r="I17" i="31"/>
  <c r="G17" i="31"/>
  <c r="E17" i="31"/>
  <c r="H17" i="31"/>
  <c r="F17" i="31"/>
  <c r="I13" i="31"/>
  <c r="G13" i="31"/>
  <c r="E13" i="31"/>
  <c r="H13" i="31"/>
  <c r="F13" i="31"/>
  <c r="I9" i="31"/>
  <c r="G9" i="31"/>
  <c r="E9" i="31"/>
  <c r="H9" i="31"/>
  <c r="F9" i="31"/>
  <c r="I5" i="31"/>
  <c r="G5" i="31"/>
  <c r="E5" i="31"/>
  <c r="H5" i="31"/>
  <c r="F5" i="31"/>
  <c r="I24" i="31"/>
  <c r="G24" i="31"/>
  <c r="E24" i="31"/>
  <c r="H24" i="31"/>
  <c r="F24" i="31"/>
  <c r="I20" i="31"/>
  <c r="G20" i="31"/>
  <c r="E20" i="31"/>
  <c r="H20" i="31"/>
  <c r="F20" i="31"/>
  <c r="I16" i="31"/>
  <c r="G16" i="31"/>
  <c r="E16" i="31"/>
  <c r="H16" i="31"/>
  <c r="F16" i="31"/>
  <c r="I12" i="31"/>
  <c r="G12" i="31"/>
  <c r="E12" i="31"/>
  <c r="H12" i="31"/>
  <c r="F12" i="31"/>
  <c r="I8" i="31"/>
  <c r="G8" i="31"/>
  <c r="E8" i="31"/>
  <c r="H8" i="31"/>
  <c r="F8" i="31"/>
  <c r="I4" i="31"/>
  <c r="G4" i="31"/>
  <c r="E4" i="31"/>
  <c r="H4" i="31"/>
  <c r="F4" i="31"/>
  <c r="P21" i="31"/>
  <c r="P25" i="31"/>
  <c r="L18" i="31"/>
  <c r="P23" i="31"/>
  <c r="L16" i="31"/>
  <c r="P20" i="31"/>
  <c r="L10" i="31"/>
  <c r="P18" i="31"/>
  <c r="L25" i="31"/>
  <c r="P16" i="31"/>
  <c r="L15" i="31"/>
  <c r="P14" i="31"/>
  <c r="P13" i="31"/>
  <c r="P12" i="31"/>
  <c r="P11" i="31"/>
  <c r="P10" i="31"/>
  <c r="L12" i="31"/>
  <c r="L21" i="31"/>
  <c r="L19" i="31"/>
  <c r="L3" i="31"/>
  <c r="L20" i="31"/>
  <c r="P3" i="31"/>
  <c r="K17" i="3"/>
  <c r="L17" i="3"/>
  <c r="M17" i="3"/>
  <c r="N17" i="3"/>
  <c r="O17" i="3"/>
  <c r="K18" i="3"/>
  <c r="L18" i="3"/>
  <c r="M18" i="3"/>
  <c r="N18" i="3"/>
  <c r="O18" i="3"/>
  <c r="K19" i="3"/>
  <c r="L19" i="3"/>
  <c r="M19" i="3"/>
  <c r="N19" i="3"/>
  <c r="O19" i="3"/>
  <c r="K20" i="3"/>
  <c r="L20" i="3"/>
  <c r="M20" i="3"/>
  <c r="N20" i="3"/>
  <c r="O20" i="3"/>
  <c r="K21" i="3"/>
  <c r="L21" i="3"/>
  <c r="M21" i="3"/>
  <c r="N21" i="3"/>
  <c r="O21" i="3"/>
  <c r="L16" i="3"/>
  <c r="M16" i="3"/>
  <c r="N16" i="3"/>
  <c r="O16" i="3"/>
  <c r="K16" i="3"/>
  <c r="D15" i="31" l="1"/>
  <c r="D17" i="31"/>
  <c r="D21" i="31"/>
  <c r="D25" i="31"/>
  <c r="D24" i="31"/>
  <c r="D16" i="31"/>
  <c r="D22" i="31"/>
  <c r="D20" i="31"/>
  <c r="D19" i="31"/>
  <c r="D18" i="31"/>
  <c r="D3" i="31"/>
  <c r="D23" i="31"/>
  <c r="D14" i="31"/>
  <c r="P4" i="31"/>
  <c r="D10" i="31" s="1"/>
  <c r="L4" i="31"/>
  <c r="K3" i="3"/>
  <c r="K4" i="3"/>
  <c r="K5" i="3"/>
  <c r="K6" i="3"/>
  <c r="K7" i="3"/>
  <c r="K24" i="3"/>
  <c r="K25" i="3"/>
  <c r="K26" i="3"/>
  <c r="K27" i="3"/>
  <c r="K28" i="3"/>
  <c r="O24" i="3"/>
  <c r="O25" i="3"/>
  <c r="O26" i="3"/>
  <c r="O27" i="3"/>
  <c r="O28" i="3"/>
  <c r="K52" i="3"/>
  <c r="L52" i="3"/>
  <c r="M52" i="3"/>
  <c r="N52" i="3"/>
  <c r="O52" i="3"/>
  <c r="K53" i="3"/>
  <c r="L53" i="3"/>
  <c r="M53" i="3"/>
  <c r="N53" i="3"/>
  <c r="O53" i="3"/>
  <c r="K54" i="3"/>
  <c r="L54" i="3"/>
  <c r="M54" i="3"/>
  <c r="N54" i="3"/>
  <c r="O54" i="3"/>
  <c r="K55" i="3"/>
  <c r="L55" i="3"/>
  <c r="M55" i="3"/>
  <c r="N55" i="3"/>
  <c r="O55" i="3"/>
  <c r="K56" i="3"/>
  <c r="L56" i="3"/>
  <c r="M56" i="3"/>
  <c r="N56" i="3"/>
  <c r="O56" i="3"/>
  <c r="K45" i="3"/>
  <c r="L45" i="3"/>
  <c r="M45" i="3"/>
  <c r="N45" i="3"/>
  <c r="O45" i="3"/>
  <c r="K46" i="3"/>
  <c r="L46" i="3"/>
  <c r="M46" i="3"/>
  <c r="N46" i="3"/>
  <c r="O46" i="3"/>
  <c r="K47" i="3"/>
  <c r="L47" i="3"/>
  <c r="M47" i="3"/>
  <c r="N47" i="3"/>
  <c r="O47" i="3"/>
  <c r="K48" i="3"/>
  <c r="L48" i="3"/>
  <c r="M48" i="3"/>
  <c r="N48" i="3"/>
  <c r="O48" i="3"/>
  <c r="K49" i="3"/>
  <c r="L49" i="3"/>
  <c r="M49" i="3"/>
  <c r="N49" i="3"/>
  <c r="O49" i="3"/>
  <c r="K38" i="3"/>
  <c r="L38" i="3"/>
  <c r="M38" i="3"/>
  <c r="N38" i="3"/>
  <c r="O38" i="3"/>
  <c r="K39" i="3"/>
  <c r="L39" i="3"/>
  <c r="M39" i="3"/>
  <c r="N39" i="3"/>
  <c r="O39" i="3"/>
  <c r="K40" i="3"/>
  <c r="L40" i="3"/>
  <c r="M40" i="3"/>
  <c r="N40" i="3"/>
  <c r="O40" i="3"/>
  <c r="K41" i="3"/>
  <c r="L41" i="3"/>
  <c r="M41" i="3"/>
  <c r="N41" i="3"/>
  <c r="O41" i="3"/>
  <c r="K42" i="3"/>
  <c r="L42" i="3"/>
  <c r="M42" i="3"/>
  <c r="N42" i="3"/>
  <c r="O42" i="3"/>
  <c r="K31" i="3"/>
  <c r="L31" i="3"/>
  <c r="M31" i="3"/>
  <c r="N31" i="3"/>
  <c r="O31" i="3"/>
  <c r="K32" i="3"/>
  <c r="L32" i="3"/>
  <c r="M32" i="3"/>
  <c r="N32" i="3"/>
  <c r="O32" i="3"/>
  <c r="K33" i="3"/>
  <c r="L33" i="3"/>
  <c r="M33" i="3"/>
  <c r="N33" i="3"/>
  <c r="O33" i="3"/>
  <c r="K34" i="3"/>
  <c r="L34" i="3"/>
  <c r="M34" i="3"/>
  <c r="N34" i="3"/>
  <c r="O34" i="3"/>
  <c r="K35" i="3"/>
  <c r="L35" i="3"/>
  <c r="M35" i="3"/>
  <c r="N35" i="3"/>
  <c r="O35" i="3"/>
  <c r="M51" i="3"/>
  <c r="N51" i="3"/>
  <c r="O51" i="3"/>
  <c r="K51" i="3"/>
  <c r="K44" i="3"/>
  <c r="M44" i="3"/>
  <c r="N44" i="3"/>
  <c r="O44" i="3"/>
  <c r="M37" i="3"/>
  <c r="N37" i="3"/>
  <c r="O37" i="3"/>
  <c r="K37" i="3"/>
  <c r="M30" i="3"/>
  <c r="N30" i="3"/>
  <c r="O30" i="3"/>
  <c r="K30" i="3"/>
  <c r="L51" i="3"/>
  <c r="L44" i="3"/>
  <c r="L37" i="3"/>
  <c r="L30" i="3"/>
  <c r="O23" i="3"/>
  <c r="K23" i="3"/>
  <c r="K9" i="3"/>
  <c r="N3" i="3"/>
  <c r="O3" i="3"/>
  <c r="O4" i="3"/>
  <c r="N5" i="3"/>
  <c r="O5" i="3"/>
  <c r="N6" i="3"/>
  <c r="O6" i="3"/>
  <c r="N7" i="3"/>
  <c r="O7" i="3"/>
  <c r="O2" i="3"/>
  <c r="K2" i="3"/>
  <c r="L24" i="3"/>
  <c r="M24" i="3"/>
  <c r="N24" i="3"/>
  <c r="L25" i="3"/>
  <c r="M25" i="3"/>
  <c r="N25" i="3"/>
  <c r="L26" i="3"/>
  <c r="M26" i="3"/>
  <c r="N26" i="3"/>
  <c r="L27" i="3"/>
  <c r="M27" i="3"/>
  <c r="N27" i="3"/>
  <c r="L28" i="3"/>
  <c r="M28" i="3"/>
  <c r="N28" i="3"/>
  <c r="M23" i="3"/>
  <c r="N23" i="3"/>
  <c r="L23" i="3"/>
  <c r="L7" i="3"/>
  <c r="M7" i="3"/>
  <c r="M2" i="3"/>
  <c r="N2" i="3"/>
  <c r="M3" i="3"/>
  <c r="M4" i="3"/>
  <c r="M5" i="3"/>
  <c r="M6" i="3"/>
  <c r="L3" i="3"/>
  <c r="L4" i="3"/>
  <c r="L5" i="3"/>
  <c r="L6" i="3"/>
  <c r="L2" i="3"/>
  <c r="V12" i="1"/>
  <c r="V16" i="1" s="1"/>
  <c r="D4" i="31" l="1"/>
  <c r="D12" i="31"/>
  <c r="D13" i="31"/>
  <c r="D11" i="31"/>
  <c r="D7" i="31"/>
  <c r="D9" i="31"/>
  <c r="D6" i="31"/>
  <c r="D8" i="31"/>
  <c r="D5" i="31"/>
  <c r="R16" i="1"/>
  <c r="R12" i="1"/>
  <c r="R8" i="1"/>
</calcChain>
</file>

<file path=xl/sharedStrings.xml><?xml version="1.0" encoding="utf-8"?>
<sst xmlns="http://schemas.openxmlformats.org/spreadsheetml/2006/main" count="5788" uniqueCount="174">
  <si>
    <t>Grupo A</t>
  </si>
  <si>
    <t>Grupo B</t>
  </si>
  <si>
    <t>Grupo C</t>
  </si>
  <si>
    <t>Grupo D</t>
  </si>
  <si>
    <t>Alemanha</t>
  </si>
  <si>
    <t>Argentina</t>
  </si>
  <si>
    <t>Austrália</t>
  </si>
  <si>
    <t>Bélgica</t>
  </si>
  <si>
    <t>Brasil</t>
  </si>
  <si>
    <t>Camarões</t>
  </si>
  <si>
    <t>Canadá</t>
  </si>
  <si>
    <t>Catar</t>
  </si>
  <si>
    <t>Croácia</t>
  </si>
  <si>
    <t>Dinamarca</t>
  </si>
  <si>
    <t>Equador</t>
  </si>
  <si>
    <t>Espanha</t>
  </si>
  <si>
    <t>Estados Unidos</t>
  </si>
  <si>
    <t>França</t>
  </si>
  <si>
    <t>Gana</t>
  </si>
  <si>
    <t>Holanda</t>
  </si>
  <si>
    <t>Inglaterra</t>
  </si>
  <si>
    <t>Irã</t>
  </si>
  <si>
    <t>Japão</t>
  </si>
  <si>
    <t>Marrocos</t>
  </si>
  <si>
    <t>México</t>
  </si>
  <si>
    <t>País de Gales</t>
  </si>
  <si>
    <t>Polônia</t>
  </si>
  <si>
    <t>Portugal</t>
  </si>
  <si>
    <t>Senegal</t>
  </si>
  <si>
    <t>Sérvia</t>
  </si>
  <si>
    <t>Suíça</t>
  </si>
  <si>
    <t>Tunísia</t>
  </si>
  <si>
    <t>Uruguai</t>
  </si>
  <si>
    <t>x</t>
  </si>
  <si>
    <t>Gales</t>
  </si>
  <si>
    <t>PAÍSES</t>
  </si>
  <si>
    <t>Grupo E</t>
  </si>
  <si>
    <t>Grupo F</t>
  </si>
  <si>
    <t>Grupo G</t>
  </si>
  <si>
    <t>Grupo H</t>
  </si>
  <si>
    <t>COPA DO MUNDO - CATAR 2022</t>
  </si>
  <si>
    <t>ARTILHEIRO:</t>
  </si>
  <si>
    <t>CAMPEÃO:</t>
  </si>
  <si>
    <t>Catar x Equador - INVÁLIDO</t>
  </si>
  <si>
    <t>Vencedor Fase de Grupos</t>
  </si>
  <si>
    <t>Total de Participantes</t>
  </si>
  <si>
    <t>Valor R$ de cada aposta</t>
  </si>
  <si>
    <t>Valor Arrecadado</t>
  </si>
  <si>
    <t>1º Colocado (50%)</t>
  </si>
  <si>
    <t>2º Colocado (30%)</t>
  </si>
  <si>
    <t>3º Colocado (20%)</t>
  </si>
  <si>
    <t>1º, 2º e 3º Colocados</t>
  </si>
  <si>
    <t>TOTAL DE PONTOS</t>
  </si>
  <si>
    <t>X</t>
  </si>
  <si>
    <t>EUA</t>
  </si>
  <si>
    <t>ArábiaSaudita</t>
  </si>
  <si>
    <t>CostaRica</t>
  </si>
  <si>
    <t>CoreiadoSul</t>
  </si>
  <si>
    <t>GRUPO A</t>
  </si>
  <si>
    <t>GRUPO H</t>
  </si>
  <si>
    <t>GRUPO G</t>
  </si>
  <si>
    <t>GRUPO F</t>
  </si>
  <si>
    <t>GRUPO E</t>
  </si>
  <si>
    <t>GRUPO D</t>
  </si>
  <si>
    <t>GRUPO C</t>
  </si>
  <si>
    <t>GRUPO B</t>
  </si>
  <si>
    <t>Total de Pontos</t>
  </si>
  <si>
    <t>CoreiaDoSul</t>
  </si>
  <si>
    <t>N</t>
  </si>
  <si>
    <t>Ivan Alex_2</t>
  </si>
  <si>
    <t>Macélio</t>
  </si>
  <si>
    <t>Luis</t>
  </si>
  <si>
    <t>Gabriel</t>
  </si>
  <si>
    <t>Juninho_1</t>
  </si>
  <si>
    <t>Juninho_2</t>
  </si>
  <si>
    <t>Luana</t>
  </si>
  <si>
    <t>Mácio</t>
  </si>
  <si>
    <t>Alex</t>
  </si>
  <si>
    <t>Jean</t>
  </si>
  <si>
    <t>Robert</t>
  </si>
  <si>
    <t>Roberto</t>
  </si>
  <si>
    <t>Andréia</t>
  </si>
  <si>
    <t>Joseir_1</t>
  </si>
  <si>
    <t>Joseir_2</t>
  </si>
  <si>
    <t>Ivani</t>
  </si>
  <si>
    <t>Josimar</t>
  </si>
  <si>
    <t>Julio</t>
  </si>
  <si>
    <t>Talita</t>
  </si>
  <si>
    <t>Anderson</t>
  </si>
  <si>
    <t>Cléofaz</t>
  </si>
  <si>
    <t>Classificação Geral do Bolão da Copa do Mundo Catar - 2022</t>
  </si>
  <si>
    <t>Ivan Alex_1</t>
  </si>
  <si>
    <t>Bruno Flores</t>
  </si>
  <si>
    <t xml:space="preserve">Josimar </t>
  </si>
  <si>
    <t>Alex Sandro</t>
  </si>
  <si>
    <t>1º</t>
  </si>
  <si>
    <t>2º</t>
  </si>
  <si>
    <t>3º</t>
  </si>
  <si>
    <t>4º</t>
  </si>
  <si>
    <t>5º</t>
  </si>
  <si>
    <t>6º</t>
  </si>
  <si>
    <t>7º</t>
  </si>
  <si>
    <t>8º</t>
  </si>
  <si>
    <t>9º</t>
  </si>
  <si>
    <t>10º</t>
  </si>
  <si>
    <t>11º</t>
  </si>
  <si>
    <t>12º</t>
  </si>
  <si>
    <t>13º</t>
  </si>
  <si>
    <t>14º</t>
  </si>
  <si>
    <t>15º</t>
  </si>
  <si>
    <t>16º</t>
  </si>
  <si>
    <t>17º</t>
  </si>
  <si>
    <t>18º</t>
  </si>
  <si>
    <t>19º</t>
  </si>
  <si>
    <t>20º</t>
  </si>
  <si>
    <t>21º</t>
  </si>
  <si>
    <t>22º</t>
  </si>
  <si>
    <t>23º</t>
  </si>
  <si>
    <t>NOME</t>
  </si>
  <si>
    <t>ACERTO DO PLACAR</t>
  </si>
  <si>
    <t>ACERTO APENAS DO GANHADOR/EMPATE</t>
  </si>
  <si>
    <t>NÃO ACERTOU NADA</t>
  </si>
  <si>
    <t>ACERTO DO GANHADOR + GOL(s) DE 1 DOS TIMES</t>
  </si>
  <si>
    <t>ACERTO APENAS DE GOL(s) DE 1 DOS TIMES</t>
  </si>
  <si>
    <t>Acertos do Placar</t>
  </si>
  <si>
    <t>Cempeão</t>
  </si>
  <si>
    <t>Artilheiro</t>
  </si>
  <si>
    <t>Neymar</t>
  </si>
  <si>
    <t>Mbappé</t>
  </si>
  <si>
    <t>Harry Kane</t>
  </si>
  <si>
    <t>Messi</t>
  </si>
  <si>
    <t>C. Ronaldo</t>
  </si>
  <si>
    <t>Vinicius Jr.</t>
  </si>
  <si>
    <t>Richarlison</t>
  </si>
  <si>
    <t>Richarlisson</t>
  </si>
  <si>
    <t>Raphinha</t>
  </si>
  <si>
    <t>Pedro</t>
  </si>
  <si>
    <t>Harry Cane</t>
  </si>
  <si>
    <t>M. Depay</t>
  </si>
  <si>
    <t>Quartas de Final</t>
  </si>
  <si>
    <t>Semi Final</t>
  </si>
  <si>
    <t>Terceiro Lugar</t>
  </si>
  <si>
    <t>Final</t>
  </si>
  <si>
    <t>IVAN_1</t>
  </si>
  <si>
    <t>IVAN_2</t>
  </si>
  <si>
    <t>BRUNO</t>
  </si>
  <si>
    <t>LUIS</t>
  </si>
  <si>
    <t>GABRIEL</t>
  </si>
  <si>
    <t>JUNINHO_1</t>
  </si>
  <si>
    <t>JUNINHO_2</t>
  </si>
  <si>
    <t>LUANA</t>
  </si>
  <si>
    <t>MACÉLIO</t>
  </si>
  <si>
    <t>IVANI</t>
  </si>
  <si>
    <t>MÁCIO</t>
  </si>
  <si>
    <t>ALEX</t>
  </si>
  <si>
    <t>JEAN</t>
  </si>
  <si>
    <t>ROBERT</t>
  </si>
  <si>
    <t>ROBERTO</t>
  </si>
  <si>
    <t>ANDRÉIA</t>
  </si>
  <si>
    <t>JOSEIR_2</t>
  </si>
  <si>
    <t>JOSEIR_1</t>
  </si>
  <si>
    <t>JOSIMAR</t>
  </si>
  <si>
    <t>JULIO</t>
  </si>
  <si>
    <t>TALITA</t>
  </si>
  <si>
    <t>ANDERSON</t>
  </si>
  <si>
    <t>CLÉOFAZ</t>
  </si>
  <si>
    <t>EstadosUnidos</t>
  </si>
  <si>
    <t>Coréia</t>
  </si>
  <si>
    <t>Estados</t>
  </si>
  <si>
    <t>Unidos</t>
  </si>
  <si>
    <t>Holanda x EUA - INVÁLIDO</t>
  </si>
  <si>
    <t>Oitavas de Final</t>
  </si>
  <si>
    <t xml:space="preserve"> </t>
  </si>
  <si>
    <t xml:space="preserve"> - Oitavas de Final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</si>
</sst>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R$-416]\ * #,##0.00_-;\-[$R$-416]\ * #,##0.00_-;_-[$R$-416]\ * &quot;-&quot;??_-;_-@_-"/>
  </numFmts>
  <fonts count="22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rgb="FF0070C0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8"/>
      <name val="Calibri"/>
      <family val="2"/>
      <scheme val="minor"/>
    </font>
    <font>
      <sz val="12"/>
      <color theme="0" tint="-0.34998626667073579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10"/>
      <color rgb="FF00B050"/>
      <name val="Calibri"/>
      <family val="2"/>
      <scheme val="minor"/>
    </font>
    <font>
      <sz val="11"/>
      <color rgb="FFFFFF00"/>
      <name val="Calibri"/>
      <family val="2"/>
      <scheme val="minor"/>
    </font>
    <font>
      <sz val="10"/>
      <color rgb="FFFFFF00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8" tint="0.39994506668294322"/>
        <bgColor indexed="64"/>
      </patternFill>
    </fill>
  </fills>
  <borders count="21">
    <border>
      <left/>
      <right/>
      <top/>
      <bottom/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148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4" xfId="0" applyFont="1" applyBorder="1" applyAlignment="1">
      <alignment vertical="center"/>
    </xf>
    <xf numFmtId="0" fontId="1" fillId="0" borderId="5" xfId="0" applyFont="1" applyBorder="1" applyAlignment="1">
      <alignment horizontal="center" vertical="center"/>
    </xf>
    <xf numFmtId="0" fontId="1" fillId="0" borderId="7" xfId="0" applyFont="1" applyBorder="1" applyAlignment="1">
      <alignment vertical="center"/>
    </xf>
    <xf numFmtId="0" fontId="1" fillId="0" borderId="8" xfId="0" applyFont="1" applyBorder="1" applyAlignment="1">
      <alignment horizontal="center" vertical="center"/>
    </xf>
    <xf numFmtId="0" fontId="1" fillId="0" borderId="6" xfId="0" applyFont="1" applyBorder="1" applyAlignment="1">
      <alignment horizontal="right" vertical="center"/>
    </xf>
    <xf numFmtId="0" fontId="1" fillId="0" borderId="0" xfId="0" applyFont="1" applyAlignment="1">
      <alignment horizontal="right" vertical="center"/>
    </xf>
    <xf numFmtId="0" fontId="1" fillId="0" borderId="9" xfId="0" applyFont="1" applyBorder="1" applyAlignment="1">
      <alignment horizontal="right" vertical="center"/>
    </xf>
    <xf numFmtId="0" fontId="1" fillId="0" borderId="5" xfId="0" applyFont="1" applyBorder="1" applyAlignment="1">
      <alignment horizontal="right" vertical="center"/>
    </xf>
    <xf numFmtId="0" fontId="1" fillId="0" borderId="8" xfId="0" applyFont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0" fillId="0" borderId="0" xfId="0" applyFill="1" applyBorder="1" applyAlignment="1">
      <alignment horizontal="right" vertical="center"/>
    </xf>
    <xf numFmtId="0" fontId="0" fillId="0" borderId="0" xfId="0" applyFill="1" applyBorder="1" applyAlignment="1">
      <alignment horizontal="left" vertical="center"/>
    </xf>
    <xf numFmtId="0" fontId="0" fillId="0" borderId="0" xfId="0" applyFill="1" applyBorder="1"/>
    <xf numFmtId="0" fontId="0" fillId="0" borderId="0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12" fillId="0" borderId="0" xfId="0" applyFont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12" fillId="0" borderId="11" xfId="0" applyFont="1" applyBorder="1" applyAlignment="1">
      <alignment horizontal="center" vertical="center"/>
    </xf>
    <xf numFmtId="0" fontId="12" fillId="0" borderId="12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8" fillId="13" borderId="4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3" fillId="0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Fill="1" applyAlignment="1">
      <alignment vertical="center"/>
    </xf>
    <xf numFmtId="0" fontId="13" fillId="0" borderId="0" xfId="0" applyFont="1" applyFill="1" applyAlignment="1">
      <alignment vertical="center"/>
    </xf>
    <xf numFmtId="0" fontId="3" fillId="0" borderId="0" xfId="0" applyFont="1" applyAlignment="1">
      <alignment vertical="center"/>
    </xf>
    <xf numFmtId="0" fontId="0" fillId="0" borderId="7" xfId="0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 wrapText="1"/>
    </xf>
    <xf numFmtId="0" fontId="15" fillId="0" borderId="0" xfId="0" applyFont="1" applyFill="1" applyBorder="1" applyAlignment="1">
      <alignment vertical="center"/>
    </xf>
    <xf numFmtId="0" fontId="0" fillId="6" borderId="4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0" fontId="0" fillId="14" borderId="5" xfId="0" applyFill="1" applyBorder="1" applyAlignment="1">
      <alignment horizontal="center" vertical="center"/>
    </xf>
    <xf numFmtId="0" fontId="0" fillId="14" borderId="6" xfId="0" applyFill="1" applyBorder="1" applyAlignment="1">
      <alignment horizontal="center" vertical="center"/>
    </xf>
    <xf numFmtId="0" fontId="0" fillId="15" borderId="4" xfId="0" applyFill="1" applyBorder="1" applyAlignment="1">
      <alignment horizontal="center" vertical="center"/>
    </xf>
    <xf numFmtId="0" fontId="0" fillId="15" borderId="5" xfId="0" applyFill="1" applyBorder="1" applyAlignment="1">
      <alignment horizontal="center" vertical="center"/>
    </xf>
    <xf numFmtId="0" fontId="0" fillId="15" borderId="6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8" fillId="13" borderId="5" xfId="0" applyFont="1" applyFill="1" applyBorder="1" applyAlignment="1">
      <alignment horizontal="center" vertical="center" wrapText="1"/>
    </xf>
    <xf numFmtId="0" fontId="19" fillId="13" borderId="5" xfId="0" applyFont="1" applyFill="1" applyBorder="1" applyAlignment="1">
      <alignment horizontal="center" vertical="center" wrapText="1"/>
    </xf>
    <xf numFmtId="0" fontId="20" fillId="13" borderId="5" xfId="0" applyFont="1" applyFill="1" applyBorder="1" applyAlignment="1">
      <alignment horizontal="center" vertical="center" wrapText="1"/>
    </xf>
    <xf numFmtId="0" fontId="20" fillId="13" borderId="6" xfId="0" applyFont="1" applyFill="1" applyBorder="1" applyAlignment="1">
      <alignment horizontal="center" vertical="center" wrapText="1"/>
    </xf>
    <xf numFmtId="0" fontId="21" fillId="0" borderId="0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6" fillId="0" borderId="0" xfId="0" applyFont="1" applyFill="1" applyAlignment="1">
      <alignment horizontal="right" vertical="center"/>
    </xf>
    <xf numFmtId="0" fontId="1" fillId="0" borderId="0" xfId="0" applyFont="1" applyFill="1" applyAlignment="1">
      <alignment horizontal="center" vertical="center"/>
    </xf>
    <xf numFmtId="0" fontId="16" fillId="3" borderId="1" xfId="0" applyFont="1" applyFill="1" applyBorder="1" applyAlignment="1">
      <alignment horizontal="center" vertical="center"/>
    </xf>
    <xf numFmtId="0" fontId="16" fillId="3" borderId="2" xfId="0" applyFont="1" applyFill="1" applyBorder="1" applyAlignment="1">
      <alignment horizontal="center" vertical="center"/>
    </xf>
    <xf numFmtId="0" fontId="16" fillId="3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164" fontId="4" fillId="0" borderId="16" xfId="0" applyNumberFormat="1" applyFont="1" applyBorder="1" applyAlignment="1">
      <alignment horizontal="center" vertical="center"/>
    </xf>
    <xf numFmtId="164" fontId="4" fillId="0" borderId="0" xfId="0" applyNumberFormat="1" applyFont="1" applyBorder="1" applyAlignment="1">
      <alignment horizontal="center" vertical="center"/>
    </xf>
    <xf numFmtId="164" fontId="4" fillId="0" borderId="17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164" fontId="4" fillId="0" borderId="20" xfId="0" applyNumberFormat="1" applyFont="1" applyBorder="1" applyAlignment="1">
      <alignment horizontal="center" vertical="center"/>
    </xf>
    <xf numFmtId="0" fontId="1" fillId="5" borderId="13" xfId="0" applyFont="1" applyFill="1" applyBorder="1" applyAlignment="1">
      <alignment horizontal="center" vertical="center"/>
    </xf>
    <xf numFmtId="0" fontId="1" fillId="5" borderId="14" xfId="0" applyFont="1" applyFill="1" applyBorder="1" applyAlignment="1">
      <alignment horizontal="center" vertical="center"/>
    </xf>
    <xf numFmtId="0" fontId="1" fillId="5" borderId="15" xfId="0" applyFont="1" applyFill="1" applyBorder="1" applyAlignment="1">
      <alignment horizontal="center" vertical="center"/>
    </xf>
    <xf numFmtId="0" fontId="2" fillId="10" borderId="13" xfId="0" applyFont="1" applyFill="1" applyBorder="1" applyAlignment="1">
      <alignment horizontal="center" vertical="center"/>
    </xf>
    <xf numFmtId="0" fontId="2" fillId="10" borderId="14" xfId="0" applyFont="1" applyFill="1" applyBorder="1" applyAlignment="1">
      <alignment horizontal="center" vertical="center"/>
    </xf>
    <xf numFmtId="0" fontId="2" fillId="10" borderId="15" xfId="0" applyFont="1" applyFill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164" fontId="1" fillId="0" borderId="0" xfId="0" applyNumberFormat="1" applyFont="1" applyBorder="1" applyAlignment="1">
      <alignment horizontal="center" vertical="center"/>
    </xf>
    <xf numFmtId="164" fontId="1" fillId="0" borderId="17" xfId="0" applyNumberFormat="1" applyFont="1" applyBorder="1" applyAlignment="1">
      <alignment horizontal="center" vertical="center"/>
    </xf>
    <xf numFmtId="164" fontId="1" fillId="0" borderId="18" xfId="0" applyNumberFormat="1" applyFont="1" applyBorder="1" applyAlignment="1">
      <alignment horizontal="center" vertical="center"/>
    </xf>
    <xf numFmtId="164" fontId="1" fillId="0" borderId="19" xfId="0" applyNumberFormat="1" applyFont="1" applyBorder="1" applyAlignment="1">
      <alignment horizontal="center" vertical="center"/>
    </xf>
    <xf numFmtId="164" fontId="1" fillId="0" borderId="20" xfId="0" applyNumberFormat="1" applyFont="1" applyBorder="1" applyAlignment="1">
      <alignment horizontal="center" vertical="center"/>
    </xf>
    <xf numFmtId="164" fontId="5" fillId="0" borderId="16" xfId="0" applyNumberFormat="1" applyFont="1" applyBorder="1" applyAlignment="1">
      <alignment horizontal="center" vertical="center"/>
    </xf>
    <xf numFmtId="164" fontId="5" fillId="0" borderId="0" xfId="0" applyNumberFormat="1" applyFont="1" applyBorder="1" applyAlignment="1">
      <alignment horizontal="center" vertical="center"/>
    </xf>
    <xf numFmtId="164" fontId="5" fillId="0" borderId="17" xfId="0" applyNumberFormat="1" applyFont="1" applyBorder="1" applyAlignment="1">
      <alignment horizontal="center" vertical="center"/>
    </xf>
    <xf numFmtId="164" fontId="5" fillId="0" borderId="18" xfId="0" applyNumberFormat="1" applyFont="1" applyBorder="1" applyAlignment="1">
      <alignment horizontal="center" vertical="center"/>
    </xf>
    <xf numFmtId="164" fontId="5" fillId="0" borderId="19" xfId="0" applyNumberFormat="1" applyFont="1" applyBorder="1" applyAlignment="1">
      <alignment horizontal="center" vertical="center"/>
    </xf>
    <xf numFmtId="164" fontId="5" fillId="0" borderId="20" xfId="0" applyNumberFormat="1" applyFont="1" applyBorder="1" applyAlignment="1">
      <alignment horizontal="center" vertical="center"/>
    </xf>
    <xf numFmtId="0" fontId="1" fillId="3" borderId="13" xfId="0" applyFont="1" applyFill="1" applyBorder="1" applyAlignment="1">
      <alignment horizontal="center" vertical="center"/>
    </xf>
    <xf numFmtId="0" fontId="1" fillId="3" borderId="14" xfId="0" applyFont="1" applyFill="1" applyBorder="1" applyAlignment="1">
      <alignment horizontal="center" vertical="center"/>
    </xf>
    <xf numFmtId="0" fontId="1" fillId="3" borderId="15" xfId="0" applyFont="1" applyFill="1" applyBorder="1" applyAlignment="1">
      <alignment horizontal="center" vertical="center"/>
    </xf>
    <xf numFmtId="0" fontId="1" fillId="8" borderId="13" xfId="0" applyFont="1" applyFill="1" applyBorder="1" applyAlignment="1">
      <alignment horizontal="center" vertical="center"/>
    </xf>
    <xf numFmtId="0" fontId="1" fillId="8" borderId="14" xfId="0" applyFont="1" applyFill="1" applyBorder="1" applyAlignment="1">
      <alignment horizontal="center" vertical="center"/>
    </xf>
    <xf numFmtId="0" fontId="1" fillId="8" borderId="15" xfId="0" applyFont="1" applyFill="1" applyBorder="1" applyAlignment="1">
      <alignment horizontal="center" vertical="center"/>
    </xf>
    <xf numFmtId="0" fontId="1" fillId="9" borderId="13" xfId="0" applyFont="1" applyFill="1" applyBorder="1" applyAlignment="1">
      <alignment horizontal="center" vertical="center"/>
    </xf>
    <xf numFmtId="0" fontId="1" fillId="9" borderId="14" xfId="0" applyFont="1" applyFill="1" applyBorder="1" applyAlignment="1">
      <alignment horizontal="center" vertical="center"/>
    </xf>
    <xf numFmtId="0" fontId="1" fillId="9" borderId="15" xfId="0" applyFont="1" applyFill="1" applyBorder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7" fillId="13" borderId="0" xfId="0" applyFont="1" applyFill="1" applyAlignment="1">
      <alignment horizontal="right" vertical="center"/>
    </xf>
    <xf numFmtId="0" fontId="1" fillId="15" borderId="0" xfId="0" applyFont="1" applyFill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8" fillId="13" borderId="0" xfId="0" applyFont="1" applyFill="1" applyBorder="1" applyAlignment="1">
      <alignment horizontal="right" vertical="center"/>
    </xf>
    <xf numFmtId="0" fontId="0" fillId="3" borderId="0" xfId="0" applyFill="1" applyBorder="1" applyAlignment="1">
      <alignment horizontal="left" vertical="center"/>
    </xf>
    <xf numFmtId="0" fontId="0" fillId="9" borderId="0" xfId="0" applyFill="1" applyBorder="1" applyAlignment="1">
      <alignment horizontal="left" vertical="center"/>
    </xf>
    <xf numFmtId="0" fontId="0" fillId="3" borderId="0" xfId="0" applyFill="1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6" fillId="8" borderId="0" xfId="0" applyFont="1" applyFill="1" applyBorder="1" applyAlignment="1">
      <alignment horizontal="center" vertical="center"/>
    </xf>
    <xf numFmtId="0" fontId="9" fillId="2" borderId="0" xfId="0" applyFont="1" applyFill="1" applyBorder="1" applyAlignment="1">
      <alignment horizontal="center" vertical="center"/>
    </xf>
    <xf numFmtId="0" fontId="7" fillId="12" borderId="0" xfId="0" applyFont="1" applyFill="1" applyAlignment="1">
      <alignment horizontal="center" vertical="center"/>
    </xf>
    <xf numFmtId="0" fontId="3" fillId="7" borderId="0" xfId="0" applyFont="1" applyFill="1" applyBorder="1" applyAlignment="1">
      <alignment horizontal="left" vertical="center"/>
    </xf>
    <xf numFmtId="0" fontId="0" fillId="16" borderId="0" xfId="0" applyFont="1" applyFill="1" applyBorder="1" applyAlignment="1">
      <alignment horizontal="center" vertical="center"/>
    </xf>
    <xf numFmtId="0" fontId="0" fillId="16" borderId="0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6" borderId="0" xfId="0" applyFont="1" applyFill="1" applyBorder="1" applyAlignment="1">
      <alignment horizontal="center" vertical="center"/>
    </xf>
    <xf numFmtId="0" fontId="1" fillId="0" borderId="5" xfId="0" applyFont="1" applyBorder="1" applyAlignment="1">
      <alignment horizontal="left" vertical="center"/>
    </xf>
    <xf numFmtId="0" fontId="1" fillId="0" borderId="8" xfId="0" applyFont="1" applyBorder="1" applyAlignment="1">
      <alignment horizontal="left" vertical="center"/>
    </xf>
    <xf numFmtId="0" fontId="1" fillId="0" borderId="4" xfId="0" applyFont="1" applyBorder="1" applyAlignment="1">
      <alignment horizontal="right" vertical="center"/>
    </xf>
    <xf numFmtId="0" fontId="1" fillId="0" borderId="7" xfId="0" applyFont="1" applyBorder="1" applyAlignment="1">
      <alignment horizontal="right" vertical="center"/>
    </xf>
    <xf numFmtId="0" fontId="1" fillId="0" borderId="0" xfId="0" applyFont="1" applyAlignment="1">
      <alignment horizontal="left" vertical="center"/>
    </xf>
    <xf numFmtId="0" fontId="1" fillId="0" borderId="6" xfId="0" applyFont="1" applyBorder="1" applyAlignment="1">
      <alignment horizontal="left" vertical="center"/>
    </xf>
    <xf numFmtId="0" fontId="1" fillId="0" borderId="9" xfId="0" applyFont="1" applyBorder="1" applyAlignment="1">
      <alignment horizontal="left" vertical="center"/>
    </xf>
    <xf numFmtId="0" fontId="8" fillId="0" borderId="0" xfId="0" applyFont="1" applyFill="1" applyBorder="1" applyAlignment="1">
      <alignment horizontal="right" vertical="center"/>
    </xf>
    <xf numFmtId="0" fontId="8" fillId="0" borderId="0" xfId="0" applyFont="1" applyFill="1" applyBorder="1"/>
    <xf numFmtId="0" fontId="8" fillId="0" borderId="0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99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85793</xdr:colOff>
      <xdr:row>2</xdr:row>
      <xdr:rowOff>17114</xdr:rowOff>
    </xdr:from>
    <xdr:to>
      <xdr:col>13</xdr:col>
      <xdr:colOff>583210</xdr:colOff>
      <xdr:row>2</xdr:row>
      <xdr:rowOff>175864</xdr:rowOff>
    </xdr:to>
    <xdr:sp macro="[0]!Maceli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7B3FA26-1864-4F10-8EA9-0A9BAD88AEF6}"/>
            </a:ext>
          </a:extLst>
        </xdr:cNvPr>
        <xdr:cNvSpPr/>
      </xdr:nvSpPr>
      <xdr:spPr>
        <a:xfrm>
          <a:off x="8803969" y="913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3</xdr:row>
      <xdr:rowOff>17294</xdr:rowOff>
    </xdr:from>
    <xdr:to>
      <xdr:col>13</xdr:col>
      <xdr:colOff>583210</xdr:colOff>
      <xdr:row>3</xdr:row>
      <xdr:rowOff>176044</xdr:rowOff>
    </xdr:to>
    <xdr:sp macro="[0]!IvanAlex_1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106821B-BAAC-47E3-B41B-B667B4293A4F}"/>
            </a:ext>
          </a:extLst>
        </xdr:cNvPr>
        <xdr:cNvSpPr/>
      </xdr:nvSpPr>
      <xdr:spPr>
        <a:xfrm>
          <a:off x="8803969" y="1104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4</xdr:row>
      <xdr:rowOff>17114</xdr:rowOff>
    </xdr:from>
    <xdr:to>
      <xdr:col>13</xdr:col>
      <xdr:colOff>583210</xdr:colOff>
      <xdr:row>4</xdr:row>
      <xdr:rowOff>175864</xdr:rowOff>
    </xdr:to>
    <xdr:sp macro="[0]!BrunoFlores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AAFD5EEC-0DE4-4FA0-B54C-AD5ED6A13C03}"/>
            </a:ext>
          </a:extLst>
        </xdr:cNvPr>
        <xdr:cNvSpPr/>
      </xdr:nvSpPr>
      <xdr:spPr>
        <a:xfrm>
          <a:off x="8803969" y="1294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5</xdr:row>
      <xdr:rowOff>17294</xdr:rowOff>
    </xdr:from>
    <xdr:to>
      <xdr:col>13</xdr:col>
      <xdr:colOff>583210</xdr:colOff>
      <xdr:row>5</xdr:row>
      <xdr:rowOff>176044</xdr:rowOff>
    </xdr:to>
    <xdr:sp macro="[0]!IvanAlex_2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3F577CD3-6F90-43C6-8C06-A4174C0F0064}"/>
            </a:ext>
          </a:extLst>
        </xdr:cNvPr>
        <xdr:cNvSpPr/>
      </xdr:nvSpPr>
      <xdr:spPr>
        <a:xfrm>
          <a:off x="8803969" y="1485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6</xdr:row>
      <xdr:rowOff>17114</xdr:rowOff>
    </xdr:from>
    <xdr:to>
      <xdr:col>13</xdr:col>
      <xdr:colOff>583210</xdr:colOff>
      <xdr:row>6</xdr:row>
      <xdr:rowOff>175864</xdr:rowOff>
    </xdr:to>
    <xdr:sp macro="[0]!Gabriel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FAE28C2B-04DE-4E81-B482-76996B58DE77}"/>
            </a:ext>
          </a:extLst>
        </xdr:cNvPr>
        <xdr:cNvSpPr/>
      </xdr:nvSpPr>
      <xdr:spPr>
        <a:xfrm>
          <a:off x="8803969" y="1675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7</xdr:row>
      <xdr:rowOff>17294</xdr:rowOff>
    </xdr:from>
    <xdr:to>
      <xdr:col>13</xdr:col>
      <xdr:colOff>583210</xdr:colOff>
      <xdr:row>7</xdr:row>
      <xdr:rowOff>176044</xdr:rowOff>
    </xdr:to>
    <xdr:sp macro="[0]!Luis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DA8B8352-4A1F-4888-80C8-F0C5F3205BEC}"/>
            </a:ext>
          </a:extLst>
        </xdr:cNvPr>
        <xdr:cNvSpPr/>
      </xdr:nvSpPr>
      <xdr:spPr>
        <a:xfrm>
          <a:off x="8803969" y="1866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8</xdr:row>
      <xdr:rowOff>17114</xdr:rowOff>
    </xdr:from>
    <xdr:to>
      <xdr:col>13</xdr:col>
      <xdr:colOff>583210</xdr:colOff>
      <xdr:row>8</xdr:row>
      <xdr:rowOff>175864</xdr:rowOff>
    </xdr:to>
    <xdr:sp macro="[0]!Juninho_1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B95938CE-0F3F-4C7C-BF4F-9A228C6A44C4}"/>
            </a:ext>
          </a:extLst>
        </xdr:cNvPr>
        <xdr:cNvSpPr/>
      </xdr:nvSpPr>
      <xdr:spPr>
        <a:xfrm>
          <a:off x="8803969" y="2056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9</xdr:row>
      <xdr:rowOff>17294</xdr:rowOff>
    </xdr:from>
    <xdr:to>
      <xdr:col>13</xdr:col>
      <xdr:colOff>583210</xdr:colOff>
      <xdr:row>9</xdr:row>
      <xdr:rowOff>176044</xdr:rowOff>
    </xdr:to>
    <xdr:sp macro="[0]!Juninho_2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7B334951-C9F0-467B-9FCC-D66DF95313E0}"/>
            </a:ext>
          </a:extLst>
        </xdr:cNvPr>
        <xdr:cNvSpPr/>
      </xdr:nvSpPr>
      <xdr:spPr>
        <a:xfrm>
          <a:off x="8803969" y="2247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10</xdr:row>
      <xdr:rowOff>17114</xdr:rowOff>
    </xdr:from>
    <xdr:to>
      <xdr:col>13</xdr:col>
      <xdr:colOff>583210</xdr:colOff>
      <xdr:row>10</xdr:row>
      <xdr:rowOff>175864</xdr:rowOff>
    </xdr:to>
    <xdr:sp macro="[0]!Luana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6EB6D360-3CF5-4024-813D-B2B53278EEDB}"/>
            </a:ext>
          </a:extLst>
        </xdr:cNvPr>
        <xdr:cNvSpPr/>
      </xdr:nvSpPr>
      <xdr:spPr>
        <a:xfrm>
          <a:off x="8803969" y="2437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11</xdr:row>
      <xdr:rowOff>17294</xdr:rowOff>
    </xdr:from>
    <xdr:to>
      <xdr:col>13</xdr:col>
      <xdr:colOff>583210</xdr:colOff>
      <xdr:row>11</xdr:row>
      <xdr:rowOff>176044</xdr:rowOff>
    </xdr:to>
    <xdr:sp macro="[0]!Macio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FF0147D1-1993-463C-AEA6-A5E566ED7603}"/>
            </a:ext>
          </a:extLst>
        </xdr:cNvPr>
        <xdr:cNvSpPr/>
      </xdr:nvSpPr>
      <xdr:spPr>
        <a:xfrm>
          <a:off x="8803969" y="2628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12</xdr:row>
      <xdr:rowOff>17114</xdr:rowOff>
    </xdr:from>
    <xdr:to>
      <xdr:col>13</xdr:col>
      <xdr:colOff>583210</xdr:colOff>
      <xdr:row>12</xdr:row>
      <xdr:rowOff>175864</xdr:rowOff>
    </xdr:to>
    <xdr:sp macro="[0]!Alex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A78639C8-055C-4B09-92FD-3410266BB304}"/>
            </a:ext>
          </a:extLst>
        </xdr:cNvPr>
        <xdr:cNvSpPr/>
      </xdr:nvSpPr>
      <xdr:spPr>
        <a:xfrm>
          <a:off x="8803969" y="2818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13</xdr:row>
      <xdr:rowOff>17294</xdr:rowOff>
    </xdr:from>
    <xdr:to>
      <xdr:col>13</xdr:col>
      <xdr:colOff>583210</xdr:colOff>
      <xdr:row>13</xdr:row>
      <xdr:rowOff>176044</xdr:rowOff>
    </xdr:to>
    <xdr:sp macro="[0]!Jean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8A37CB1A-8B60-4480-BD81-9FB5C133C7BD}"/>
            </a:ext>
          </a:extLst>
        </xdr:cNvPr>
        <xdr:cNvSpPr/>
      </xdr:nvSpPr>
      <xdr:spPr>
        <a:xfrm>
          <a:off x="8803969" y="3009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14</xdr:row>
      <xdr:rowOff>17114</xdr:rowOff>
    </xdr:from>
    <xdr:to>
      <xdr:col>13</xdr:col>
      <xdr:colOff>583210</xdr:colOff>
      <xdr:row>14</xdr:row>
      <xdr:rowOff>175864</xdr:rowOff>
    </xdr:to>
    <xdr:sp macro="[0]!Robert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E33B3356-5B53-4569-832D-ACF707DE570F}"/>
            </a:ext>
          </a:extLst>
        </xdr:cNvPr>
        <xdr:cNvSpPr/>
      </xdr:nvSpPr>
      <xdr:spPr>
        <a:xfrm>
          <a:off x="8803969" y="3199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15</xdr:row>
      <xdr:rowOff>17294</xdr:rowOff>
    </xdr:from>
    <xdr:to>
      <xdr:col>13</xdr:col>
      <xdr:colOff>583210</xdr:colOff>
      <xdr:row>15</xdr:row>
      <xdr:rowOff>176044</xdr:rowOff>
    </xdr:to>
    <xdr:sp macro="[0]!Roberto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8468D2A9-37F6-430D-9BC7-7CCF2739ECF6}"/>
            </a:ext>
          </a:extLst>
        </xdr:cNvPr>
        <xdr:cNvSpPr/>
      </xdr:nvSpPr>
      <xdr:spPr>
        <a:xfrm>
          <a:off x="8803969" y="3390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16</xdr:row>
      <xdr:rowOff>17114</xdr:rowOff>
    </xdr:from>
    <xdr:to>
      <xdr:col>13</xdr:col>
      <xdr:colOff>583210</xdr:colOff>
      <xdr:row>16</xdr:row>
      <xdr:rowOff>175864</xdr:rowOff>
    </xdr:to>
    <xdr:sp macro="[0]!Andreia" textlink="">
      <xdr:nvSpPr>
        <xdr:cNvPr id="19" name="Retângulo: Cantos Arredondados 18">
          <a:extLst>
            <a:ext uri="{FF2B5EF4-FFF2-40B4-BE49-F238E27FC236}">
              <a16:creationId xmlns:a16="http://schemas.microsoft.com/office/drawing/2014/main" id="{709EB56F-A829-45BA-9615-0F8E804C863A}"/>
            </a:ext>
          </a:extLst>
        </xdr:cNvPr>
        <xdr:cNvSpPr/>
      </xdr:nvSpPr>
      <xdr:spPr>
        <a:xfrm>
          <a:off x="8803969" y="3580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17</xdr:row>
      <xdr:rowOff>17294</xdr:rowOff>
    </xdr:from>
    <xdr:to>
      <xdr:col>13</xdr:col>
      <xdr:colOff>583210</xdr:colOff>
      <xdr:row>17</xdr:row>
      <xdr:rowOff>176044</xdr:rowOff>
    </xdr:to>
    <xdr:sp macro="[0]!Joseir_1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6BA82D40-DAE5-4341-9672-86DD971C391D}"/>
            </a:ext>
          </a:extLst>
        </xdr:cNvPr>
        <xdr:cNvSpPr/>
      </xdr:nvSpPr>
      <xdr:spPr>
        <a:xfrm>
          <a:off x="8803969" y="3771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18</xdr:row>
      <xdr:rowOff>17114</xdr:rowOff>
    </xdr:from>
    <xdr:to>
      <xdr:col>13</xdr:col>
      <xdr:colOff>583210</xdr:colOff>
      <xdr:row>18</xdr:row>
      <xdr:rowOff>175864</xdr:rowOff>
    </xdr:to>
    <xdr:sp macro="[0]!Joseir_2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F0D5EB16-E1C0-44C3-A74B-C2C32C54D68B}"/>
            </a:ext>
          </a:extLst>
        </xdr:cNvPr>
        <xdr:cNvSpPr/>
      </xdr:nvSpPr>
      <xdr:spPr>
        <a:xfrm>
          <a:off x="8803969" y="3961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19</xdr:row>
      <xdr:rowOff>17294</xdr:rowOff>
    </xdr:from>
    <xdr:to>
      <xdr:col>13</xdr:col>
      <xdr:colOff>583210</xdr:colOff>
      <xdr:row>19</xdr:row>
      <xdr:rowOff>176044</xdr:rowOff>
    </xdr:to>
    <xdr:sp macro="[0]!Ivani" textlink="">
      <xdr:nvSpPr>
        <xdr:cNvPr id="22" name="Retângulo: Cantos Arredondados 21">
          <a:extLst>
            <a:ext uri="{FF2B5EF4-FFF2-40B4-BE49-F238E27FC236}">
              <a16:creationId xmlns:a16="http://schemas.microsoft.com/office/drawing/2014/main" id="{EEBB165B-EC6F-47FC-B386-135A2A0C16B7}"/>
            </a:ext>
          </a:extLst>
        </xdr:cNvPr>
        <xdr:cNvSpPr/>
      </xdr:nvSpPr>
      <xdr:spPr>
        <a:xfrm>
          <a:off x="8803969" y="4152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20</xdr:row>
      <xdr:rowOff>17114</xdr:rowOff>
    </xdr:from>
    <xdr:to>
      <xdr:col>13</xdr:col>
      <xdr:colOff>583210</xdr:colOff>
      <xdr:row>20</xdr:row>
      <xdr:rowOff>175864</xdr:rowOff>
    </xdr:to>
    <xdr:sp macro="[0]!Josimar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A0AC94F4-4BE2-4CC4-A419-D36C78A26AE7}"/>
            </a:ext>
          </a:extLst>
        </xdr:cNvPr>
        <xdr:cNvSpPr/>
      </xdr:nvSpPr>
      <xdr:spPr>
        <a:xfrm>
          <a:off x="8803969" y="4342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21</xdr:row>
      <xdr:rowOff>17294</xdr:rowOff>
    </xdr:from>
    <xdr:to>
      <xdr:col>13</xdr:col>
      <xdr:colOff>583210</xdr:colOff>
      <xdr:row>21</xdr:row>
      <xdr:rowOff>176044</xdr:rowOff>
    </xdr:to>
    <xdr:sp macro="[0]!Julio" textlink="">
      <xdr:nvSpPr>
        <xdr:cNvPr id="24" name="Retângulo: Cantos Arredondados 23">
          <a:extLst>
            <a:ext uri="{FF2B5EF4-FFF2-40B4-BE49-F238E27FC236}">
              <a16:creationId xmlns:a16="http://schemas.microsoft.com/office/drawing/2014/main" id="{99F67237-A76D-47C1-81ED-ADDA60BC6592}"/>
            </a:ext>
          </a:extLst>
        </xdr:cNvPr>
        <xdr:cNvSpPr/>
      </xdr:nvSpPr>
      <xdr:spPr>
        <a:xfrm>
          <a:off x="8803969" y="4533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22</xdr:row>
      <xdr:rowOff>17114</xdr:rowOff>
    </xdr:from>
    <xdr:to>
      <xdr:col>13</xdr:col>
      <xdr:colOff>583210</xdr:colOff>
      <xdr:row>22</xdr:row>
      <xdr:rowOff>175864</xdr:rowOff>
    </xdr:to>
    <xdr:sp macro="[0]!Talita" textlink="">
      <xdr:nvSpPr>
        <xdr:cNvPr id="25" name="Retângulo: Cantos Arredondados 24">
          <a:extLst>
            <a:ext uri="{FF2B5EF4-FFF2-40B4-BE49-F238E27FC236}">
              <a16:creationId xmlns:a16="http://schemas.microsoft.com/office/drawing/2014/main" id="{7EC9CF08-E50D-45B8-B8D8-68C2F26B36EB}"/>
            </a:ext>
          </a:extLst>
        </xdr:cNvPr>
        <xdr:cNvSpPr/>
      </xdr:nvSpPr>
      <xdr:spPr>
        <a:xfrm>
          <a:off x="8803969" y="4723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23</xdr:row>
      <xdr:rowOff>17294</xdr:rowOff>
    </xdr:from>
    <xdr:to>
      <xdr:col>13</xdr:col>
      <xdr:colOff>583210</xdr:colOff>
      <xdr:row>23</xdr:row>
      <xdr:rowOff>176044</xdr:rowOff>
    </xdr:to>
    <xdr:sp macro="[0]!Anderson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86D217A6-FC39-4339-808A-210E58D137C9}"/>
            </a:ext>
          </a:extLst>
        </xdr:cNvPr>
        <xdr:cNvSpPr/>
      </xdr:nvSpPr>
      <xdr:spPr>
        <a:xfrm>
          <a:off x="8803969" y="4914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24</xdr:row>
      <xdr:rowOff>17114</xdr:rowOff>
    </xdr:from>
    <xdr:to>
      <xdr:col>13</xdr:col>
      <xdr:colOff>583210</xdr:colOff>
      <xdr:row>24</xdr:row>
      <xdr:rowOff>175864</xdr:rowOff>
    </xdr:to>
    <xdr:sp macro="[0]!Cleofaz" textlink="">
      <xdr:nvSpPr>
        <xdr:cNvPr id="27" name="Retângulo: Cantos Arredondados 26">
          <a:extLst>
            <a:ext uri="{FF2B5EF4-FFF2-40B4-BE49-F238E27FC236}">
              <a16:creationId xmlns:a16="http://schemas.microsoft.com/office/drawing/2014/main" id="{84D3EEB6-BB2D-478D-A0B6-96BC9D15A16B}"/>
            </a:ext>
          </a:extLst>
        </xdr:cNvPr>
        <xdr:cNvSpPr/>
      </xdr:nvSpPr>
      <xdr:spPr>
        <a:xfrm>
          <a:off x="8803969" y="5104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64747</xdr:colOff>
      <xdr:row>0</xdr:row>
      <xdr:rowOff>156261</xdr:rowOff>
    </xdr:from>
    <xdr:to>
      <xdr:col>14</xdr:col>
      <xdr:colOff>402166</xdr:colOff>
      <xdr:row>1</xdr:row>
      <xdr:rowOff>322793</xdr:rowOff>
    </xdr:to>
    <xdr:sp macro="[0]!update" textlink="">
      <xdr:nvSpPr>
        <xdr:cNvPr id="29" name="Retângulo: Cantos Arredondados 28">
          <a:extLst>
            <a:ext uri="{FF2B5EF4-FFF2-40B4-BE49-F238E27FC236}">
              <a16:creationId xmlns:a16="http://schemas.microsoft.com/office/drawing/2014/main" id="{38021DEB-EDB8-48E4-AB78-BAA29674B427}"/>
            </a:ext>
          </a:extLst>
        </xdr:cNvPr>
        <xdr:cNvSpPr/>
      </xdr:nvSpPr>
      <xdr:spPr>
        <a:xfrm>
          <a:off x="8732497" y="156261"/>
          <a:ext cx="1152336" cy="441699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rgbClr val="FFFF00"/>
              </a:solidFill>
            </a:rPr>
            <a:t>Update</a:t>
          </a:r>
          <a:endParaRPr lang="en-US" sz="1050" b="1">
            <a:solidFill>
              <a:srgbClr val="FFFF00"/>
            </a:solidFill>
          </a:endParaRPr>
        </a:p>
      </xdr:txBody>
    </xdr:sp>
    <xdr:clientData/>
  </xdr:twoCellAnchor>
  <xdr:twoCellAnchor>
    <xdr:from>
      <xdr:col>14</xdr:col>
      <xdr:colOff>445122</xdr:colOff>
      <xdr:row>0</xdr:row>
      <xdr:rowOff>156261</xdr:rowOff>
    </xdr:from>
    <xdr:to>
      <xdr:col>18</xdr:col>
      <xdr:colOff>264581</xdr:colOff>
      <xdr:row>1</xdr:row>
      <xdr:rowOff>328769</xdr:rowOff>
    </xdr:to>
    <xdr:sp macro="[0]!limparSimul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CD73E47-C6BE-4E53-85C2-C92FD1FA4834}"/>
            </a:ext>
          </a:extLst>
        </xdr:cNvPr>
        <xdr:cNvSpPr/>
      </xdr:nvSpPr>
      <xdr:spPr>
        <a:xfrm>
          <a:off x="9927789" y="156261"/>
          <a:ext cx="1777375" cy="4476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rgbClr val="FFFF00"/>
              </a:solidFill>
            </a:rPr>
            <a:t>Limpar Simulação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179917</xdr:colOff>
      <xdr:row>23</xdr:row>
      <xdr:rowOff>116417</xdr:rowOff>
    </xdr:from>
    <xdr:to>
      <xdr:col>16</xdr:col>
      <xdr:colOff>10583</xdr:colOff>
      <xdr:row>28</xdr:row>
      <xdr:rowOff>116416</xdr:rowOff>
    </xdr:to>
    <xdr:sp macro="[0]!proximaAposta" textlink="">
      <xdr:nvSpPr>
        <xdr:cNvPr id="2" name="Retângulo 1">
          <a:extLst>
            <a:ext uri="{FF2B5EF4-FFF2-40B4-BE49-F238E27FC236}">
              <a16:creationId xmlns:a16="http://schemas.microsoft.com/office/drawing/2014/main" id="{FF43D185-0457-4670-88F0-1556B3907BC3}"/>
            </a:ext>
          </a:extLst>
        </xdr:cNvPr>
        <xdr:cNvSpPr/>
      </xdr:nvSpPr>
      <xdr:spPr>
        <a:xfrm>
          <a:off x="6625167" y="5101167"/>
          <a:ext cx="2053166" cy="100541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AJUSTE DE</a:t>
          </a:r>
          <a:r>
            <a:rPr lang="en-US" sz="1400" baseline="0"/>
            <a:t> APOSTADORES</a:t>
          </a:r>
          <a:endParaRPr lang="en-US" sz="14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109819</xdr:colOff>
      <xdr:row>1</xdr:row>
      <xdr:rowOff>76200</xdr:rowOff>
    </xdr:from>
    <xdr:to>
      <xdr:col>18</xdr:col>
      <xdr:colOff>11207</xdr:colOff>
      <xdr:row>4</xdr:row>
      <xdr:rowOff>142874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B6DAB416-AEC7-4CA4-B4F0-92155A872215}"/>
            </a:ext>
          </a:extLst>
        </xdr:cNvPr>
        <xdr:cNvSpPr/>
      </xdr:nvSpPr>
      <xdr:spPr>
        <a:xfrm>
          <a:off x="8301319" y="266700"/>
          <a:ext cx="1044388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89648</xdr:colOff>
      <xdr:row>1</xdr:row>
      <xdr:rowOff>78444</xdr:rowOff>
    </xdr:from>
    <xdr:to>
      <xdr:col>21</xdr:col>
      <xdr:colOff>1</xdr:colOff>
      <xdr:row>4</xdr:row>
      <xdr:rowOff>134472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EAD70AB8-1752-43B9-8872-792F22F18724}"/>
            </a:ext>
          </a:extLst>
        </xdr:cNvPr>
        <xdr:cNvSpPr/>
      </xdr:nvSpPr>
      <xdr:spPr>
        <a:xfrm>
          <a:off x="9424148" y="268944"/>
          <a:ext cx="1053353" cy="627528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EA3512F3-896D-4F30-9D2E-168E630C12D4}"/>
            </a:ext>
          </a:extLst>
        </xdr:cNvPr>
        <xdr:cNvSpPr/>
      </xdr:nvSpPr>
      <xdr:spPr>
        <a:xfrm>
          <a:off x="8391525" y="276226"/>
          <a:ext cx="13811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123265</xdr:colOff>
      <xdr:row>17</xdr:row>
      <xdr:rowOff>56030</xdr:rowOff>
    </xdr:from>
    <xdr:to>
      <xdr:col>20</xdr:col>
      <xdr:colOff>246529</xdr:colOff>
      <xdr:row>21</xdr:row>
      <xdr:rowOff>11207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2CFAA18-E2F8-48FB-B31A-50AAB0027E77}"/>
            </a:ext>
          </a:extLst>
        </xdr:cNvPr>
        <xdr:cNvSpPr/>
      </xdr:nvSpPr>
      <xdr:spPr>
        <a:xfrm>
          <a:off x="8695765" y="3294530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5F421C38-1FAE-4FE7-AC9C-758DE4C56E79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156883</xdr:colOff>
      <xdr:row>17</xdr:row>
      <xdr:rowOff>112059</xdr:rowOff>
    </xdr:from>
    <xdr:to>
      <xdr:col>20</xdr:col>
      <xdr:colOff>280147</xdr:colOff>
      <xdr:row>21</xdr:row>
      <xdr:rowOff>67236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88C5E244-AD98-4FB5-9E4D-8A22AC2F2A8A}"/>
            </a:ext>
          </a:extLst>
        </xdr:cNvPr>
        <xdr:cNvSpPr/>
      </xdr:nvSpPr>
      <xdr:spPr>
        <a:xfrm>
          <a:off x="8729383" y="3350559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6990860-51BF-4C6D-9734-898F3010BD8B}"/>
            </a:ext>
          </a:extLst>
        </xdr:cNvPr>
        <xdr:cNvSpPr/>
      </xdr:nvSpPr>
      <xdr:spPr>
        <a:xfrm>
          <a:off x="7905750" y="266700"/>
          <a:ext cx="13811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156882</xdr:colOff>
      <xdr:row>17</xdr:row>
      <xdr:rowOff>100853</xdr:rowOff>
    </xdr:from>
    <xdr:to>
      <xdr:col>20</xdr:col>
      <xdr:colOff>280146</xdr:colOff>
      <xdr:row>21</xdr:row>
      <xdr:rowOff>56030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AB312EC7-D4EF-4B63-8F1E-F8A2767EA3CC}"/>
            </a:ext>
          </a:extLst>
        </xdr:cNvPr>
        <xdr:cNvSpPr/>
      </xdr:nvSpPr>
      <xdr:spPr>
        <a:xfrm>
          <a:off x="8729382" y="3339353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953C5D3-8B99-4C30-8C56-F3C3D66E88FE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145677</xdr:colOff>
      <xdr:row>17</xdr:row>
      <xdr:rowOff>78441</xdr:rowOff>
    </xdr:from>
    <xdr:to>
      <xdr:col>20</xdr:col>
      <xdr:colOff>268941</xdr:colOff>
      <xdr:row>21</xdr:row>
      <xdr:rowOff>33618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EE21BA85-AA72-497D-8576-D76B28CE0632}"/>
            </a:ext>
          </a:extLst>
        </xdr:cNvPr>
        <xdr:cNvSpPr/>
      </xdr:nvSpPr>
      <xdr:spPr>
        <a:xfrm>
          <a:off x="8718177" y="3316941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BBE2406-F45A-4DE4-A4F0-3C10CC8A4B04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168088</xdr:colOff>
      <xdr:row>17</xdr:row>
      <xdr:rowOff>67236</xdr:rowOff>
    </xdr:from>
    <xdr:to>
      <xdr:col>20</xdr:col>
      <xdr:colOff>291352</xdr:colOff>
      <xdr:row>21</xdr:row>
      <xdr:rowOff>22413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C99CF932-F4C3-496E-8773-516032D0C6BE}"/>
            </a:ext>
          </a:extLst>
        </xdr:cNvPr>
        <xdr:cNvSpPr/>
      </xdr:nvSpPr>
      <xdr:spPr>
        <a:xfrm>
          <a:off x="8740588" y="3305736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06A4513-96E0-4C1A-8017-0207D5BBB58C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123265</xdr:colOff>
      <xdr:row>17</xdr:row>
      <xdr:rowOff>78441</xdr:rowOff>
    </xdr:from>
    <xdr:to>
      <xdr:col>20</xdr:col>
      <xdr:colOff>246529</xdr:colOff>
      <xdr:row>21</xdr:row>
      <xdr:rowOff>33618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74870CB5-D98C-498B-89FE-9E95230C6C54}"/>
            </a:ext>
          </a:extLst>
        </xdr:cNvPr>
        <xdr:cNvSpPr/>
      </xdr:nvSpPr>
      <xdr:spPr>
        <a:xfrm>
          <a:off x="8695765" y="3316941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4D15CFFA-8396-4FD2-9EEC-34CEC0F880E7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134471</xdr:colOff>
      <xdr:row>17</xdr:row>
      <xdr:rowOff>89647</xdr:rowOff>
    </xdr:from>
    <xdr:to>
      <xdr:col>20</xdr:col>
      <xdr:colOff>257735</xdr:colOff>
      <xdr:row>21</xdr:row>
      <xdr:rowOff>44824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75B05E9C-994A-4A97-A4F5-09F21C939C84}"/>
            </a:ext>
          </a:extLst>
        </xdr:cNvPr>
        <xdr:cNvSpPr/>
      </xdr:nvSpPr>
      <xdr:spPr>
        <a:xfrm>
          <a:off x="8706971" y="3328147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2A7DB25-FF85-4385-A05C-27A2813CC1E4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123265</xdr:colOff>
      <xdr:row>17</xdr:row>
      <xdr:rowOff>112058</xdr:rowOff>
    </xdr:from>
    <xdr:to>
      <xdr:col>20</xdr:col>
      <xdr:colOff>246529</xdr:colOff>
      <xdr:row>21</xdr:row>
      <xdr:rowOff>67235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6A867288-3C59-4517-A1EE-09A3D5D82E89}"/>
            </a:ext>
          </a:extLst>
        </xdr:cNvPr>
        <xdr:cNvSpPr/>
      </xdr:nvSpPr>
      <xdr:spPr>
        <a:xfrm>
          <a:off x="8695765" y="3350558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BFC1C10-37FB-49F1-A078-3CD01A6C36E7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134471</xdr:colOff>
      <xdr:row>17</xdr:row>
      <xdr:rowOff>78441</xdr:rowOff>
    </xdr:from>
    <xdr:to>
      <xdr:col>20</xdr:col>
      <xdr:colOff>257735</xdr:colOff>
      <xdr:row>21</xdr:row>
      <xdr:rowOff>33618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A2696FDE-93BB-4769-AFC6-77DF2D315946}"/>
            </a:ext>
          </a:extLst>
        </xdr:cNvPr>
        <xdr:cNvSpPr/>
      </xdr:nvSpPr>
      <xdr:spPr>
        <a:xfrm>
          <a:off x="8706971" y="3316941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E03CF08-7253-4BDB-8F6A-AC2D8C83F355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134470</xdr:colOff>
      <xdr:row>17</xdr:row>
      <xdr:rowOff>89647</xdr:rowOff>
    </xdr:from>
    <xdr:to>
      <xdr:col>20</xdr:col>
      <xdr:colOff>257734</xdr:colOff>
      <xdr:row>21</xdr:row>
      <xdr:rowOff>44824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90106F10-69E7-46AE-BD96-B93AC96A5FD2}"/>
            </a:ext>
          </a:extLst>
        </xdr:cNvPr>
        <xdr:cNvSpPr/>
      </xdr:nvSpPr>
      <xdr:spPr>
        <a:xfrm>
          <a:off x="8706970" y="3328147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C8B2289-BE1E-4D0B-9B58-76E06CEC78AC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156882</xdr:colOff>
      <xdr:row>17</xdr:row>
      <xdr:rowOff>78441</xdr:rowOff>
    </xdr:from>
    <xdr:to>
      <xdr:col>20</xdr:col>
      <xdr:colOff>280146</xdr:colOff>
      <xdr:row>21</xdr:row>
      <xdr:rowOff>33618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B7AA67F6-ADDB-4263-8EDA-9951E448C13F}"/>
            </a:ext>
          </a:extLst>
        </xdr:cNvPr>
        <xdr:cNvSpPr/>
      </xdr:nvSpPr>
      <xdr:spPr>
        <a:xfrm>
          <a:off x="8729382" y="3316941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ACC010EE-FEEE-4F87-B8A5-35498A641DA3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123264</xdr:colOff>
      <xdr:row>17</xdr:row>
      <xdr:rowOff>67235</xdr:rowOff>
    </xdr:from>
    <xdr:to>
      <xdr:col>20</xdr:col>
      <xdr:colOff>246528</xdr:colOff>
      <xdr:row>21</xdr:row>
      <xdr:rowOff>22412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CA3B712E-C38E-4B4B-843D-96D609D9A858}"/>
            </a:ext>
          </a:extLst>
        </xdr:cNvPr>
        <xdr:cNvSpPr/>
      </xdr:nvSpPr>
      <xdr:spPr>
        <a:xfrm>
          <a:off x="8695764" y="3305735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B69D6CE-27A7-40F3-A0DE-4A1371712F28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123265</xdr:colOff>
      <xdr:row>17</xdr:row>
      <xdr:rowOff>100853</xdr:rowOff>
    </xdr:from>
    <xdr:to>
      <xdr:col>20</xdr:col>
      <xdr:colOff>246529</xdr:colOff>
      <xdr:row>21</xdr:row>
      <xdr:rowOff>56030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4379F04-3C8D-44AC-872D-6528B28F52CF}"/>
            </a:ext>
          </a:extLst>
        </xdr:cNvPr>
        <xdr:cNvSpPr/>
      </xdr:nvSpPr>
      <xdr:spPr>
        <a:xfrm>
          <a:off x="8695765" y="3339353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EAA85180-39A5-4AD3-83EE-F56B4BE91333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168088</xdr:colOff>
      <xdr:row>17</xdr:row>
      <xdr:rowOff>89647</xdr:rowOff>
    </xdr:from>
    <xdr:to>
      <xdr:col>20</xdr:col>
      <xdr:colOff>291352</xdr:colOff>
      <xdr:row>21</xdr:row>
      <xdr:rowOff>44824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3FE15ADD-0DC7-448C-8DF9-DD5F822748DE}"/>
            </a:ext>
          </a:extLst>
        </xdr:cNvPr>
        <xdr:cNvSpPr/>
      </xdr:nvSpPr>
      <xdr:spPr>
        <a:xfrm>
          <a:off x="8740588" y="3328147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831CAAD0-84EA-45E2-8A92-4A7E0687DD52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134470</xdr:colOff>
      <xdr:row>17</xdr:row>
      <xdr:rowOff>89647</xdr:rowOff>
    </xdr:from>
    <xdr:to>
      <xdr:col>20</xdr:col>
      <xdr:colOff>257734</xdr:colOff>
      <xdr:row>21</xdr:row>
      <xdr:rowOff>44824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58DAC84-8FCF-4F58-9593-7612CB128B94}"/>
            </a:ext>
          </a:extLst>
        </xdr:cNvPr>
        <xdr:cNvSpPr/>
      </xdr:nvSpPr>
      <xdr:spPr>
        <a:xfrm>
          <a:off x="8706970" y="3328147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3814591-86E0-460D-89CA-719AF47706B4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156883</xdr:colOff>
      <xdr:row>17</xdr:row>
      <xdr:rowOff>123265</xdr:rowOff>
    </xdr:from>
    <xdr:to>
      <xdr:col>20</xdr:col>
      <xdr:colOff>280147</xdr:colOff>
      <xdr:row>21</xdr:row>
      <xdr:rowOff>78442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2EC6F1B8-8EE8-4B14-BCE2-12A0CD0E9B57}"/>
            </a:ext>
          </a:extLst>
        </xdr:cNvPr>
        <xdr:cNvSpPr/>
      </xdr:nvSpPr>
      <xdr:spPr>
        <a:xfrm>
          <a:off x="8729383" y="3361765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72D4015-ADAC-4C55-9EE0-BA5F27E8BA07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4ECDE99B-5951-4E6B-8A52-986570F52A53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112059</xdr:colOff>
      <xdr:row>17</xdr:row>
      <xdr:rowOff>78441</xdr:rowOff>
    </xdr:from>
    <xdr:to>
      <xdr:col>20</xdr:col>
      <xdr:colOff>235323</xdr:colOff>
      <xdr:row>21</xdr:row>
      <xdr:rowOff>33618</xdr:rowOff>
    </xdr:to>
    <xdr:sp macro="[0]!homeClassificaçã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55C516F6-8DBF-4442-8687-80F0743385A3}"/>
            </a:ext>
          </a:extLst>
        </xdr:cNvPr>
        <xdr:cNvSpPr/>
      </xdr:nvSpPr>
      <xdr:spPr>
        <a:xfrm>
          <a:off x="8684559" y="3316941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88E4FD8-E3D6-4AA2-A8BD-C5E9FB18C1AD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123265</xdr:colOff>
      <xdr:row>17</xdr:row>
      <xdr:rowOff>100853</xdr:rowOff>
    </xdr:from>
    <xdr:to>
      <xdr:col>20</xdr:col>
      <xdr:colOff>246529</xdr:colOff>
      <xdr:row>21</xdr:row>
      <xdr:rowOff>56030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28DDF35-09C1-4BB1-9AA0-17D8A9576226}"/>
            </a:ext>
          </a:extLst>
        </xdr:cNvPr>
        <xdr:cNvSpPr/>
      </xdr:nvSpPr>
      <xdr:spPr>
        <a:xfrm>
          <a:off x="8695765" y="3339353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4C7D42F-2951-49E7-8839-FA5D254A5F4A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134471</xdr:colOff>
      <xdr:row>17</xdr:row>
      <xdr:rowOff>89647</xdr:rowOff>
    </xdr:from>
    <xdr:to>
      <xdr:col>20</xdr:col>
      <xdr:colOff>257735</xdr:colOff>
      <xdr:row>21</xdr:row>
      <xdr:rowOff>44824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E8170200-0BF8-4F30-971D-90C79B5F1816}"/>
            </a:ext>
          </a:extLst>
        </xdr:cNvPr>
        <xdr:cNvSpPr/>
      </xdr:nvSpPr>
      <xdr:spPr>
        <a:xfrm>
          <a:off x="8706971" y="3328147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A06C0EFB-6637-4538-A3EF-A4C08FD426E2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123264</xdr:colOff>
      <xdr:row>17</xdr:row>
      <xdr:rowOff>112058</xdr:rowOff>
    </xdr:from>
    <xdr:to>
      <xdr:col>20</xdr:col>
      <xdr:colOff>246528</xdr:colOff>
      <xdr:row>21</xdr:row>
      <xdr:rowOff>67235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356047B6-0FFD-4036-8EA9-2ECC41D3D866}"/>
            </a:ext>
          </a:extLst>
        </xdr:cNvPr>
        <xdr:cNvSpPr/>
      </xdr:nvSpPr>
      <xdr:spPr>
        <a:xfrm>
          <a:off x="8695764" y="3350558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B919286F-FA23-4ADD-A5D7-67707C1162B6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145676</xdr:colOff>
      <xdr:row>17</xdr:row>
      <xdr:rowOff>89647</xdr:rowOff>
    </xdr:from>
    <xdr:to>
      <xdr:col>20</xdr:col>
      <xdr:colOff>268940</xdr:colOff>
      <xdr:row>21</xdr:row>
      <xdr:rowOff>44824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35E16833-2F69-41F1-B83F-521F9CAA63B2}"/>
            </a:ext>
          </a:extLst>
        </xdr:cNvPr>
        <xdr:cNvSpPr/>
      </xdr:nvSpPr>
      <xdr:spPr>
        <a:xfrm>
          <a:off x="8718176" y="3328147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F912C9ED-D037-47FF-BA8E-E0955BE979EE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123265</xdr:colOff>
      <xdr:row>17</xdr:row>
      <xdr:rowOff>89647</xdr:rowOff>
    </xdr:from>
    <xdr:to>
      <xdr:col>20</xdr:col>
      <xdr:colOff>246529</xdr:colOff>
      <xdr:row>21</xdr:row>
      <xdr:rowOff>44824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9D43CD55-2AB6-4B9D-938B-2DB59AC9490C}"/>
            </a:ext>
          </a:extLst>
        </xdr:cNvPr>
        <xdr:cNvSpPr/>
      </xdr:nvSpPr>
      <xdr:spPr>
        <a:xfrm>
          <a:off x="8695765" y="3328147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B3CBC-772C-46C7-BF24-548FE6231066}">
  <sheetPr codeName="Planilha33"/>
  <dimension ref="B2:L124"/>
  <sheetViews>
    <sheetView workbookViewId="0">
      <selection activeCell="L2" sqref="L2"/>
    </sheetView>
  </sheetViews>
  <sheetFormatPr defaultColWidth="4" defaultRowHeight="15" x14ac:dyDescent="0.25"/>
  <sheetData>
    <row r="2" spans="2:12" x14ac:dyDescent="0.25">
      <c r="B2" s="68" t="s">
        <v>16</v>
      </c>
      <c r="C2" s="68"/>
      <c r="D2" s="68"/>
      <c r="E2" s="67">
        <v>1</v>
      </c>
      <c r="F2" s="67"/>
      <c r="G2" s="67">
        <v>1</v>
      </c>
      <c r="H2" s="68" t="s">
        <v>34</v>
      </c>
      <c r="I2" s="68"/>
      <c r="J2" s="68"/>
      <c r="L2" t="s">
        <v>89</v>
      </c>
    </row>
    <row r="3" spans="2:12" x14ac:dyDescent="0.25">
      <c r="B3" s="68" t="s">
        <v>55</v>
      </c>
      <c r="C3" s="68"/>
      <c r="D3" s="68"/>
      <c r="E3" s="67">
        <v>1</v>
      </c>
      <c r="F3" s="67"/>
      <c r="G3" s="67">
        <v>2</v>
      </c>
      <c r="H3" s="68" t="s">
        <v>24</v>
      </c>
      <c r="I3" s="68"/>
      <c r="J3" s="68"/>
    </row>
    <row r="4" spans="2:12" x14ac:dyDescent="0.25">
      <c r="B4" s="68" t="s">
        <v>10</v>
      </c>
      <c r="C4" s="68"/>
      <c r="D4" s="68"/>
      <c r="E4" s="67">
        <v>1</v>
      </c>
      <c r="F4" s="67"/>
      <c r="G4" s="67">
        <v>2</v>
      </c>
      <c r="H4" s="68" t="s">
        <v>23</v>
      </c>
      <c r="I4" s="68"/>
      <c r="J4" s="68"/>
    </row>
    <row r="6" spans="2:12" x14ac:dyDescent="0.25">
      <c r="B6" s="68" t="s">
        <v>28</v>
      </c>
      <c r="C6" s="68"/>
      <c r="D6" s="68"/>
      <c r="E6" s="67">
        <v>0</v>
      </c>
      <c r="F6" s="67"/>
      <c r="G6" s="67">
        <v>2</v>
      </c>
      <c r="H6" s="68" t="s">
        <v>19</v>
      </c>
      <c r="I6" s="68"/>
      <c r="J6" s="68"/>
      <c r="L6" t="s">
        <v>88</v>
      </c>
    </row>
    <row r="7" spans="2:12" x14ac:dyDescent="0.25">
      <c r="B7" s="68" t="s">
        <v>26</v>
      </c>
      <c r="C7" s="68"/>
      <c r="D7" s="68"/>
      <c r="E7" s="67">
        <v>2</v>
      </c>
      <c r="F7" s="67"/>
      <c r="G7" s="67">
        <v>0</v>
      </c>
      <c r="H7" s="68" t="s">
        <v>55</v>
      </c>
      <c r="I7" s="68"/>
      <c r="J7" s="68"/>
    </row>
    <row r="8" spans="2:12" x14ac:dyDescent="0.25">
      <c r="B8" s="68" t="s">
        <v>18</v>
      </c>
      <c r="C8" s="68"/>
      <c r="D8" s="68"/>
      <c r="E8" s="67">
        <v>0</v>
      </c>
      <c r="F8" s="67"/>
      <c r="G8" s="67">
        <v>2</v>
      </c>
      <c r="H8" s="68" t="s">
        <v>32</v>
      </c>
      <c r="I8" s="68"/>
      <c r="J8" s="68"/>
    </row>
    <row r="10" spans="2:12" x14ac:dyDescent="0.25">
      <c r="B10" s="68" t="s">
        <v>28</v>
      </c>
      <c r="C10" s="68"/>
      <c r="D10" s="68"/>
      <c r="E10" s="67">
        <v>0</v>
      </c>
      <c r="F10" s="67"/>
      <c r="G10" s="67">
        <v>2</v>
      </c>
      <c r="H10" s="68" t="s">
        <v>19</v>
      </c>
      <c r="I10" s="68"/>
      <c r="J10" s="68"/>
      <c r="L10" t="s">
        <v>87</v>
      </c>
    </row>
    <row r="11" spans="2:12" x14ac:dyDescent="0.25">
      <c r="B11" s="68" t="s">
        <v>19</v>
      </c>
      <c r="C11" s="68"/>
      <c r="D11" s="68"/>
      <c r="E11" s="67">
        <v>1</v>
      </c>
      <c r="F11" s="67"/>
      <c r="G11" s="67">
        <v>1</v>
      </c>
      <c r="H11" s="68" t="s">
        <v>14</v>
      </c>
      <c r="I11" s="68"/>
      <c r="J11" s="68"/>
    </row>
    <row r="12" spans="2:12" x14ac:dyDescent="0.25">
      <c r="B12" s="68" t="s">
        <v>26</v>
      </c>
      <c r="C12" s="68"/>
      <c r="D12" s="68"/>
      <c r="E12" s="67">
        <v>0</v>
      </c>
      <c r="F12" s="67"/>
      <c r="G12" s="67">
        <v>2</v>
      </c>
      <c r="H12" s="68" t="s">
        <v>5</v>
      </c>
      <c r="I12" s="68"/>
      <c r="J12" s="68"/>
    </row>
    <row r="13" spans="2:12" x14ac:dyDescent="0.25">
      <c r="B13" s="68" t="s">
        <v>15</v>
      </c>
      <c r="C13" s="68"/>
      <c r="D13" s="68"/>
      <c r="E13" s="67">
        <v>1</v>
      </c>
      <c r="F13" s="67"/>
      <c r="G13" s="67">
        <v>1</v>
      </c>
      <c r="H13" s="68" t="s">
        <v>4</v>
      </c>
      <c r="I13" s="68"/>
      <c r="J13" s="68"/>
    </row>
    <row r="14" spans="2:12" x14ac:dyDescent="0.25">
      <c r="B14" s="68" t="s">
        <v>18</v>
      </c>
      <c r="C14" s="68"/>
      <c r="D14" s="68"/>
      <c r="E14" s="67">
        <v>0</v>
      </c>
      <c r="F14" s="67"/>
      <c r="G14" s="67">
        <v>2</v>
      </c>
      <c r="H14" s="68" t="s">
        <v>32</v>
      </c>
      <c r="I14" s="68"/>
      <c r="J14" s="68"/>
    </row>
    <row r="16" spans="2:12" x14ac:dyDescent="0.25">
      <c r="B16" s="68" t="s">
        <v>16</v>
      </c>
      <c r="C16" s="68"/>
      <c r="D16" s="68"/>
      <c r="E16" s="67">
        <v>1</v>
      </c>
      <c r="F16" s="67"/>
      <c r="G16" s="67">
        <v>1</v>
      </c>
      <c r="H16" s="68" t="s">
        <v>34</v>
      </c>
      <c r="I16" s="68"/>
      <c r="J16" s="68"/>
      <c r="L16" t="s">
        <v>86</v>
      </c>
    </row>
    <row r="17" spans="2:12" x14ac:dyDescent="0.25">
      <c r="B17" s="68" t="s">
        <v>34</v>
      </c>
      <c r="C17" s="68"/>
      <c r="D17" s="68"/>
      <c r="E17" s="67">
        <v>0</v>
      </c>
      <c r="F17" s="67"/>
      <c r="G17" s="67">
        <v>3</v>
      </c>
      <c r="H17" s="68" t="s">
        <v>20</v>
      </c>
      <c r="I17" s="68"/>
      <c r="J17" s="68"/>
    </row>
    <row r="18" spans="2:12" x14ac:dyDescent="0.25">
      <c r="B18" s="68" t="s">
        <v>26</v>
      </c>
      <c r="C18" s="68"/>
      <c r="D18" s="68"/>
      <c r="E18" s="67">
        <v>2</v>
      </c>
      <c r="F18" s="67"/>
      <c r="G18" s="67">
        <v>0</v>
      </c>
      <c r="H18" s="68" t="s">
        <v>55</v>
      </c>
      <c r="I18" s="68"/>
      <c r="J18" s="68"/>
    </row>
    <row r="20" spans="2:12" x14ac:dyDescent="0.25">
      <c r="B20" s="68" t="s">
        <v>31</v>
      </c>
      <c r="C20" s="68"/>
      <c r="D20" s="68"/>
      <c r="E20" s="67">
        <v>0</v>
      </c>
      <c r="F20" s="67"/>
      <c r="G20" s="67">
        <v>1</v>
      </c>
      <c r="H20" s="68" t="s">
        <v>6</v>
      </c>
      <c r="I20" s="68"/>
      <c r="J20" s="68"/>
      <c r="L20" t="s">
        <v>85</v>
      </c>
    </row>
    <row r="21" spans="2:12" x14ac:dyDescent="0.25">
      <c r="B21" s="68" t="s">
        <v>15</v>
      </c>
      <c r="C21" s="68"/>
      <c r="D21" s="68"/>
      <c r="E21" s="67">
        <v>1</v>
      </c>
      <c r="F21" s="67"/>
      <c r="G21" s="67">
        <v>1</v>
      </c>
      <c r="H21" s="68" t="s">
        <v>4</v>
      </c>
      <c r="I21" s="68"/>
      <c r="J21" s="68"/>
    </row>
    <row r="23" spans="2:12" x14ac:dyDescent="0.25">
      <c r="B23" s="68" t="s">
        <v>4</v>
      </c>
      <c r="C23" s="68"/>
      <c r="D23" s="68"/>
      <c r="E23" s="67">
        <v>1</v>
      </c>
      <c r="F23" s="67"/>
      <c r="G23" s="67">
        <v>2</v>
      </c>
      <c r="H23" s="68" t="s">
        <v>22</v>
      </c>
      <c r="I23" s="68"/>
      <c r="J23" s="68"/>
      <c r="L23" t="s">
        <v>84</v>
      </c>
    </row>
    <row r="24" spans="2:12" x14ac:dyDescent="0.25">
      <c r="B24" s="68" t="s">
        <v>15</v>
      </c>
      <c r="C24" s="68"/>
      <c r="D24" s="68"/>
      <c r="E24" s="67">
        <v>1</v>
      </c>
      <c r="F24" s="67"/>
      <c r="G24" s="67">
        <v>1</v>
      </c>
      <c r="H24" s="68" t="s">
        <v>4</v>
      </c>
      <c r="I24" s="68"/>
      <c r="J24" s="68"/>
    </row>
    <row r="25" spans="2:12" x14ac:dyDescent="0.25">
      <c r="B25" s="68" t="s">
        <v>22</v>
      </c>
      <c r="C25" s="68"/>
      <c r="D25" s="68"/>
      <c r="E25" s="67">
        <v>2</v>
      </c>
      <c r="F25" s="67"/>
      <c r="G25" s="67">
        <v>1</v>
      </c>
      <c r="H25" s="68" t="s">
        <v>15</v>
      </c>
      <c r="I25" s="68"/>
      <c r="J25" s="68"/>
    </row>
    <row r="26" spans="2:12" x14ac:dyDescent="0.25">
      <c r="B26" s="68" t="s">
        <v>7</v>
      </c>
      <c r="C26" s="68"/>
      <c r="D26" s="68"/>
      <c r="E26" s="67">
        <v>1</v>
      </c>
      <c r="F26" s="67"/>
      <c r="G26" s="67">
        <v>0</v>
      </c>
      <c r="H26" s="68" t="s">
        <v>10</v>
      </c>
      <c r="I26" s="68"/>
      <c r="J26" s="68"/>
    </row>
    <row r="28" spans="2:12" x14ac:dyDescent="0.25">
      <c r="B28" s="68" t="s">
        <v>31</v>
      </c>
      <c r="C28" s="68"/>
      <c r="D28" s="68"/>
      <c r="E28" s="67">
        <v>1</v>
      </c>
      <c r="F28" s="67"/>
      <c r="G28" s="67">
        <v>0</v>
      </c>
      <c r="H28" s="68" t="s">
        <v>17</v>
      </c>
      <c r="I28" s="68"/>
      <c r="J28" s="68"/>
      <c r="L28" t="s">
        <v>83</v>
      </c>
    </row>
    <row r="29" spans="2:12" x14ac:dyDescent="0.25">
      <c r="B29" s="68" t="s">
        <v>6</v>
      </c>
      <c r="C29" s="68"/>
      <c r="D29" s="68"/>
      <c r="E29" s="67">
        <v>1</v>
      </c>
      <c r="F29" s="67"/>
      <c r="G29" s="67">
        <v>0</v>
      </c>
      <c r="H29" s="68" t="s">
        <v>13</v>
      </c>
      <c r="I29" s="68"/>
      <c r="J29" s="68"/>
    </row>
    <row r="30" spans="2:12" x14ac:dyDescent="0.25">
      <c r="B30" s="68" t="s">
        <v>7</v>
      </c>
      <c r="C30" s="68"/>
      <c r="D30" s="68"/>
      <c r="E30" s="67">
        <v>1</v>
      </c>
      <c r="F30" s="67"/>
      <c r="G30" s="67">
        <v>0</v>
      </c>
      <c r="H30" s="68" t="s">
        <v>10</v>
      </c>
      <c r="I30" s="68"/>
      <c r="J30" s="68"/>
    </row>
    <row r="31" spans="2:12" x14ac:dyDescent="0.25">
      <c r="B31" s="68" t="s">
        <v>30</v>
      </c>
      <c r="C31" s="68"/>
      <c r="D31" s="68"/>
      <c r="E31" s="67">
        <v>1</v>
      </c>
      <c r="F31" s="67"/>
      <c r="G31" s="67">
        <v>0</v>
      </c>
      <c r="H31" s="68" t="s">
        <v>9</v>
      </c>
      <c r="I31" s="68"/>
      <c r="J31" s="68"/>
    </row>
    <row r="32" spans="2:12" x14ac:dyDescent="0.25">
      <c r="B32" s="68" t="s">
        <v>8</v>
      </c>
      <c r="C32" s="68"/>
      <c r="D32" s="68"/>
      <c r="E32" s="67">
        <v>1</v>
      </c>
      <c r="F32" s="67"/>
      <c r="G32" s="67">
        <v>0</v>
      </c>
      <c r="H32" s="68" t="s">
        <v>30</v>
      </c>
      <c r="I32" s="68"/>
      <c r="J32" s="68"/>
    </row>
    <row r="33" spans="2:12" x14ac:dyDescent="0.25">
      <c r="B33" s="68" t="s">
        <v>9</v>
      </c>
      <c r="C33" s="68"/>
      <c r="D33" s="68"/>
      <c r="E33" s="67">
        <v>1</v>
      </c>
      <c r="F33" s="67"/>
      <c r="G33" s="67">
        <v>0</v>
      </c>
      <c r="H33" s="68" t="s">
        <v>8</v>
      </c>
      <c r="I33" s="68"/>
      <c r="J33" s="68"/>
    </row>
    <row r="35" spans="2:12" x14ac:dyDescent="0.25">
      <c r="B35" s="68" t="s">
        <v>21</v>
      </c>
      <c r="C35" s="68"/>
      <c r="D35" s="68"/>
      <c r="E35" s="67">
        <v>0</v>
      </c>
      <c r="F35" s="67"/>
      <c r="G35" s="67">
        <v>1</v>
      </c>
      <c r="H35" s="68" t="s">
        <v>16</v>
      </c>
      <c r="I35" s="68"/>
      <c r="J35" s="68"/>
      <c r="L35" t="s">
        <v>82</v>
      </c>
    </row>
    <row r="36" spans="2:12" x14ac:dyDescent="0.25">
      <c r="B36" s="68" t="s">
        <v>31</v>
      </c>
      <c r="C36" s="68"/>
      <c r="D36" s="68"/>
      <c r="E36" s="67">
        <v>0</v>
      </c>
      <c r="F36" s="67"/>
      <c r="G36" s="67">
        <v>1</v>
      </c>
      <c r="H36" s="68" t="s">
        <v>6</v>
      </c>
      <c r="I36" s="68"/>
      <c r="J36" s="68"/>
    </row>
    <row r="37" spans="2:12" x14ac:dyDescent="0.25">
      <c r="B37" s="68" t="s">
        <v>22</v>
      </c>
      <c r="C37" s="68"/>
      <c r="D37" s="68"/>
      <c r="E37" s="67">
        <v>0</v>
      </c>
      <c r="F37" s="67"/>
      <c r="G37" s="67">
        <v>1</v>
      </c>
      <c r="H37" s="68" t="s">
        <v>56</v>
      </c>
      <c r="I37" s="68"/>
      <c r="J37" s="68"/>
    </row>
    <row r="39" spans="2:12" x14ac:dyDescent="0.25">
      <c r="B39" s="68" t="s">
        <v>19</v>
      </c>
      <c r="C39" s="68"/>
      <c r="D39" s="68"/>
      <c r="E39" s="67">
        <v>2</v>
      </c>
      <c r="F39" s="67"/>
      <c r="G39" s="67">
        <v>0</v>
      </c>
      <c r="H39" s="68" t="s">
        <v>11</v>
      </c>
      <c r="I39" s="68"/>
      <c r="J39" s="68"/>
      <c r="L39" t="s">
        <v>80</v>
      </c>
    </row>
    <row r="40" spans="2:12" x14ac:dyDescent="0.25">
      <c r="B40" s="68" t="s">
        <v>56</v>
      </c>
      <c r="C40" s="68"/>
      <c r="D40" s="68"/>
      <c r="E40" s="67">
        <v>2</v>
      </c>
      <c r="F40" s="67"/>
      <c r="G40" s="67">
        <v>4</v>
      </c>
      <c r="H40" s="68" t="s">
        <v>4</v>
      </c>
      <c r="I40" s="68"/>
      <c r="J40" s="68"/>
    </row>
    <row r="41" spans="2:12" x14ac:dyDescent="0.25">
      <c r="B41" s="68" t="s">
        <v>32</v>
      </c>
      <c r="C41" s="68"/>
      <c r="D41" s="68"/>
      <c r="E41" s="67">
        <v>0</v>
      </c>
      <c r="F41" s="67"/>
      <c r="G41" s="67">
        <v>0</v>
      </c>
      <c r="H41" s="68" t="s">
        <v>67</v>
      </c>
      <c r="I41" s="68"/>
      <c r="J41" s="68"/>
    </row>
    <row r="43" spans="2:12" x14ac:dyDescent="0.25">
      <c r="B43" s="68" t="s">
        <v>21</v>
      </c>
      <c r="C43" s="68"/>
      <c r="D43" s="68"/>
      <c r="E43" s="67">
        <v>0</v>
      </c>
      <c r="F43" s="67"/>
      <c r="G43" s="67">
        <v>1</v>
      </c>
      <c r="H43" s="68" t="s">
        <v>16</v>
      </c>
      <c r="I43" s="68"/>
      <c r="J43" s="68"/>
      <c r="L43" t="s">
        <v>79</v>
      </c>
    </row>
    <row r="44" spans="2:12" x14ac:dyDescent="0.25">
      <c r="B44" s="68" t="s">
        <v>55</v>
      </c>
      <c r="C44" s="68"/>
      <c r="D44" s="68"/>
      <c r="E44" s="67">
        <v>1</v>
      </c>
      <c r="F44" s="67"/>
      <c r="G44" s="67">
        <v>2</v>
      </c>
      <c r="H44" s="68" t="s">
        <v>24</v>
      </c>
      <c r="I44" s="68"/>
      <c r="J44" s="68"/>
    </row>
    <row r="45" spans="2:12" x14ac:dyDescent="0.25">
      <c r="B45" s="68" t="s">
        <v>31</v>
      </c>
      <c r="C45" s="68"/>
      <c r="D45" s="68"/>
      <c r="E45" s="67">
        <v>0</v>
      </c>
      <c r="F45" s="67"/>
      <c r="G45" s="67">
        <v>1</v>
      </c>
      <c r="H45" s="68" t="s">
        <v>6</v>
      </c>
      <c r="I45" s="68"/>
      <c r="J45" s="68"/>
    </row>
    <row r="46" spans="2:12" x14ac:dyDescent="0.25">
      <c r="B46" s="68" t="s">
        <v>17</v>
      </c>
      <c r="C46" s="68"/>
      <c r="D46" s="68"/>
      <c r="E46" s="67">
        <v>2</v>
      </c>
      <c r="F46" s="67"/>
      <c r="G46" s="67">
        <v>1</v>
      </c>
      <c r="H46" s="68" t="s">
        <v>13</v>
      </c>
      <c r="I46" s="68"/>
      <c r="J46" s="68"/>
    </row>
    <row r="48" spans="2:12" x14ac:dyDescent="0.25">
      <c r="B48" s="68" t="s">
        <v>34</v>
      </c>
      <c r="C48" s="68"/>
      <c r="D48" s="68"/>
      <c r="E48" s="67">
        <v>0</v>
      </c>
      <c r="F48" s="67"/>
      <c r="G48" s="67">
        <v>3</v>
      </c>
      <c r="H48" s="68" t="s">
        <v>20</v>
      </c>
      <c r="I48" s="68"/>
      <c r="J48" s="68"/>
      <c r="L48" t="s">
        <v>78</v>
      </c>
    </row>
    <row r="49" spans="2:12" x14ac:dyDescent="0.25">
      <c r="B49" s="68" t="s">
        <v>55</v>
      </c>
      <c r="C49" s="68"/>
      <c r="D49" s="68"/>
      <c r="E49" s="67">
        <v>1</v>
      </c>
      <c r="F49" s="67"/>
      <c r="G49" s="67">
        <v>2</v>
      </c>
      <c r="H49" s="68" t="s">
        <v>24</v>
      </c>
      <c r="I49" s="68"/>
      <c r="J49" s="68"/>
    </row>
    <row r="50" spans="2:12" x14ac:dyDescent="0.25">
      <c r="B50" s="68" t="s">
        <v>56</v>
      </c>
      <c r="C50" s="68"/>
      <c r="D50" s="68"/>
      <c r="E50" s="67">
        <v>2</v>
      </c>
      <c r="F50" s="67"/>
      <c r="G50" s="67">
        <v>4</v>
      </c>
      <c r="H50" s="68" t="s">
        <v>4</v>
      </c>
      <c r="I50" s="68"/>
      <c r="J50" s="68"/>
    </row>
    <row r="51" spans="2:12" x14ac:dyDescent="0.25">
      <c r="B51" s="68" t="s">
        <v>30</v>
      </c>
      <c r="C51" s="68"/>
      <c r="D51" s="68"/>
      <c r="E51" s="67">
        <v>1</v>
      </c>
      <c r="F51" s="67"/>
      <c r="G51" s="67">
        <v>0</v>
      </c>
      <c r="H51" s="68" t="s">
        <v>9</v>
      </c>
      <c r="I51" s="68"/>
      <c r="J51" s="68"/>
    </row>
    <row r="53" spans="2:12" x14ac:dyDescent="0.25">
      <c r="B53" s="68" t="s">
        <v>11</v>
      </c>
      <c r="C53" s="68"/>
      <c r="D53" s="68"/>
      <c r="E53" s="67">
        <v>0</v>
      </c>
      <c r="F53" s="67"/>
      <c r="G53" s="67">
        <v>2</v>
      </c>
      <c r="H53" s="68" t="s">
        <v>14</v>
      </c>
      <c r="I53" s="68"/>
      <c r="J53" s="68"/>
      <c r="L53" t="s">
        <v>77</v>
      </c>
    </row>
    <row r="54" spans="2:12" x14ac:dyDescent="0.25">
      <c r="B54" s="68" t="s">
        <v>14</v>
      </c>
      <c r="C54" s="68"/>
      <c r="D54" s="68"/>
      <c r="E54" s="67">
        <v>1</v>
      </c>
      <c r="F54" s="67"/>
      <c r="G54" s="67">
        <v>2</v>
      </c>
      <c r="H54" s="68" t="s">
        <v>28</v>
      </c>
      <c r="I54" s="68"/>
      <c r="J54" s="68"/>
    </row>
    <row r="55" spans="2:12" x14ac:dyDescent="0.25">
      <c r="B55" s="68" t="s">
        <v>26</v>
      </c>
      <c r="C55" s="68"/>
      <c r="D55" s="68"/>
      <c r="E55" s="67">
        <v>2</v>
      </c>
      <c r="F55" s="67"/>
      <c r="G55" s="67">
        <v>0</v>
      </c>
      <c r="H55" s="68" t="s">
        <v>55</v>
      </c>
      <c r="I55" s="68"/>
      <c r="J55" s="68"/>
    </row>
    <row r="56" spans="2:12" x14ac:dyDescent="0.25">
      <c r="B56" s="68" t="s">
        <v>17</v>
      </c>
      <c r="C56" s="68"/>
      <c r="D56" s="68"/>
      <c r="E56" s="67">
        <v>2</v>
      </c>
      <c r="F56" s="67"/>
      <c r="G56" s="67">
        <v>1</v>
      </c>
      <c r="H56" s="68" t="s">
        <v>13</v>
      </c>
      <c r="I56" s="68"/>
      <c r="J56" s="68"/>
    </row>
    <row r="57" spans="2:12" x14ac:dyDescent="0.25">
      <c r="B57" s="68" t="s">
        <v>30</v>
      </c>
      <c r="C57" s="68"/>
      <c r="D57" s="68"/>
      <c r="E57" s="67">
        <v>1</v>
      </c>
      <c r="F57" s="67"/>
      <c r="G57" s="67">
        <v>0</v>
      </c>
      <c r="H57" s="68" t="s">
        <v>9</v>
      </c>
      <c r="I57" s="68"/>
      <c r="J57" s="68"/>
    </row>
    <row r="59" spans="2:12" x14ac:dyDescent="0.25">
      <c r="B59" s="68" t="s">
        <v>11</v>
      </c>
      <c r="C59" s="68"/>
      <c r="D59" s="68"/>
      <c r="E59" s="67">
        <v>1</v>
      </c>
      <c r="F59" s="67"/>
      <c r="G59" s="67">
        <v>3</v>
      </c>
      <c r="H59" s="68" t="s">
        <v>28</v>
      </c>
      <c r="I59" s="68"/>
      <c r="J59" s="68"/>
      <c r="L59" t="s">
        <v>76</v>
      </c>
    </row>
    <row r="60" spans="2:12" x14ac:dyDescent="0.25">
      <c r="B60" s="68" t="s">
        <v>19</v>
      </c>
      <c r="C60" s="68"/>
      <c r="D60" s="68"/>
      <c r="E60" s="67">
        <v>2</v>
      </c>
      <c r="F60" s="67"/>
      <c r="G60" s="67">
        <v>0</v>
      </c>
      <c r="H60" s="68" t="s">
        <v>11</v>
      </c>
      <c r="I60" s="68"/>
      <c r="J60" s="68"/>
    </row>
    <row r="61" spans="2:12" x14ac:dyDescent="0.25">
      <c r="B61" s="68" t="s">
        <v>14</v>
      </c>
      <c r="C61" s="68"/>
      <c r="D61" s="68"/>
      <c r="E61" s="67">
        <v>1</v>
      </c>
      <c r="F61" s="67"/>
      <c r="G61" s="67">
        <v>2</v>
      </c>
      <c r="H61" s="68" t="s">
        <v>28</v>
      </c>
      <c r="I61" s="68"/>
      <c r="J61" s="68"/>
    </row>
    <row r="62" spans="2:12" x14ac:dyDescent="0.25">
      <c r="B62" s="68" t="s">
        <v>26</v>
      </c>
      <c r="C62" s="68"/>
      <c r="D62" s="68"/>
      <c r="E62" s="67">
        <v>2</v>
      </c>
      <c r="F62" s="67"/>
      <c r="G62" s="67">
        <v>0</v>
      </c>
      <c r="H62" s="68" t="s">
        <v>55</v>
      </c>
      <c r="I62" s="68"/>
      <c r="J62" s="68"/>
    </row>
    <row r="63" spans="2:12" x14ac:dyDescent="0.25">
      <c r="B63" s="68" t="s">
        <v>30</v>
      </c>
      <c r="C63" s="68"/>
      <c r="D63" s="68"/>
      <c r="E63" s="67">
        <v>1</v>
      </c>
      <c r="F63" s="67"/>
      <c r="G63" s="67">
        <v>0</v>
      </c>
      <c r="H63" s="68" t="s">
        <v>9</v>
      </c>
      <c r="I63" s="68"/>
      <c r="J63" s="68"/>
    </row>
    <row r="64" spans="2:12" x14ac:dyDescent="0.25">
      <c r="B64" s="68" t="s">
        <v>8</v>
      </c>
      <c r="C64" s="68"/>
      <c r="D64" s="68"/>
      <c r="E64" s="67">
        <v>2</v>
      </c>
      <c r="F64" s="67"/>
      <c r="G64" s="67">
        <v>0</v>
      </c>
      <c r="H64" s="68" t="s">
        <v>29</v>
      </c>
      <c r="I64" s="68"/>
      <c r="J64" s="68"/>
    </row>
    <row r="66" spans="2:12" x14ac:dyDescent="0.25">
      <c r="B66" s="68" t="s">
        <v>26</v>
      </c>
      <c r="C66" s="68"/>
      <c r="D66" s="68"/>
      <c r="E66" s="67">
        <v>2</v>
      </c>
      <c r="F66" s="67"/>
      <c r="G66" s="67">
        <v>0</v>
      </c>
      <c r="H66" s="68" t="s">
        <v>55</v>
      </c>
      <c r="I66" s="68"/>
      <c r="J66" s="68"/>
      <c r="L66" t="s">
        <v>75</v>
      </c>
    </row>
    <row r="67" spans="2:12" x14ac:dyDescent="0.25">
      <c r="B67" s="68" t="s">
        <v>5</v>
      </c>
      <c r="C67" s="68"/>
      <c r="D67" s="68"/>
      <c r="E67" s="67">
        <v>2</v>
      </c>
      <c r="F67" s="67"/>
      <c r="G67" s="67">
        <v>0</v>
      </c>
      <c r="H67" s="68" t="s">
        <v>24</v>
      </c>
      <c r="I67" s="68"/>
      <c r="J67" s="68"/>
    </row>
    <row r="68" spans="2:12" x14ac:dyDescent="0.25">
      <c r="B68" s="68" t="s">
        <v>31</v>
      </c>
      <c r="C68" s="68"/>
      <c r="D68" s="68"/>
      <c r="E68" s="67">
        <v>0</v>
      </c>
      <c r="F68" s="67"/>
      <c r="G68" s="67">
        <v>1</v>
      </c>
      <c r="H68" s="68" t="s">
        <v>6</v>
      </c>
      <c r="I68" s="68"/>
      <c r="J68" s="68"/>
    </row>
    <row r="69" spans="2:12" x14ac:dyDescent="0.25">
      <c r="B69" s="68" t="s">
        <v>6</v>
      </c>
      <c r="C69" s="68"/>
      <c r="D69" s="68"/>
      <c r="E69" s="67">
        <v>1</v>
      </c>
      <c r="F69" s="67"/>
      <c r="G69" s="67">
        <v>0</v>
      </c>
      <c r="H69" s="68" t="s">
        <v>13</v>
      </c>
      <c r="I69" s="68"/>
      <c r="J69" s="68"/>
    </row>
    <row r="70" spans="2:12" x14ac:dyDescent="0.25">
      <c r="B70" s="68" t="s">
        <v>7</v>
      </c>
      <c r="C70" s="68"/>
      <c r="D70" s="68"/>
      <c r="E70" s="67">
        <v>1</v>
      </c>
      <c r="F70" s="67"/>
      <c r="G70" s="67">
        <v>0</v>
      </c>
      <c r="H70" s="68" t="s">
        <v>10</v>
      </c>
      <c r="I70" s="68"/>
      <c r="J70" s="68"/>
    </row>
    <row r="71" spans="2:12" x14ac:dyDescent="0.25">
      <c r="B71" s="68" t="s">
        <v>8</v>
      </c>
      <c r="C71" s="68"/>
      <c r="D71" s="68"/>
      <c r="E71" s="67">
        <v>2</v>
      </c>
      <c r="F71" s="67"/>
      <c r="G71" s="67">
        <v>0</v>
      </c>
      <c r="H71" s="68" t="s">
        <v>29</v>
      </c>
      <c r="I71" s="68"/>
      <c r="J71" s="68"/>
    </row>
    <row r="72" spans="2:12" x14ac:dyDescent="0.25">
      <c r="B72" s="68" t="s">
        <v>8</v>
      </c>
      <c r="C72" s="68"/>
      <c r="D72" s="68"/>
      <c r="E72" s="67">
        <v>1</v>
      </c>
      <c r="F72" s="67"/>
      <c r="G72" s="67">
        <v>0</v>
      </c>
      <c r="H72" s="68" t="s">
        <v>30</v>
      </c>
      <c r="I72" s="68"/>
      <c r="J72" s="68"/>
    </row>
    <row r="74" spans="2:12" x14ac:dyDescent="0.25">
      <c r="B74" s="68" t="s">
        <v>20</v>
      </c>
      <c r="C74" s="68"/>
      <c r="D74" s="68"/>
      <c r="E74" s="67">
        <v>0</v>
      </c>
      <c r="F74" s="67"/>
      <c r="G74" s="67">
        <v>0</v>
      </c>
      <c r="H74" s="68" t="s">
        <v>16</v>
      </c>
      <c r="I74" s="68"/>
      <c r="J74" s="68"/>
      <c r="L74" t="s">
        <v>74</v>
      </c>
    </row>
    <row r="75" spans="2:12" x14ac:dyDescent="0.25">
      <c r="B75" s="68" t="s">
        <v>21</v>
      </c>
      <c r="C75" s="68"/>
      <c r="D75" s="68"/>
      <c r="E75" s="67">
        <v>0</v>
      </c>
      <c r="F75" s="67"/>
      <c r="G75" s="67">
        <v>1</v>
      </c>
      <c r="H75" s="68" t="s">
        <v>16</v>
      </c>
      <c r="I75" s="68"/>
      <c r="J75" s="68"/>
    </row>
    <row r="76" spans="2:12" x14ac:dyDescent="0.25">
      <c r="B76" s="68" t="s">
        <v>34</v>
      </c>
      <c r="C76" s="68"/>
      <c r="D76" s="68"/>
      <c r="E76" s="67">
        <v>0</v>
      </c>
      <c r="F76" s="67"/>
      <c r="G76" s="67">
        <v>3</v>
      </c>
      <c r="H76" s="68" t="s">
        <v>20</v>
      </c>
      <c r="I76" s="68"/>
      <c r="J76" s="68"/>
    </row>
    <row r="77" spans="2:12" x14ac:dyDescent="0.25">
      <c r="B77" s="68" t="s">
        <v>13</v>
      </c>
      <c r="C77" s="68"/>
      <c r="D77" s="68"/>
      <c r="E77" s="67">
        <v>0</v>
      </c>
      <c r="F77" s="67"/>
      <c r="G77" s="67">
        <v>0</v>
      </c>
      <c r="H77" s="68" t="s">
        <v>31</v>
      </c>
      <c r="I77" s="68"/>
      <c r="J77" s="68"/>
    </row>
    <row r="79" spans="2:12" x14ac:dyDescent="0.25">
      <c r="B79" s="68" t="s">
        <v>28</v>
      </c>
      <c r="C79" s="68"/>
      <c r="D79" s="68"/>
      <c r="E79" s="67">
        <v>0</v>
      </c>
      <c r="F79" s="67"/>
      <c r="G79" s="67">
        <v>2</v>
      </c>
      <c r="H79" s="68" t="s">
        <v>19</v>
      </c>
      <c r="I79" s="68"/>
      <c r="J79" s="68"/>
      <c r="L79" t="s">
        <v>73</v>
      </c>
    </row>
    <row r="80" spans="2:12" x14ac:dyDescent="0.25">
      <c r="B80" s="68" t="s">
        <v>34</v>
      </c>
      <c r="C80" s="68"/>
      <c r="D80" s="68"/>
      <c r="E80" s="67">
        <v>0</v>
      </c>
      <c r="F80" s="67"/>
      <c r="G80" s="67">
        <v>3</v>
      </c>
      <c r="H80" s="68" t="s">
        <v>20</v>
      </c>
      <c r="I80" s="68"/>
      <c r="J80" s="68"/>
    </row>
    <row r="81" spans="2:12" x14ac:dyDescent="0.25">
      <c r="B81" s="68" t="s">
        <v>17</v>
      </c>
      <c r="C81" s="68"/>
      <c r="D81" s="68"/>
      <c r="E81" s="67">
        <v>2</v>
      </c>
      <c r="F81" s="67"/>
      <c r="G81" s="67">
        <v>1</v>
      </c>
      <c r="H81" s="68" t="s">
        <v>13</v>
      </c>
      <c r="I81" s="68"/>
      <c r="J81" s="68"/>
    </row>
    <row r="82" spans="2:12" x14ac:dyDescent="0.25">
      <c r="B82" s="68" t="s">
        <v>7</v>
      </c>
      <c r="C82" s="68"/>
      <c r="D82" s="68"/>
      <c r="E82" s="67">
        <v>1</v>
      </c>
      <c r="F82" s="67"/>
      <c r="G82" s="67">
        <v>0</v>
      </c>
      <c r="H82" s="68" t="s">
        <v>10</v>
      </c>
      <c r="I82" s="68"/>
      <c r="J82" s="68"/>
    </row>
    <row r="83" spans="2:12" x14ac:dyDescent="0.25">
      <c r="B83" s="68" t="s">
        <v>8</v>
      </c>
      <c r="C83" s="68"/>
      <c r="D83" s="68"/>
      <c r="E83" s="67">
        <v>2</v>
      </c>
      <c r="F83" s="67"/>
      <c r="G83" s="67">
        <v>0</v>
      </c>
      <c r="H83" s="68" t="s">
        <v>29</v>
      </c>
      <c r="I83" s="68"/>
      <c r="J83" s="68"/>
    </row>
    <row r="85" spans="2:12" x14ac:dyDescent="0.25">
      <c r="B85" s="68" t="s">
        <v>19</v>
      </c>
      <c r="C85" s="68"/>
      <c r="D85" s="68"/>
      <c r="E85" s="67">
        <v>2</v>
      </c>
      <c r="F85" s="67"/>
      <c r="G85" s="67">
        <v>0</v>
      </c>
      <c r="H85" s="68" t="s">
        <v>11</v>
      </c>
      <c r="I85" s="68"/>
      <c r="J85" s="68"/>
      <c r="L85" t="s">
        <v>71</v>
      </c>
    </row>
    <row r="86" spans="2:12" x14ac:dyDescent="0.25">
      <c r="B86" s="68" t="s">
        <v>16</v>
      </c>
      <c r="C86" s="68"/>
      <c r="D86" s="68"/>
      <c r="E86" s="67">
        <v>1</v>
      </c>
      <c r="F86" s="67"/>
      <c r="G86" s="67">
        <v>1</v>
      </c>
      <c r="H86" s="68" t="s">
        <v>34</v>
      </c>
      <c r="I86" s="68"/>
      <c r="J86" s="68"/>
    </row>
    <row r="87" spans="2:12" x14ac:dyDescent="0.25">
      <c r="B87" s="68" t="s">
        <v>26</v>
      </c>
      <c r="C87" s="68"/>
      <c r="D87" s="68"/>
      <c r="E87" s="67">
        <v>2</v>
      </c>
      <c r="F87" s="67"/>
      <c r="G87" s="67">
        <v>0</v>
      </c>
      <c r="H87" s="68" t="s">
        <v>55</v>
      </c>
      <c r="I87" s="68"/>
      <c r="J87" s="68"/>
    </row>
    <row r="88" spans="2:12" x14ac:dyDescent="0.25">
      <c r="B88" s="68" t="s">
        <v>55</v>
      </c>
      <c r="C88" s="68"/>
      <c r="D88" s="68"/>
      <c r="E88" s="67">
        <v>1</v>
      </c>
      <c r="F88" s="67"/>
      <c r="G88" s="67">
        <v>2</v>
      </c>
      <c r="H88" s="68" t="s">
        <v>24</v>
      </c>
      <c r="I88" s="68"/>
      <c r="J88" s="68"/>
    </row>
    <row r="89" spans="2:12" x14ac:dyDescent="0.25">
      <c r="B89" s="68" t="s">
        <v>6</v>
      </c>
      <c r="C89" s="68"/>
      <c r="D89" s="68"/>
      <c r="E89" s="67">
        <v>1</v>
      </c>
      <c r="F89" s="67"/>
      <c r="G89" s="67">
        <v>0</v>
      </c>
      <c r="H89" s="68" t="s">
        <v>13</v>
      </c>
      <c r="I89" s="68"/>
      <c r="J89" s="68"/>
    </row>
    <row r="90" spans="2:12" x14ac:dyDescent="0.25">
      <c r="B90" s="68" t="s">
        <v>8</v>
      </c>
      <c r="C90" s="68"/>
      <c r="D90" s="68"/>
      <c r="E90" s="67">
        <v>2</v>
      </c>
      <c r="F90" s="67"/>
      <c r="G90" s="67">
        <v>0</v>
      </c>
      <c r="H90" s="68" t="s">
        <v>29</v>
      </c>
      <c r="I90" s="68"/>
      <c r="J90" s="68"/>
    </row>
    <row r="92" spans="2:12" x14ac:dyDescent="0.25">
      <c r="B92" s="68" t="s">
        <v>16</v>
      </c>
      <c r="C92" s="68"/>
      <c r="D92" s="68"/>
      <c r="E92" s="67">
        <v>1</v>
      </c>
      <c r="F92" s="67"/>
      <c r="G92" s="67">
        <v>1</v>
      </c>
      <c r="H92" s="68" t="s">
        <v>34</v>
      </c>
      <c r="I92" s="68"/>
      <c r="J92" s="68"/>
      <c r="L92" t="s">
        <v>72</v>
      </c>
    </row>
    <row r="93" spans="2:12" x14ac:dyDescent="0.25">
      <c r="B93" s="68" t="s">
        <v>26</v>
      </c>
      <c r="C93" s="68"/>
      <c r="D93" s="68"/>
      <c r="E93" s="67">
        <v>2</v>
      </c>
      <c r="F93" s="67"/>
      <c r="G93" s="67">
        <v>0</v>
      </c>
      <c r="H93" s="68" t="s">
        <v>55</v>
      </c>
      <c r="I93" s="68"/>
      <c r="J93" s="68"/>
    </row>
    <row r="95" spans="2:12" x14ac:dyDescent="0.25">
      <c r="B95" s="68" t="s">
        <v>19</v>
      </c>
      <c r="C95" s="68"/>
      <c r="D95" s="68"/>
      <c r="E95" s="67">
        <v>1</v>
      </c>
      <c r="F95" s="67"/>
      <c r="G95" s="67">
        <v>1</v>
      </c>
      <c r="H95" s="68" t="s">
        <v>14</v>
      </c>
      <c r="I95" s="68"/>
      <c r="J95" s="68"/>
      <c r="L95" t="s">
        <v>69</v>
      </c>
    </row>
    <row r="96" spans="2:12" x14ac:dyDescent="0.25">
      <c r="B96" s="68" t="s">
        <v>19</v>
      </c>
      <c r="C96" s="68"/>
      <c r="D96" s="68"/>
      <c r="E96" s="67">
        <v>2</v>
      </c>
      <c r="F96" s="67"/>
      <c r="G96" s="67">
        <v>0</v>
      </c>
      <c r="H96" s="68" t="s">
        <v>11</v>
      </c>
      <c r="I96" s="68"/>
      <c r="J96" s="68"/>
    </row>
    <row r="98" spans="2:12" x14ac:dyDescent="0.25">
      <c r="B98" s="68" t="s">
        <v>11</v>
      </c>
      <c r="C98" s="68"/>
      <c r="D98" s="68"/>
      <c r="E98" s="67">
        <v>0</v>
      </c>
      <c r="F98" s="67"/>
      <c r="G98" s="67">
        <v>2</v>
      </c>
      <c r="H98" s="68" t="s">
        <v>14</v>
      </c>
      <c r="I98" s="68"/>
      <c r="J98" s="68"/>
      <c r="L98" t="s">
        <v>92</v>
      </c>
    </row>
    <row r="99" spans="2:12" x14ac:dyDescent="0.25">
      <c r="B99" s="68" t="s">
        <v>28</v>
      </c>
      <c r="C99" s="68"/>
      <c r="D99" s="68"/>
      <c r="E99" s="67">
        <v>0</v>
      </c>
      <c r="F99" s="67"/>
      <c r="G99" s="67">
        <v>2</v>
      </c>
      <c r="H99" s="68" t="s">
        <v>19</v>
      </c>
      <c r="I99" s="68"/>
      <c r="J99" s="68"/>
    </row>
    <row r="100" spans="2:12" x14ac:dyDescent="0.25">
      <c r="B100" s="68" t="s">
        <v>19</v>
      </c>
      <c r="C100" s="68"/>
      <c r="D100" s="68"/>
      <c r="E100" s="67">
        <v>1</v>
      </c>
      <c r="F100" s="67"/>
      <c r="G100" s="67">
        <v>1</v>
      </c>
      <c r="H100" s="68" t="s">
        <v>14</v>
      </c>
      <c r="I100" s="68"/>
      <c r="J100" s="68"/>
    </row>
    <row r="101" spans="2:12" x14ac:dyDescent="0.25">
      <c r="B101" s="68" t="s">
        <v>19</v>
      </c>
      <c r="C101" s="68"/>
      <c r="D101" s="68"/>
      <c r="E101" s="67">
        <v>2</v>
      </c>
      <c r="F101" s="67"/>
      <c r="G101" s="67">
        <v>0</v>
      </c>
      <c r="H101" s="68" t="s">
        <v>11</v>
      </c>
      <c r="I101" s="68"/>
      <c r="J101" s="68"/>
    </row>
    <row r="102" spans="2:12" x14ac:dyDescent="0.25">
      <c r="B102" s="68" t="s">
        <v>21</v>
      </c>
      <c r="C102" s="68"/>
      <c r="D102" s="68"/>
      <c r="E102" s="67">
        <v>0</v>
      </c>
      <c r="F102" s="67"/>
      <c r="G102" s="67">
        <v>1</v>
      </c>
      <c r="H102" s="68" t="s">
        <v>16</v>
      </c>
      <c r="I102" s="68"/>
      <c r="J102" s="68"/>
    </row>
    <row r="103" spans="2:12" x14ac:dyDescent="0.25">
      <c r="B103" s="68" t="s">
        <v>34</v>
      </c>
      <c r="C103" s="68"/>
      <c r="D103" s="68"/>
      <c r="E103" s="67">
        <v>0</v>
      </c>
      <c r="F103" s="67"/>
      <c r="G103" s="67">
        <v>3</v>
      </c>
      <c r="H103" s="68" t="s">
        <v>20</v>
      </c>
      <c r="I103" s="68"/>
      <c r="J103" s="68"/>
    </row>
    <row r="104" spans="2:12" x14ac:dyDescent="0.25">
      <c r="B104" s="68" t="s">
        <v>26</v>
      </c>
      <c r="C104" s="68"/>
      <c r="D104" s="68"/>
      <c r="E104" s="67">
        <v>2</v>
      </c>
      <c r="F104" s="67"/>
      <c r="G104" s="67">
        <v>0</v>
      </c>
      <c r="H104" s="68" t="s">
        <v>55</v>
      </c>
      <c r="I104" s="68"/>
      <c r="J104" s="68"/>
    </row>
    <row r="105" spans="2:12" x14ac:dyDescent="0.25">
      <c r="B105" s="68" t="s">
        <v>31</v>
      </c>
      <c r="C105" s="68"/>
      <c r="D105" s="68"/>
      <c r="E105" s="67">
        <v>0</v>
      </c>
      <c r="F105" s="67"/>
      <c r="G105" s="67">
        <v>1</v>
      </c>
      <c r="H105" s="68" t="s">
        <v>6</v>
      </c>
      <c r="I105" s="68"/>
      <c r="J105" s="68"/>
    </row>
    <row r="106" spans="2:12" x14ac:dyDescent="0.25">
      <c r="B106" s="68" t="s">
        <v>22</v>
      </c>
      <c r="C106" s="68"/>
      <c r="D106" s="68"/>
      <c r="E106" s="67">
        <v>0</v>
      </c>
      <c r="F106" s="67"/>
      <c r="G106" s="67">
        <v>1</v>
      </c>
      <c r="H106" s="68" t="s">
        <v>56</v>
      </c>
      <c r="I106" s="68"/>
      <c r="J106" s="68"/>
    </row>
    <row r="107" spans="2:12" x14ac:dyDescent="0.25">
      <c r="B107" s="68" t="s">
        <v>15</v>
      </c>
      <c r="C107" s="68"/>
      <c r="D107" s="68"/>
      <c r="E107" s="67">
        <v>1</v>
      </c>
      <c r="F107" s="67"/>
      <c r="G107" s="67">
        <v>1</v>
      </c>
      <c r="H107" s="68" t="s">
        <v>4</v>
      </c>
      <c r="I107" s="68"/>
      <c r="J107" s="68"/>
    </row>
    <row r="108" spans="2:12" x14ac:dyDescent="0.25">
      <c r="B108" s="68" t="s">
        <v>30</v>
      </c>
      <c r="C108" s="68"/>
      <c r="D108" s="68"/>
      <c r="E108" s="67">
        <v>1</v>
      </c>
      <c r="F108" s="67"/>
      <c r="G108" s="67">
        <v>0</v>
      </c>
      <c r="H108" s="68" t="s">
        <v>9</v>
      </c>
      <c r="I108" s="68"/>
      <c r="J108" s="68"/>
    </row>
    <row r="109" spans="2:12" x14ac:dyDescent="0.25">
      <c r="B109" s="68" t="s">
        <v>8</v>
      </c>
      <c r="C109" s="68"/>
      <c r="D109" s="68"/>
      <c r="E109" s="67">
        <v>2</v>
      </c>
      <c r="F109" s="67"/>
      <c r="G109" s="67">
        <v>0</v>
      </c>
      <c r="H109" s="68" t="s">
        <v>29</v>
      </c>
      <c r="I109" s="68"/>
      <c r="J109" s="68"/>
    </row>
    <row r="111" spans="2:12" x14ac:dyDescent="0.25">
      <c r="B111" s="68" t="s">
        <v>19</v>
      </c>
      <c r="C111" s="68"/>
      <c r="D111" s="68"/>
      <c r="E111" s="67">
        <v>1</v>
      </c>
      <c r="F111" s="67"/>
      <c r="G111" s="67">
        <v>1</v>
      </c>
      <c r="H111" s="68" t="s">
        <v>14</v>
      </c>
      <c r="I111" s="68"/>
      <c r="J111" s="68"/>
      <c r="L111" t="s">
        <v>91</v>
      </c>
    </row>
    <row r="112" spans="2:12" x14ac:dyDescent="0.25">
      <c r="B112" s="68" t="s">
        <v>19</v>
      </c>
      <c r="C112" s="68"/>
      <c r="D112" s="68"/>
      <c r="E112" s="67">
        <v>2</v>
      </c>
      <c r="F112" s="67"/>
      <c r="G112" s="67">
        <v>0</v>
      </c>
      <c r="H112" s="68" t="s">
        <v>11</v>
      </c>
      <c r="I112" s="68"/>
      <c r="J112" s="68"/>
    </row>
    <row r="113" spans="2:12" x14ac:dyDescent="0.25">
      <c r="B113" s="68" t="s">
        <v>34</v>
      </c>
      <c r="C113" s="68"/>
      <c r="D113" s="68"/>
      <c r="E113" s="67">
        <v>0</v>
      </c>
      <c r="F113" s="67"/>
      <c r="G113" s="67">
        <v>3</v>
      </c>
      <c r="H113" s="68" t="s">
        <v>20</v>
      </c>
      <c r="I113" s="68"/>
      <c r="J113" s="68"/>
    </row>
    <row r="114" spans="2:12" x14ac:dyDescent="0.25">
      <c r="B114" s="68" t="s">
        <v>26</v>
      </c>
      <c r="C114" s="68"/>
      <c r="D114" s="68"/>
      <c r="E114" s="67">
        <v>2</v>
      </c>
      <c r="F114" s="67"/>
      <c r="G114" s="67">
        <v>0</v>
      </c>
      <c r="H114" s="68" t="s">
        <v>55</v>
      </c>
      <c r="I114" s="68"/>
      <c r="J114" s="68"/>
    </row>
    <row r="115" spans="2:12" x14ac:dyDescent="0.25">
      <c r="B115" s="68" t="s">
        <v>6</v>
      </c>
      <c r="C115" s="68"/>
      <c r="D115" s="68"/>
      <c r="E115" s="67">
        <v>1</v>
      </c>
      <c r="F115" s="67"/>
      <c r="G115" s="67">
        <v>0</v>
      </c>
      <c r="H115" s="68" t="s">
        <v>13</v>
      </c>
      <c r="I115" s="68"/>
      <c r="J115" s="68"/>
    </row>
    <row r="116" spans="2:12" x14ac:dyDescent="0.25">
      <c r="B116" s="68" t="s">
        <v>8</v>
      </c>
      <c r="C116" s="68"/>
      <c r="D116" s="68"/>
      <c r="E116" s="67">
        <v>2</v>
      </c>
      <c r="F116" s="67"/>
      <c r="G116" s="67">
        <v>0</v>
      </c>
      <c r="H116" s="68" t="s">
        <v>29</v>
      </c>
      <c r="I116" s="68"/>
      <c r="J116" s="68"/>
    </row>
    <row r="118" spans="2:12" x14ac:dyDescent="0.25">
      <c r="B118" s="68" t="s">
        <v>14</v>
      </c>
      <c r="C118" s="68"/>
      <c r="D118" s="68"/>
      <c r="E118" s="67">
        <v>1</v>
      </c>
      <c r="F118" s="67"/>
      <c r="G118" s="67">
        <v>2</v>
      </c>
      <c r="H118" s="68" t="s">
        <v>28</v>
      </c>
      <c r="I118" s="68"/>
      <c r="J118" s="68"/>
      <c r="L118" t="s">
        <v>70</v>
      </c>
    </row>
    <row r="119" spans="2:12" x14ac:dyDescent="0.25">
      <c r="B119" s="68" t="s">
        <v>16</v>
      </c>
      <c r="C119" s="68"/>
      <c r="D119" s="68"/>
      <c r="E119" s="67">
        <v>1</v>
      </c>
      <c r="F119" s="67"/>
      <c r="G119" s="67">
        <v>1</v>
      </c>
      <c r="H119" s="68" t="s">
        <v>34</v>
      </c>
      <c r="I119" s="68"/>
      <c r="J119" s="68"/>
    </row>
    <row r="120" spans="2:12" x14ac:dyDescent="0.25">
      <c r="B120" s="68" t="s">
        <v>5</v>
      </c>
      <c r="C120" s="68"/>
      <c r="D120" s="68"/>
      <c r="E120" s="67">
        <v>2</v>
      </c>
      <c r="F120" s="67"/>
      <c r="G120" s="67">
        <v>0</v>
      </c>
      <c r="H120" s="68" t="s">
        <v>24</v>
      </c>
      <c r="I120" s="68"/>
      <c r="J120" s="68"/>
    </row>
    <row r="121" spans="2:12" x14ac:dyDescent="0.25">
      <c r="B121" s="68" t="s">
        <v>55</v>
      </c>
      <c r="C121" s="68"/>
      <c r="D121" s="68"/>
      <c r="E121" s="67">
        <v>1</v>
      </c>
      <c r="F121" s="67"/>
      <c r="G121" s="67">
        <v>2</v>
      </c>
      <c r="H121" s="68" t="s">
        <v>24</v>
      </c>
      <c r="I121" s="68"/>
      <c r="J121" s="68"/>
    </row>
    <row r="122" spans="2:12" x14ac:dyDescent="0.25">
      <c r="B122" s="68" t="s">
        <v>15</v>
      </c>
      <c r="C122" s="68"/>
      <c r="D122" s="68"/>
      <c r="E122" s="67">
        <v>1</v>
      </c>
      <c r="F122" s="67"/>
      <c r="G122" s="67">
        <v>1</v>
      </c>
      <c r="H122" s="68" t="s">
        <v>4</v>
      </c>
      <c r="I122" s="68"/>
      <c r="J122" s="68"/>
    </row>
    <row r="123" spans="2:12" x14ac:dyDescent="0.25">
      <c r="B123" s="68" t="s">
        <v>10</v>
      </c>
      <c r="C123" s="68"/>
      <c r="D123" s="68"/>
      <c r="E123" s="67">
        <v>1</v>
      </c>
      <c r="F123" s="67"/>
      <c r="G123" s="67">
        <v>2</v>
      </c>
      <c r="H123" s="68" t="s">
        <v>23</v>
      </c>
      <c r="I123" s="68"/>
      <c r="J123" s="68"/>
    </row>
    <row r="124" spans="2:12" x14ac:dyDescent="0.25">
      <c r="B124" s="68" t="s">
        <v>8</v>
      </c>
      <c r="C124" s="68"/>
      <c r="D124" s="68"/>
      <c r="E124" s="67">
        <v>2</v>
      </c>
      <c r="F124" s="67"/>
      <c r="G124" s="67">
        <v>0</v>
      </c>
      <c r="H124" s="68" t="s">
        <v>29</v>
      </c>
      <c r="I124" s="68"/>
      <c r="J124" s="68"/>
    </row>
  </sheetData>
  <mergeCells count="204">
    <mergeCell ref="B6:D6"/>
    <mergeCell ref="H6:J6"/>
    <mergeCell ref="B7:D7"/>
    <mergeCell ref="H7:J7"/>
    <mergeCell ref="B8:D8"/>
    <mergeCell ref="H8:J8"/>
    <mergeCell ref="B2:D2"/>
    <mergeCell ref="H2:J2"/>
    <mergeCell ref="B3:D3"/>
    <mergeCell ref="H3:J3"/>
    <mergeCell ref="B4:D4"/>
    <mergeCell ref="H4:J4"/>
    <mergeCell ref="B10:D10"/>
    <mergeCell ref="H10:J10"/>
    <mergeCell ref="B11:D11"/>
    <mergeCell ref="H11:J11"/>
    <mergeCell ref="B12:D12"/>
    <mergeCell ref="H12:J12"/>
    <mergeCell ref="B13:D13"/>
    <mergeCell ref="H13:J13"/>
    <mergeCell ref="B14:D14"/>
    <mergeCell ref="H14:J14"/>
    <mergeCell ref="B20:D20"/>
    <mergeCell ref="H20:J20"/>
    <mergeCell ref="B21:D21"/>
    <mergeCell ref="H21:J21"/>
    <mergeCell ref="B16:D16"/>
    <mergeCell ref="H16:J16"/>
    <mergeCell ref="B17:D17"/>
    <mergeCell ref="H17:J17"/>
    <mergeCell ref="B18:D18"/>
    <mergeCell ref="H18:J18"/>
    <mergeCell ref="B33:D33"/>
    <mergeCell ref="H33:J33"/>
    <mergeCell ref="B23:D23"/>
    <mergeCell ref="H23:J23"/>
    <mergeCell ref="B24:D24"/>
    <mergeCell ref="H24:J24"/>
    <mergeCell ref="B25:D25"/>
    <mergeCell ref="H25:J25"/>
    <mergeCell ref="B26:D26"/>
    <mergeCell ref="H26:J26"/>
    <mergeCell ref="B28:D28"/>
    <mergeCell ref="H28:J28"/>
    <mergeCell ref="B29:D29"/>
    <mergeCell ref="H29:J29"/>
    <mergeCell ref="B30:D30"/>
    <mergeCell ref="H30:J30"/>
    <mergeCell ref="B31:D31"/>
    <mergeCell ref="H31:J31"/>
    <mergeCell ref="B32:D32"/>
    <mergeCell ref="H32:J32"/>
    <mergeCell ref="B39:D39"/>
    <mergeCell ref="H39:J39"/>
    <mergeCell ref="B40:D40"/>
    <mergeCell ref="H40:J40"/>
    <mergeCell ref="B41:D41"/>
    <mergeCell ref="H41:J41"/>
    <mergeCell ref="B35:D35"/>
    <mergeCell ref="H35:J35"/>
    <mergeCell ref="B36:D36"/>
    <mergeCell ref="H36:J36"/>
    <mergeCell ref="B37:D37"/>
    <mergeCell ref="H37:J37"/>
    <mergeCell ref="B48:D48"/>
    <mergeCell ref="H48:J48"/>
    <mergeCell ref="B49:D49"/>
    <mergeCell ref="H49:J49"/>
    <mergeCell ref="B50:D50"/>
    <mergeCell ref="H50:J50"/>
    <mergeCell ref="B51:D51"/>
    <mergeCell ref="H51:J51"/>
    <mergeCell ref="B43:D43"/>
    <mergeCell ref="H43:J43"/>
    <mergeCell ref="B44:D44"/>
    <mergeCell ref="H44:J44"/>
    <mergeCell ref="B45:D45"/>
    <mergeCell ref="H45:J45"/>
    <mergeCell ref="B46:D46"/>
    <mergeCell ref="H46:J46"/>
    <mergeCell ref="B64:D64"/>
    <mergeCell ref="H64:J64"/>
    <mergeCell ref="B53:D53"/>
    <mergeCell ref="H53:J53"/>
    <mergeCell ref="B54:D54"/>
    <mergeCell ref="H54:J54"/>
    <mergeCell ref="B55:D55"/>
    <mergeCell ref="H55:J55"/>
    <mergeCell ref="B56:D56"/>
    <mergeCell ref="H56:J56"/>
    <mergeCell ref="B57:D57"/>
    <mergeCell ref="H57:J57"/>
    <mergeCell ref="B59:D59"/>
    <mergeCell ref="H59:J59"/>
    <mergeCell ref="B60:D60"/>
    <mergeCell ref="H60:J60"/>
    <mergeCell ref="B61:D61"/>
    <mergeCell ref="H61:J61"/>
    <mergeCell ref="B62:D62"/>
    <mergeCell ref="H62:J62"/>
    <mergeCell ref="B63:D63"/>
    <mergeCell ref="H63:J63"/>
    <mergeCell ref="B74:D74"/>
    <mergeCell ref="H74:J74"/>
    <mergeCell ref="B75:D75"/>
    <mergeCell ref="H75:J75"/>
    <mergeCell ref="B76:D76"/>
    <mergeCell ref="H76:J76"/>
    <mergeCell ref="B77:D77"/>
    <mergeCell ref="H77:J77"/>
    <mergeCell ref="B66:D66"/>
    <mergeCell ref="H66:J66"/>
    <mergeCell ref="B67:D67"/>
    <mergeCell ref="H67:J67"/>
    <mergeCell ref="B68:D68"/>
    <mergeCell ref="H68:J68"/>
    <mergeCell ref="B69:D69"/>
    <mergeCell ref="H69:J69"/>
    <mergeCell ref="B70:D70"/>
    <mergeCell ref="H70:J70"/>
    <mergeCell ref="B71:D71"/>
    <mergeCell ref="H71:J71"/>
    <mergeCell ref="B72:D72"/>
    <mergeCell ref="H72:J72"/>
    <mergeCell ref="B79:D79"/>
    <mergeCell ref="H79:J79"/>
    <mergeCell ref="B80:D80"/>
    <mergeCell ref="H80:J80"/>
    <mergeCell ref="B81:D81"/>
    <mergeCell ref="H81:J81"/>
    <mergeCell ref="B82:D82"/>
    <mergeCell ref="H82:J82"/>
    <mergeCell ref="B83:D83"/>
    <mergeCell ref="H83:J83"/>
    <mergeCell ref="B95:D95"/>
    <mergeCell ref="H95:J95"/>
    <mergeCell ref="B96:D96"/>
    <mergeCell ref="H96:J96"/>
    <mergeCell ref="B92:D92"/>
    <mergeCell ref="H92:J92"/>
    <mergeCell ref="B93:D93"/>
    <mergeCell ref="H93:J93"/>
    <mergeCell ref="B85:D85"/>
    <mergeCell ref="H85:J85"/>
    <mergeCell ref="B86:D86"/>
    <mergeCell ref="H86:J86"/>
    <mergeCell ref="B87:D87"/>
    <mergeCell ref="H87:J87"/>
    <mergeCell ref="B88:D88"/>
    <mergeCell ref="H88:J88"/>
    <mergeCell ref="B89:D89"/>
    <mergeCell ref="H89:J89"/>
    <mergeCell ref="B90:D90"/>
    <mergeCell ref="H90:J90"/>
    <mergeCell ref="B116:D116"/>
    <mergeCell ref="H116:J116"/>
    <mergeCell ref="B98:D98"/>
    <mergeCell ref="H98:J98"/>
    <mergeCell ref="B99:D99"/>
    <mergeCell ref="H99:J99"/>
    <mergeCell ref="B100:D100"/>
    <mergeCell ref="H100:J100"/>
    <mergeCell ref="B101:D101"/>
    <mergeCell ref="H101:J101"/>
    <mergeCell ref="B102:D102"/>
    <mergeCell ref="H102:J102"/>
    <mergeCell ref="B103:D103"/>
    <mergeCell ref="H103:J103"/>
    <mergeCell ref="B104:D104"/>
    <mergeCell ref="H104:J104"/>
    <mergeCell ref="B105:D105"/>
    <mergeCell ref="H105:J105"/>
    <mergeCell ref="B111:D111"/>
    <mergeCell ref="H111:J111"/>
    <mergeCell ref="B112:D112"/>
    <mergeCell ref="H112:J112"/>
    <mergeCell ref="B113:D113"/>
    <mergeCell ref="H113:J113"/>
    <mergeCell ref="B114:D114"/>
    <mergeCell ref="H114:J114"/>
    <mergeCell ref="B115:D115"/>
    <mergeCell ref="H115:J115"/>
    <mergeCell ref="B122:D122"/>
    <mergeCell ref="H122:J122"/>
    <mergeCell ref="B123:D123"/>
    <mergeCell ref="H123:J123"/>
    <mergeCell ref="B124:D124"/>
    <mergeCell ref="H124:J124"/>
    <mergeCell ref="B118:D118"/>
    <mergeCell ref="H118:J118"/>
    <mergeCell ref="B119:D119"/>
    <mergeCell ref="H119:J119"/>
    <mergeCell ref="B120:D120"/>
    <mergeCell ref="H120:J120"/>
    <mergeCell ref="B121:D121"/>
    <mergeCell ref="H121:J121"/>
    <mergeCell ref="B106:D106"/>
    <mergeCell ref="H106:J106"/>
    <mergeCell ref="B107:D107"/>
    <mergeCell ref="H107:J107"/>
    <mergeCell ref="B108:D108"/>
    <mergeCell ref="H108:J108"/>
    <mergeCell ref="B109:D109"/>
    <mergeCell ref="H109:J10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89A00-3C9C-4649-9815-06CC07EBF763}">
  <sheetPr codeName="Planilha2"/>
  <dimension ref="B1:X374"/>
  <sheetViews>
    <sheetView showGridLines="0" tabSelected="1" zoomScale="90" zoomScaleNormal="90" workbookViewId="0">
      <pane ySplit="2" topLeftCell="A3" activePane="bottomLeft" state="frozen"/>
      <selection pane="bottomLeft" activeCell="B2" sqref="B2"/>
    </sheetView>
  </sheetViews>
  <sheetFormatPr defaultRowHeight="15" x14ac:dyDescent="0.25"/>
  <cols>
    <col min="1" max="1" width="1.5703125" style="1" customWidth="1"/>
    <col min="2" max="2" width="7.85546875" style="2" customWidth="1"/>
    <col min="3" max="3" width="15.28515625" style="2" customWidth="1"/>
    <col min="4" max="4" width="11.85546875" style="2" customWidth="1"/>
    <col min="5" max="5" width="17.85546875" style="1" customWidth="1"/>
    <col min="6" max="8" width="18.85546875" style="1" customWidth="1"/>
    <col min="9" max="9" width="16" style="1" customWidth="1"/>
    <col min="10" max="10" width="2.7109375" style="1" customWidth="1"/>
    <col min="11" max="11" width="15.28515625" style="1" hidden="1" customWidth="1"/>
    <col min="12" max="12" width="12.42578125" style="1" hidden="1" customWidth="1"/>
    <col min="13" max="13" width="6.42578125" style="1" customWidth="1"/>
    <col min="14" max="14" width="5.7109375" style="1" customWidth="1"/>
    <col min="15" max="15" width="12.140625" style="1" bestFit="1" customWidth="1"/>
    <col min="16" max="16" width="5.7109375" style="2" customWidth="1"/>
    <col min="17" max="21" width="5.7109375" style="40" customWidth="1"/>
    <col min="22" max="27" width="5.7109375" style="1" customWidth="1"/>
    <col min="28" max="16384" width="9.140625" style="1"/>
  </cols>
  <sheetData>
    <row r="1" spans="2:24" ht="21.75" customHeight="1" thickTop="1" x14ac:dyDescent="0.25">
      <c r="B1" s="71" t="s">
        <v>90</v>
      </c>
      <c r="C1" s="72"/>
      <c r="D1" s="72"/>
      <c r="E1" s="72"/>
      <c r="F1" s="72"/>
      <c r="G1" s="72"/>
      <c r="H1" s="72"/>
      <c r="I1" s="73"/>
      <c r="M1" s="69"/>
      <c r="N1" s="69"/>
      <c r="O1" s="69"/>
      <c r="P1" s="70"/>
      <c r="Q1" s="70"/>
      <c r="R1" s="70"/>
      <c r="S1" s="69"/>
      <c r="T1" s="69"/>
      <c r="U1" s="69"/>
      <c r="V1" s="70"/>
      <c r="W1" s="70"/>
      <c r="X1" s="70"/>
    </row>
    <row r="2" spans="2:24" s="32" customFormat="1" ht="39" customHeight="1" x14ac:dyDescent="0.25">
      <c r="B2" s="31"/>
      <c r="C2" s="56" t="s">
        <v>118</v>
      </c>
      <c r="D2" s="55" t="s">
        <v>52</v>
      </c>
      <c r="E2" s="57" t="s">
        <v>119</v>
      </c>
      <c r="F2" s="55" t="s">
        <v>122</v>
      </c>
      <c r="G2" s="57" t="s">
        <v>120</v>
      </c>
      <c r="H2" s="55" t="s">
        <v>123</v>
      </c>
      <c r="I2" s="58" t="s">
        <v>121</v>
      </c>
      <c r="Q2" s="41"/>
      <c r="R2" s="41"/>
      <c r="S2" s="41"/>
      <c r="T2" s="41"/>
      <c r="U2" s="41"/>
    </row>
    <row r="3" spans="2:24" x14ac:dyDescent="0.25">
      <c r="B3" s="43" t="s">
        <v>95</v>
      </c>
      <c r="C3" s="44" t="str">
        <f t="shared" ref="C3:C25" si="0">K3</f>
        <v>Bruno Flores</v>
      </c>
      <c r="D3" s="44">
        <f>VLOOKUP(C3,O$3:U$25,2,0)</f>
        <v>530</v>
      </c>
      <c r="E3" s="44">
        <f>VLOOKUP(C3,O$3:U$25,3,0)</f>
        <v>12</v>
      </c>
      <c r="F3" s="44">
        <f>VLOOKUP(C3,O$3:U$25,4,0)</f>
        <v>5</v>
      </c>
      <c r="G3" s="44">
        <f>VLOOKUP(C3,O$3:U$25,5,0)</f>
        <v>12</v>
      </c>
      <c r="H3" s="44">
        <f>VLOOKUP(C3,O$3:U$25,6,0)</f>
        <v>7</v>
      </c>
      <c r="I3" s="45">
        <f>VLOOKUP(C3,O$3:U$25,7,0)</f>
        <v>13</v>
      </c>
      <c r="K3" s="36" t="s">
        <v>92</v>
      </c>
      <c r="L3" s="36">
        <f>'Bruno Flores'!Q$11</f>
        <v>530</v>
      </c>
      <c r="M3" s="36"/>
      <c r="N3" s="36"/>
      <c r="O3" s="37" t="s">
        <v>70</v>
      </c>
      <c r="P3" s="33">
        <f>Macélio!Q$11</f>
        <v>465</v>
      </c>
      <c r="Q3" s="22">
        <v>7</v>
      </c>
      <c r="R3" s="22">
        <v>7</v>
      </c>
      <c r="S3" s="22">
        <v>13</v>
      </c>
      <c r="T3" s="22">
        <v>11</v>
      </c>
      <c r="U3" s="22">
        <v>11</v>
      </c>
      <c r="V3" s="38"/>
    </row>
    <row r="4" spans="2:24" x14ac:dyDescent="0.25">
      <c r="B4" s="46" t="s">
        <v>96</v>
      </c>
      <c r="C4" s="47" t="str">
        <f t="shared" si="0"/>
        <v>Ivan Alex_1</v>
      </c>
      <c r="D4" s="47">
        <f t="shared" ref="D4:D25" si="1">VLOOKUP(C4,O$3:U$25,2,0)</f>
        <v>480</v>
      </c>
      <c r="E4" s="47">
        <f t="shared" ref="E4:E25" si="2">VLOOKUP(C4,O$3:U$25,3,0)</f>
        <v>6</v>
      </c>
      <c r="F4" s="47">
        <f t="shared" ref="F4:F25" si="3">VLOOKUP(C4,O$3:U$25,4,0)</f>
        <v>11</v>
      </c>
      <c r="G4" s="47">
        <f t="shared" ref="G4:G25" si="4">VLOOKUP(C4,O$3:U$25,5,0)</f>
        <v>12</v>
      </c>
      <c r="H4" s="47">
        <f t="shared" ref="H4:H25" si="5">VLOOKUP(C4,O$3:U$25,6,0)</f>
        <v>9</v>
      </c>
      <c r="I4" s="48">
        <f t="shared" ref="I4:I25" si="6">VLOOKUP(C4,O$3:U$25,7,0)</f>
        <v>11</v>
      </c>
      <c r="K4" s="36" t="s">
        <v>91</v>
      </c>
      <c r="L4" s="36">
        <f>'Ivan Alex_1'!Q$11</f>
        <v>480</v>
      </c>
      <c r="M4" s="36"/>
      <c r="N4" s="36"/>
      <c r="O4" s="37" t="s">
        <v>91</v>
      </c>
      <c r="P4" s="33">
        <f>'Ivan Alex_1'!Q$11</f>
        <v>480</v>
      </c>
      <c r="Q4" s="42">
        <v>6</v>
      </c>
      <c r="R4" s="42">
        <v>11</v>
      </c>
      <c r="S4" s="42">
        <v>12</v>
      </c>
      <c r="T4" s="42">
        <v>9</v>
      </c>
      <c r="U4" s="42">
        <v>11</v>
      </c>
      <c r="V4" s="38"/>
    </row>
    <row r="5" spans="2:24" x14ac:dyDescent="0.25">
      <c r="B5" s="49" t="s">
        <v>97</v>
      </c>
      <c r="C5" s="50" t="str">
        <f t="shared" si="0"/>
        <v>Macélio</v>
      </c>
      <c r="D5" s="50">
        <f t="shared" si="1"/>
        <v>465</v>
      </c>
      <c r="E5" s="50">
        <f t="shared" si="2"/>
        <v>7</v>
      </c>
      <c r="F5" s="50">
        <f t="shared" si="3"/>
        <v>7</v>
      </c>
      <c r="G5" s="50">
        <f t="shared" si="4"/>
        <v>13</v>
      </c>
      <c r="H5" s="50">
        <f t="shared" si="5"/>
        <v>11</v>
      </c>
      <c r="I5" s="51">
        <f t="shared" si="6"/>
        <v>11</v>
      </c>
      <c r="K5" s="36" t="s">
        <v>70</v>
      </c>
      <c r="L5" s="36">
        <f>Macélio!Q$11</f>
        <v>465</v>
      </c>
      <c r="M5" s="36"/>
      <c r="N5" s="36"/>
      <c r="O5" s="37" t="s">
        <v>92</v>
      </c>
      <c r="P5" s="33">
        <f>'Bruno Flores'!Q$11</f>
        <v>530</v>
      </c>
      <c r="Q5" s="22">
        <v>12</v>
      </c>
      <c r="R5" s="22">
        <v>5</v>
      </c>
      <c r="S5" s="22">
        <v>12</v>
      </c>
      <c r="T5" s="22">
        <v>7</v>
      </c>
      <c r="U5" s="22">
        <v>13</v>
      </c>
      <c r="V5" s="38"/>
    </row>
    <row r="6" spans="2:24" x14ac:dyDescent="0.25">
      <c r="B6" s="62" t="s">
        <v>98</v>
      </c>
      <c r="C6" s="63" t="str">
        <f t="shared" si="0"/>
        <v>Luana</v>
      </c>
      <c r="D6" s="63">
        <f t="shared" si="1"/>
        <v>445</v>
      </c>
      <c r="E6" s="63">
        <f t="shared" si="2"/>
        <v>7</v>
      </c>
      <c r="F6" s="63">
        <f t="shared" si="3"/>
        <v>8</v>
      </c>
      <c r="G6" s="63">
        <f t="shared" si="4"/>
        <v>10</v>
      </c>
      <c r="H6" s="63">
        <f t="shared" si="5"/>
        <v>10</v>
      </c>
      <c r="I6" s="64">
        <f t="shared" si="6"/>
        <v>14</v>
      </c>
      <c r="K6" s="36" t="s">
        <v>75</v>
      </c>
      <c r="L6" s="36">
        <f>Luana!Q$11</f>
        <v>445</v>
      </c>
      <c r="M6" s="36"/>
      <c r="N6" s="36"/>
      <c r="O6" s="37" t="s">
        <v>69</v>
      </c>
      <c r="P6" s="33">
        <f>'Ivan Alex_2'!Q$11</f>
        <v>380</v>
      </c>
      <c r="Q6" s="22">
        <v>2</v>
      </c>
      <c r="R6" s="22">
        <v>9</v>
      </c>
      <c r="S6" s="22">
        <v>14</v>
      </c>
      <c r="T6" s="22">
        <v>11</v>
      </c>
      <c r="U6" s="22">
        <v>13</v>
      </c>
      <c r="V6" s="38"/>
    </row>
    <row r="7" spans="2:24" x14ac:dyDescent="0.25">
      <c r="B7" s="62" t="s">
        <v>99</v>
      </c>
      <c r="C7" s="63" t="str">
        <f t="shared" si="0"/>
        <v>Jean</v>
      </c>
      <c r="D7" s="63">
        <f t="shared" si="1"/>
        <v>430</v>
      </c>
      <c r="E7" s="63">
        <f t="shared" si="2"/>
        <v>4</v>
      </c>
      <c r="F7" s="63">
        <f t="shared" si="3"/>
        <v>11</v>
      </c>
      <c r="G7" s="63">
        <f t="shared" si="4"/>
        <v>11</v>
      </c>
      <c r="H7" s="63">
        <f t="shared" si="5"/>
        <v>11</v>
      </c>
      <c r="I7" s="64">
        <f t="shared" si="6"/>
        <v>11</v>
      </c>
      <c r="K7" s="36" t="s">
        <v>78</v>
      </c>
      <c r="L7" s="36">
        <f>Jean!Q$11</f>
        <v>430</v>
      </c>
      <c r="M7" s="36"/>
      <c r="N7" s="36"/>
      <c r="O7" s="37" t="s">
        <v>72</v>
      </c>
      <c r="P7" s="33">
        <f>Gabriel!Q$11</f>
        <v>355</v>
      </c>
      <c r="Q7" s="22">
        <v>2</v>
      </c>
      <c r="R7" s="22">
        <v>8</v>
      </c>
      <c r="S7" s="22">
        <v>13</v>
      </c>
      <c r="T7" s="22">
        <v>11</v>
      </c>
      <c r="U7" s="22">
        <v>14</v>
      </c>
      <c r="V7" s="38"/>
    </row>
    <row r="8" spans="2:24" x14ac:dyDescent="0.25">
      <c r="B8" s="62" t="s">
        <v>100</v>
      </c>
      <c r="C8" s="63" t="str">
        <f t="shared" si="0"/>
        <v>Alex</v>
      </c>
      <c r="D8" s="63">
        <f t="shared" si="1"/>
        <v>420</v>
      </c>
      <c r="E8" s="63">
        <f t="shared" si="2"/>
        <v>5</v>
      </c>
      <c r="F8" s="63">
        <f t="shared" si="3"/>
        <v>10</v>
      </c>
      <c r="G8" s="63">
        <f t="shared" si="4"/>
        <v>10</v>
      </c>
      <c r="H8" s="63">
        <f t="shared" si="5"/>
        <v>9</v>
      </c>
      <c r="I8" s="64">
        <f t="shared" si="6"/>
        <v>15</v>
      </c>
      <c r="K8" s="36" t="s">
        <v>77</v>
      </c>
      <c r="L8" s="36">
        <f>Alex!Q$11</f>
        <v>420</v>
      </c>
      <c r="M8" s="36"/>
      <c r="N8" s="36"/>
      <c r="O8" s="37" t="s">
        <v>71</v>
      </c>
      <c r="P8" s="33">
        <f>Luis!Q$11</f>
        <v>360</v>
      </c>
      <c r="Q8" s="22">
        <v>6</v>
      </c>
      <c r="R8" s="22">
        <v>5</v>
      </c>
      <c r="S8" s="22">
        <v>9</v>
      </c>
      <c r="T8" s="22">
        <v>9</v>
      </c>
      <c r="U8" s="22">
        <v>19</v>
      </c>
      <c r="V8" s="38"/>
    </row>
    <row r="9" spans="2:24" x14ac:dyDescent="0.25">
      <c r="B9" s="62" t="s">
        <v>101</v>
      </c>
      <c r="C9" s="63" t="str">
        <f t="shared" si="0"/>
        <v>Mácio</v>
      </c>
      <c r="D9" s="63">
        <f t="shared" si="1"/>
        <v>415</v>
      </c>
      <c r="E9" s="63">
        <f t="shared" si="2"/>
        <v>6</v>
      </c>
      <c r="F9" s="63">
        <f t="shared" si="3"/>
        <v>10</v>
      </c>
      <c r="G9" s="63">
        <f t="shared" si="4"/>
        <v>8</v>
      </c>
      <c r="H9" s="63">
        <f t="shared" si="5"/>
        <v>7</v>
      </c>
      <c r="I9" s="64">
        <f t="shared" si="6"/>
        <v>18</v>
      </c>
      <c r="K9" s="36" t="s">
        <v>76</v>
      </c>
      <c r="L9" s="36">
        <f>Mácio!Q$11</f>
        <v>415</v>
      </c>
      <c r="M9" s="36"/>
      <c r="N9" s="36"/>
      <c r="O9" s="37" t="s">
        <v>73</v>
      </c>
      <c r="P9" s="33">
        <f>Juninho_1!Q$11</f>
        <v>400</v>
      </c>
      <c r="Q9" s="22">
        <v>5</v>
      </c>
      <c r="R9" s="22">
        <v>6</v>
      </c>
      <c r="S9" s="22">
        <v>12</v>
      </c>
      <c r="T9" s="22">
        <v>13</v>
      </c>
      <c r="U9" s="22">
        <v>13</v>
      </c>
      <c r="V9" s="38"/>
    </row>
    <row r="10" spans="2:24" x14ac:dyDescent="0.25">
      <c r="B10" s="35" t="s">
        <v>102</v>
      </c>
      <c r="C10" s="27" t="str">
        <f t="shared" si="0"/>
        <v>Joseir_2</v>
      </c>
      <c r="D10" s="27">
        <f t="shared" si="1"/>
        <v>415</v>
      </c>
      <c r="E10" s="27">
        <f t="shared" si="2"/>
        <v>6</v>
      </c>
      <c r="F10" s="27">
        <f t="shared" si="3"/>
        <v>8</v>
      </c>
      <c r="G10" s="27">
        <f t="shared" si="4"/>
        <v>7</v>
      </c>
      <c r="H10" s="27">
        <f t="shared" si="5"/>
        <v>15</v>
      </c>
      <c r="I10" s="28">
        <f t="shared" si="6"/>
        <v>12</v>
      </c>
      <c r="J10" s="36"/>
      <c r="K10" s="36" t="s">
        <v>83</v>
      </c>
      <c r="L10" s="36">
        <f>Joseir_2!Q$11</f>
        <v>415</v>
      </c>
      <c r="M10" s="36"/>
      <c r="N10" s="36"/>
      <c r="O10" s="37" t="s">
        <v>74</v>
      </c>
      <c r="P10" s="33">
        <f>Juninho_2!Q$11</f>
        <v>390</v>
      </c>
      <c r="Q10" s="22">
        <v>4</v>
      </c>
      <c r="R10" s="22">
        <v>11</v>
      </c>
      <c r="S10" s="22">
        <v>7</v>
      </c>
      <c r="T10" s="22">
        <v>11</v>
      </c>
      <c r="U10" s="22">
        <v>16</v>
      </c>
      <c r="V10" s="38"/>
    </row>
    <row r="11" spans="2:24" x14ac:dyDescent="0.25">
      <c r="B11" s="35" t="s">
        <v>103</v>
      </c>
      <c r="C11" s="27" t="str">
        <f t="shared" si="0"/>
        <v>Talita</v>
      </c>
      <c r="D11" s="27">
        <f t="shared" si="1"/>
        <v>405</v>
      </c>
      <c r="E11" s="27">
        <f t="shared" si="2"/>
        <v>5</v>
      </c>
      <c r="F11" s="27">
        <f t="shared" si="3"/>
        <v>8</v>
      </c>
      <c r="G11" s="27">
        <f t="shared" si="4"/>
        <v>9</v>
      </c>
      <c r="H11" s="27">
        <f t="shared" si="5"/>
        <v>14</v>
      </c>
      <c r="I11" s="28">
        <f t="shared" si="6"/>
        <v>12</v>
      </c>
      <c r="K11" s="36" t="s">
        <v>87</v>
      </c>
      <c r="L11" s="36">
        <f>Talita!Q$11</f>
        <v>405</v>
      </c>
      <c r="M11" s="36"/>
      <c r="N11" s="36"/>
      <c r="O11" s="37" t="s">
        <v>75</v>
      </c>
      <c r="P11" s="33">
        <f>Luana!Q$11</f>
        <v>445</v>
      </c>
      <c r="Q11" s="22">
        <v>7</v>
      </c>
      <c r="R11" s="22">
        <v>8</v>
      </c>
      <c r="S11" s="22">
        <v>10</v>
      </c>
      <c r="T11" s="22">
        <v>10</v>
      </c>
      <c r="U11" s="22">
        <v>14</v>
      </c>
      <c r="V11" s="38"/>
    </row>
    <row r="12" spans="2:24" x14ac:dyDescent="0.25">
      <c r="B12" s="35" t="s">
        <v>104</v>
      </c>
      <c r="C12" s="27" t="str">
        <f t="shared" si="0"/>
        <v>Juninho_1</v>
      </c>
      <c r="D12" s="27">
        <f t="shared" si="1"/>
        <v>400</v>
      </c>
      <c r="E12" s="27">
        <f t="shared" si="2"/>
        <v>5</v>
      </c>
      <c r="F12" s="27">
        <f t="shared" si="3"/>
        <v>6</v>
      </c>
      <c r="G12" s="27">
        <f t="shared" si="4"/>
        <v>12</v>
      </c>
      <c r="H12" s="27">
        <f t="shared" si="5"/>
        <v>13</v>
      </c>
      <c r="I12" s="28">
        <f t="shared" si="6"/>
        <v>13</v>
      </c>
      <c r="K12" s="36" t="s">
        <v>73</v>
      </c>
      <c r="L12" s="36">
        <f>Juninho_1!Q$11</f>
        <v>400</v>
      </c>
      <c r="M12" s="36"/>
      <c r="N12" s="36"/>
      <c r="O12" s="37" t="s">
        <v>76</v>
      </c>
      <c r="P12" s="33">
        <f>Mácio!Q$11</f>
        <v>415</v>
      </c>
      <c r="Q12" s="22">
        <v>6</v>
      </c>
      <c r="R12" s="22">
        <v>10</v>
      </c>
      <c r="S12" s="22">
        <v>8</v>
      </c>
      <c r="T12" s="22">
        <v>7</v>
      </c>
      <c r="U12" s="22">
        <v>18</v>
      </c>
      <c r="V12" s="38"/>
    </row>
    <row r="13" spans="2:24" x14ac:dyDescent="0.25">
      <c r="B13" s="35" t="s">
        <v>105</v>
      </c>
      <c r="C13" s="27" t="str">
        <f t="shared" si="0"/>
        <v>Roberto</v>
      </c>
      <c r="D13" s="27">
        <f t="shared" si="1"/>
        <v>400</v>
      </c>
      <c r="E13" s="27">
        <f t="shared" si="2"/>
        <v>3</v>
      </c>
      <c r="F13" s="27">
        <f t="shared" si="3"/>
        <v>11</v>
      </c>
      <c r="G13" s="27">
        <f t="shared" si="4"/>
        <v>9</v>
      </c>
      <c r="H13" s="27">
        <f t="shared" si="5"/>
        <v>14</v>
      </c>
      <c r="I13" s="28">
        <f t="shared" si="6"/>
        <v>11</v>
      </c>
      <c r="K13" s="36" t="s">
        <v>80</v>
      </c>
      <c r="L13" s="36">
        <f>Roberto!Q$11</f>
        <v>400</v>
      </c>
      <c r="M13" s="36"/>
      <c r="N13" s="36"/>
      <c r="O13" s="37" t="s">
        <v>77</v>
      </c>
      <c r="P13" s="33">
        <f>Alex!Q$11</f>
        <v>420</v>
      </c>
      <c r="Q13" s="22">
        <v>5</v>
      </c>
      <c r="R13" s="22">
        <v>10</v>
      </c>
      <c r="S13" s="22">
        <v>10</v>
      </c>
      <c r="T13" s="22">
        <v>9</v>
      </c>
      <c r="U13" s="22">
        <v>15</v>
      </c>
      <c r="V13" s="38"/>
    </row>
    <row r="14" spans="2:24" x14ac:dyDescent="0.25">
      <c r="B14" s="35" t="s">
        <v>106</v>
      </c>
      <c r="C14" s="27" t="str">
        <f t="shared" si="0"/>
        <v>Cléofaz</v>
      </c>
      <c r="D14" s="27">
        <f t="shared" si="1"/>
        <v>400</v>
      </c>
      <c r="E14" s="27">
        <f t="shared" si="2"/>
        <v>3</v>
      </c>
      <c r="F14" s="27">
        <f t="shared" si="3"/>
        <v>8</v>
      </c>
      <c r="G14" s="27">
        <f t="shared" si="4"/>
        <v>18</v>
      </c>
      <c r="H14" s="27">
        <f t="shared" si="5"/>
        <v>5</v>
      </c>
      <c r="I14" s="28">
        <f t="shared" si="6"/>
        <v>13</v>
      </c>
      <c r="K14" s="36" t="s">
        <v>89</v>
      </c>
      <c r="L14" s="36">
        <f>Cléofaz!Q$11</f>
        <v>400</v>
      </c>
      <c r="M14" s="36"/>
      <c r="N14" s="36"/>
      <c r="O14" s="37" t="s">
        <v>78</v>
      </c>
      <c r="P14" s="33">
        <f>Jean!Q$11</f>
        <v>430</v>
      </c>
      <c r="Q14" s="22">
        <v>4</v>
      </c>
      <c r="R14" s="22">
        <v>11</v>
      </c>
      <c r="S14" s="22">
        <v>11</v>
      </c>
      <c r="T14" s="22">
        <v>11</v>
      </c>
      <c r="U14" s="22">
        <v>11</v>
      </c>
      <c r="V14" s="38"/>
    </row>
    <row r="15" spans="2:24" x14ac:dyDescent="0.25">
      <c r="B15" s="35" t="s">
        <v>107</v>
      </c>
      <c r="C15" s="27" t="str">
        <f t="shared" si="0"/>
        <v>Robert</v>
      </c>
      <c r="D15" s="27">
        <f t="shared" si="1"/>
        <v>395</v>
      </c>
      <c r="E15" s="27">
        <f t="shared" si="2"/>
        <v>4</v>
      </c>
      <c r="F15" s="27">
        <f t="shared" si="3"/>
        <v>10</v>
      </c>
      <c r="G15" s="27">
        <f t="shared" si="4"/>
        <v>9</v>
      </c>
      <c r="H15" s="27">
        <f t="shared" si="5"/>
        <v>11</v>
      </c>
      <c r="I15" s="28">
        <f t="shared" si="6"/>
        <v>14</v>
      </c>
      <c r="K15" s="36" t="s">
        <v>79</v>
      </c>
      <c r="L15" s="36">
        <f>Robert!Q$11</f>
        <v>395</v>
      </c>
      <c r="M15" s="36"/>
      <c r="N15" s="36"/>
      <c r="O15" s="37" t="s">
        <v>79</v>
      </c>
      <c r="P15" s="33">
        <f>Robert!Q$11</f>
        <v>395</v>
      </c>
      <c r="Q15" s="22">
        <v>4</v>
      </c>
      <c r="R15" s="22">
        <v>10</v>
      </c>
      <c r="S15" s="22">
        <v>9</v>
      </c>
      <c r="T15" s="22">
        <v>11</v>
      </c>
      <c r="U15" s="22">
        <v>14</v>
      </c>
      <c r="V15" s="38"/>
    </row>
    <row r="16" spans="2:24" x14ac:dyDescent="0.25">
      <c r="B16" s="35" t="s">
        <v>108</v>
      </c>
      <c r="C16" s="27" t="str">
        <f t="shared" si="0"/>
        <v>Julio</v>
      </c>
      <c r="D16" s="27">
        <f t="shared" si="1"/>
        <v>395</v>
      </c>
      <c r="E16" s="27">
        <f t="shared" si="2"/>
        <v>3</v>
      </c>
      <c r="F16" s="27">
        <f t="shared" si="3"/>
        <v>10</v>
      </c>
      <c r="G16" s="27">
        <f t="shared" si="4"/>
        <v>14</v>
      </c>
      <c r="H16" s="27">
        <f t="shared" si="5"/>
        <v>6</v>
      </c>
      <c r="I16" s="28">
        <f t="shared" si="6"/>
        <v>15</v>
      </c>
      <c r="K16" s="36" t="s">
        <v>86</v>
      </c>
      <c r="L16" s="36">
        <f>Julio!Q$11</f>
        <v>395</v>
      </c>
      <c r="M16" s="36"/>
      <c r="N16" s="36"/>
      <c r="O16" s="37" t="s">
        <v>80</v>
      </c>
      <c r="P16" s="33">
        <f>Roberto!Q$11</f>
        <v>400</v>
      </c>
      <c r="Q16" s="22">
        <v>3</v>
      </c>
      <c r="R16" s="22">
        <v>11</v>
      </c>
      <c r="S16" s="22">
        <v>9</v>
      </c>
      <c r="T16" s="22">
        <v>14</v>
      </c>
      <c r="U16" s="22">
        <v>11</v>
      </c>
      <c r="V16" s="38"/>
    </row>
    <row r="17" spans="2:22" x14ac:dyDescent="0.25">
      <c r="B17" s="35" t="s">
        <v>109</v>
      </c>
      <c r="C17" s="27" t="str">
        <f t="shared" si="0"/>
        <v>Juninho_2</v>
      </c>
      <c r="D17" s="27">
        <f t="shared" si="1"/>
        <v>390</v>
      </c>
      <c r="E17" s="27">
        <f t="shared" si="2"/>
        <v>4</v>
      </c>
      <c r="F17" s="27">
        <f t="shared" si="3"/>
        <v>11</v>
      </c>
      <c r="G17" s="27">
        <f t="shared" si="4"/>
        <v>7</v>
      </c>
      <c r="H17" s="27">
        <f t="shared" si="5"/>
        <v>11</v>
      </c>
      <c r="I17" s="28">
        <f t="shared" si="6"/>
        <v>16</v>
      </c>
      <c r="K17" s="36" t="s">
        <v>74</v>
      </c>
      <c r="L17" s="36">
        <f>Juninho_2!Q$11</f>
        <v>390</v>
      </c>
      <c r="M17" s="36"/>
      <c r="N17" s="36"/>
      <c r="O17" s="37" t="s">
        <v>81</v>
      </c>
      <c r="P17" s="33">
        <f>Andréia!Q$11</f>
        <v>245</v>
      </c>
      <c r="Q17" s="22"/>
      <c r="R17" s="22">
        <v>3</v>
      </c>
      <c r="S17" s="22">
        <v>15</v>
      </c>
      <c r="T17" s="22">
        <v>10</v>
      </c>
      <c r="U17" s="22">
        <v>20</v>
      </c>
      <c r="V17" s="38"/>
    </row>
    <row r="18" spans="2:22" x14ac:dyDescent="0.25">
      <c r="B18" s="35" t="s">
        <v>110</v>
      </c>
      <c r="C18" s="27" t="str">
        <f t="shared" si="0"/>
        <v>Anderson</v>
      </c>
      <c r="D18" s="27">
        <f t="shared" si="1"/>
        <v>380</v>
      </c>
      <c r="E18" s="27">
        <f t="shared" si="2"/>
        <v>3</v>
      </c>
      <c r="F18" s="27">
        <f t="shared" si="3"/>
        <v>10</v>
      </c>
      <c r="G18" s="27">
        <f t="shared" si="4"/>
        <v>11</v>
      </c>
      <c r="H18" s="27">
        <f t="shared" si="5"/>
        <v>9</v>
      </c>
      <c r="I18" s="28">
        <f t="shared" si="6"/>
        <v>15</v>
      </c>
      <c r="K18" s="36" t="s">
        <v>88</v>
      </c>
      <c r="L18" s="36">
        <f>Anderson!Q$11</f>
        <v>380</v>
      </c>
      <c r="M18" s="36"/>
      <c r="N18" s="36"/>
      <c r="O18" s="37" t="s">
        <v>82</v>
      </c>
      <c r="P18" s="33">
        <f>Joseir_1!Q$11</f>
        <v>325</v>
      </c>
      <c r="Q18" s="22">
        <v>3</v>
      </c>
      <c r="R18" s="22">
        <v>6</v>
      </c>
      <c r="S18" s="22">
        <v>9</v>
      </c>
      <c r="T18" s="22">
        <v>14</v>
      </c>
      <c r="U18" s="22">
        <v>16</v>
      </c>
      <c r="V18" s="38"/>
    </row>
    <row r="19" spans="2:22" x14ac:dyDescent="0.25">
      <c r="B19" s="35" t="s">
        <v>111</v>
      </c>
      <c r="C19" s="27" t="str">
        <f t="shared" si="0"/>
        <v>Ivan Alex_2</v>
      </c>
      <c r="D19" s="27">
        <f t="shared" si="1"/>
        <v>380</v>
      </c>
      <c r="E19" s="27">
        <f t="shared" si="2"/>
        <v>2</v>
      </c>
      <c r="F19" s="27">
        <f t="shared" si="3"/>
        <v>9</v>
      </c>
      <c r="G19" s="27">
        <f t="shared" si="4"/>
        <v>14</v>
      </c>
      <c r="H19" s="27">
        <f t="shared" si="5"/>
        <v>11</v>
      </c>
      <c r="I19" s="28">
        <f t="shared" si="6"/>
        <v>13</v>
      </c>
      <c r="K19" s="36" t="s">
        <v>69</v>
      </c>
      <c r="L19" s="36">
        <f>'Ivan Alex_2'!Q$11</f>
        <v>380</v>
      </c>
      <c r="M19" s="36"/>
      <c r="N19" s="36"/>
      <c r="O19" s="37" t="s">
        <v>83</v>
      </c>
      <c r="P19" s="33">
        <f>Joseir_2!Q$11</f>
        <v>415</v>
      </c>
      <c r="Q19" s="22">
        <v>6</v>
      </c>
      <c r="R19" s="22">
        <v>8</v>
      </c>
      <c r="S19" s="22">
        <v>7</v>
      </c>
      <c r="T19" s="22">
        <v>15</v>
      </c>
      <c r="U19" s="22">
        <v>12</v>
      </c>
      <c r="V19" s="38"/>
    </row>
    <row r="20" spans="2:22" x14ac:dyDescent="0.25">
      <c r="B20" s="35" t="s">
        <v>112</v>
      </c>
      <c r="C20" s="27" t="str">
        <f t="shared" si="0"/>
        <v>Luis</v>
      </c>
      <c r="D20" s="27">
        <f t="shared" si="1"/>
        <v>360</v>
      </c>
      <c r="E20" s="27">
        <f t="shared" si="2"/>
        <v>6</v>
      </c>
      <c r="F20" s="27">
        <f t="shared" si="3"/>
        <v>5</v>
      </c>
      <c r="G20" s="27">
        <f t="shared" si="4"/>
        <v>9</v>
      </c>
      <c r="H20" s="27">
        <f t="shared" si="5"/>
        <v>9</v>
      </c>
      <c r="I20" s="28">
        <f t="shared" si="6"/>
        <v>19</v>
      </c>
      <c r="K20" s="36" t="s">
        <v>71</v>
      </c>
      <c r="L20" s="36">
        <f>Luis!Q$11</f>
        <v>360</v>
      </c>
      <c r="M20" s="36"/>
      <c r="N20" s="36"/>
      <c r="O20" s="37" t="s">
        <v>84</v>
      </c>
      <c r="P20" s="33">
        <f>Ivani!Q$11</f>
        <v>335</v>
      </c>
      <c r="Q20" s="22">
        <v>4</v>
      </c>
      <c r="R20" s="22">
        <v>6</v>
      </c>
      <c r="S20" s="22">
        <v>11</v>
      </c>
      <c r="T20" s="22">
        <v>7</v>
      </c>
      <c r="U20" s="22">
        <v>21</v>
      </c>
      <c r="V20" s="38"/>
    </row>
    <row r="21" spans="2:22" x14ac:dyDescent="0.25">
      <c r="B21" s="35" t="s">
        <v>113</v>
      </c>
      <c r="C21" s="27" t="str">
        <f t="shared" si="0"/>
        <v>Gabriel</v>
      </c>
      <c r="D21" s="27">
        <f t="shared" si="1"/>
        <v>355</v>
      </c>
      <c r="E21" s="27">
        <f t="shared" si="2"/>
        <v>2</v>
      </c>
      <c r="F21" s="27">
        <f t="shared" si="3"/>
        <v>8</v>
      </c>
      <c r="G21" s="27">
        <f t="shared" si="4"/>
        <v>13</v>
      </c>
      <c r="H21" s="27">
        <f t="shared" si="5"/>
        <v>11</v>
      </c>
      <c r="I21" s="28">
        <f t="shared" si="6"/>
        <v>14</v>
      </c>
      <c r="K21" s="36" t="s">
        <v>72</v>
      </c>
      <c r="L21" s="36">
        <f>Gabriel!Q$11</f>
        <v>355</v>
      </c>
      <c r="M21" s="36"/>
      <c r="N21" s="36"/>
      <c r="O21" s="37" t="s">
        <v>85</v>
      </c>
      <c r="P21" s="33">
        <f>Josimar!Q$11</f>
        <v>310</v>
      </c>
      <c r="Q21" s="22">
        <v>2</v>
      </c>
      <c r="R21" s="22">
        <v>10</v>
      </c>
      <c r="S21" s="22">
        <v>5</v>
      </c>
      <c r="T21" s="22">
        <v>12</v>
      </c>
      <c r="U21" s="22">
        <v>19</v>
      </c>
      <c r="V21" s="38"/>
    </row>
    <row r="22" spans="2:22" x14ac:dyDescent="0.25">
      <c r="B22" s="35" t="s">
        <v>114</v>
      </c>
      <c r="C22" s="27" t="str">
        <f t="shared" si="0"/>
        <v>Ivani</v>
      </c>
      <c r="D22" s="27">
        <f t="shared" si="1"/>
        <v>335</v>
      </c>
      <c r="E22" s="27">
        <f t="shared" si="2"/>
        <v>4</v>
      </c>
      <c r="F22" s="27">
        <f t="shared" si="3"/>
        <v>6</v>
      </c>
      <c r="G22" s="27">
        <f t="shared" si="4"/>
        <v>11</v>
      </c>
      <c r="H22" s="27">
        <f t="shared" si="5"/>
        <v>7</v>
      </c>
      <c r="I22" s="28">
        <f t="shared" si="6"/>
        <v>21</v>
      </c>
      <c r="K22" s="36" t="s">
        <v>84</v>
      </c>
      <c r="L22" s="36">
        <f>Ivani!Q$11</f>
        <v>335</v>
      </c>
      <c r="M22" s="36"/>
      <c r="N22" s="36"/>
      <c r="O22" s="37" t="s">
        <v>86</v>
      </c>
      <c r="P22" s="33">
        <f>Julio!Q$11</f>
        <v>395</v>
      </c>
      <c r="Q22" s="22">
        <v>3</v>
      </c>
      <c r="R22" s="22">
        <v>10</v>
      </c>
      <c r="S22" s="22">
        <v>14</v>
      </c>
      <c r="T22" s="22">
        <v>6</v>
      </c>
      <c r="U22" s="22">
        <v>15</v>
      </c>
      <c r="V22" s="38"/>
    </row>
    <row r="23" spans="2:22" x14ac:dyDescent="0.25">
      <c r="B23" s="35" t="s">
        <v>115</v>
      </c>
      <c r="C23" s="27" t="str">
        <f t="shared" si="0"/>
        <v>Joseir_1</v>
      </c>
      <c r="D23" s="27">
        <f t="shared" si="1"/>
        <v>325</v>
      </c>
      <c r="E23" s="27">
        <f t="shared" si="2"/>
        <v>3</v>
      </c>
      <c r="F23" s="27">
        <f t="shared" si="3"/>
        <v>6</v>
      </c>
      <c r="G23" s="27">
        <f t="shared" si="4"/>
        <v>9</v>
      </c>
      <c r="H23" s="27">
        <f t="shared" si="5"/>
        <v>14</v>
      </c>
      <c r="I23" s="28">
        <f t="shared" si="6"/>
        <v>16</v>
      </c>
      <c r="K23" s="36" t="s">
        <v>82</v>
      </c>
      <c r="L23" s="36">
        <f>Joseir_1!Q$11</f>
        <v>325</v>
      </c>
      <c r="M23" s="36"/>
      <c r="N23" s="36"/>
      <c r="O23" s="37" t="s">
        <v>87</v>
      </c>
      <c r="P23" s="33">
        <f>Talita!Q$11</f>
        <v>405</v>
      </c>
      <c r="Q23" s="22">
        <v>5</v>
      </c>
      <c r="R23" s="22">
        <v>8</v>
      </c>
      <c r="S23" s="22">
        <v>9</v>
      </c>
      <c r="T23" s="22">
        <v>14</v>
      </c>
      <c r="U23" s="22">
        <v>12</v>
      </c>
      <c r="V23" s="38"/>
    </row>
    <row r="24" spans="2:22" x14ac:dyDescent="0.25">
      <c r="B24" s="35" t="s">
        <v>116</v>
      </c>
      <c r="C24" s="27" t="str">
        <f t="shared" si="0"/>
        <v>Josimar</v>
      </c>
      <c r="D24" s="27">
        <f t="shared" si="1"/>
        <v>310</v>
      </c>
      <c r="E24" s="27">
        <f t="shared" si="2"/>
        <v>2</v>
      </c>
      <c r="F24" s="27">
        <f t="shared" si="3"/>
        <v>10</v>
      </c>
      <c r="G24" s="27">
        <f t="shared" si="4"/>
        <v>5</v>
      </c>
      <c r="H24" s="27">
        <f t="shared" si="5"/>
        <v>12</v>
      </c>
      <c r="I24" s="28">
        <f t="shared" si="6"/>
        <v>19</v>
      </c>
      <c r="K24" s="36" t="s">
        <v>85</v>
      </c>
      <c r="L24" s="36">
        <f>Josimar!Q$11</f>
        <v>310</v>
      </c>
      <c r="M24" s="36"/>
      <c r="N24" s="36"/>
      <c r="O24" s="37" t="s">
        <v>88</v>
      </c>
      <c r="P24" s="33">
        <f>Anderson!Q$11</f>
        <v>380</v>
      </c>
      <c r="Q24" s="22">
        <v>3</v>
      </c>
      <c r="R24" s="22">
        <v>10</v>
      </c>
      <c r="S24" s="22">
        <v>11</v>
      </c>
      <c r="T24" s="22">
        <v>9</v>
      </c>
      <c r="U24" s="22">
        <v>15</v>
      </c>
      <c r="V24" s="38"/>
    </row>
    <row r="25" spans="2:22" ht="15.75" thickBot="1" x14ac:dyDescent="0.3">
      <c r="B25" s="39" t="s">
        <v>117</v>
      </c>
      <c r="C25" s="29" t="str">
        <f t="shared" si="0"/>
        <v>Andréia</v>
      </c>
      <c r="D25" s="29">
        <f t="shared" si="1"/>
        <v>245</v>
      </c>
      <c r="E25" s="29">
        <f t="shared" si="2"/>
        <v>0</v>
      </c>
      <c r="F25" s="29">
        <f t="shared" si="3"/>
        <v>3</v>
      </c>
      <c r="G25" s="29">
        <f t="shared" si="4"/>
        <v>15</v>
      </c>
      <c r="H25" s="29">
        <f t="shared" si="5"/>
        <v>10</v>
      </c>
      <c r="I25" s="30">
        <f t="shared" si="6"/>
        <v>20</v>
      </c>
      <c r="K25" s="36" t="s">
        <v>81</v>
      </c>
      <c r="L25" s="36">
        <f>Andréia!Q$11</f>
        <v>245</v>
      </c>
      <c r="M25" s="36"/>
      <c r="N25" s="36"/>
      <c r="O25" s="37" t="s">
        <v>89</v>
      </c>
      <c r="P25" s="33">
        <f>Cléofaz!Q$11</f>
        <v>400</v>
      </c>
      <c r="Q25" s="22">
        <v>3</v>
      </c>
      <c r="R25" s="22">
        <v>8</v>
      </c>
      <c r="S25" s="22">
        <v>18</v>
      </c>
      <c r="T25" s="22">
        <v>5</v>
      </c>
      <c r="U25" s="22">
        <v>13</v>
      </c>
      <c r="V25" s="38"/>
    </row>
    <row r="26" spans="2:22" ht="15.75" thickTop="1" x14ac:dyDescent="0.25">
      <c r="N26" s="36"/>
      <c r="P26" s="34"/>
    </row>
    <row r="28" spans="2:22" ht="15.75" x14ac:dyDescent="0.25">
      <c r="B28" s="140" t="s">
        <v>19</v>
      </c>
      <c r="C28" s="6">
        <v>3</v>
      </c>
      <c r="D28" s="6" t="s">
        <v>53</v>
      </c>
      <c r="E28" s="6">
        <v>1</v>
      </c>
      <c r="F28" s="138" t="s">
        <v>166</v>
      </c>
    </row>
    <row r="36" spans="2:10" x14ac:dyDescent="0.25">
      <c r="B36" s="68"/>
      <c r="C36" s="68"/>
      <c r="D36" s="68"/>
      <c r="E36" s="53"/>
      <c r="F36" s="53"/>
      <c r="G36" s="53"/>
      <c r="H36" s="68"/>
      <c r="I36" s="68"/>
      <c r="J36" s="68"/>
    </row>
    <row r="42" spans="2:10" x14ac:dyDescent="0.25">
      <c r="B42" s="68"/>
      <c r="C42" s="68"/>
      <c r="D42" s="68"/>
      <c r="E42" s="53"/>
      <c r="F42" s="53"/>
      <c r="G42" s="53"/>
      <c r="H42" s="68"/>
      <c r="I42" s="68"/>
      <c r="J42" s="68"/>
    </row>
    <row r="48" spans="2:10" x14ac:dyDescent="0.25">
      <c r="B48" s="68"/>
      <c r="C48" s="68"/>
      <c r="D48" s="68"/>
      <c r="E48" s="53"/>
      <c r="F48" s="53"/>
      <c r="G48" s="53"/>
      <c r="H48" s="68"/>
      <c r="I48" s="68"/>
      <c r="J48" s="68"/>
    </row>
    <row r="54" spans="2:10" x14ac:dyDescent="0.25">
      <c r="B54" s="68"/>
      <c r="C54" s="68"/>
      <c r="D54" s="68"/>
      <c r="E54" s="53"/>
      <c r="F54" s="53"/>
      <c r="G54" s="53"/>
      <c r="H54" s="68"/>
      <c r="I54" s="68"/>
      <c r="J54" s="68"/>
    </row>
    <row r="55" spans="2:10" x14ac:dyDescent="0.25">
      <c r="B55" s="68"/>
      <c r="C55" s="68"/>
      <c r="D55" s="68"/>
      <c r="E55" s="53"/>
      <c r="F55" s="53"/>
      <c r="G55" s="53"/>
      <c r="H55" s="68"/>
      <c r="I55" s="68"/>
      <c r="J55" s="68"/>
    </row>
    <row r="60" spans="2:10" x14ac:dyDescent="0.25">
      <c r="B60" s="68"/>
      <c r="C60" s="68"/>
      <c r="D60" s="68"/>
      <c r="E60" s="53"/>
      <c r="F60" s="53"/>
      <c r="G60" s="53"/>
      <c r="H60" s="68"/>
      <c r="I60" s="68"/>
      <c r="J60" s="68"/>
    </row>
    <row r="61" spans="2:10" x14ac:dyDescent="0.25">
      <c r="B61" s="68"/>
      <c r="C61" s="68"/>
      <c r="D61" s="68"/>
      <c r="E61" s="53"/>
      <c r="F61" s="53"/>
      <c r="G61" s="53"/>
      <c r="H61" s="68"/>
      <c r="I61" s="68"/>
      <c r="J61" s="68"/>
    </row>
    <row r="66" spans="2:10" x14ac:dyDescent="0.25">
      <c r="B66" s="68"/>
      <c r="C66" s="68"/>
      <c r="D66" s="68"/>
      <c r="E66" s="53"/>
      <c r="F66" s="53"/>
      <c r="G66" s="53"/>
      <c r="H66" s="68"/>
      <c r="I66" s="68"/>
      <c r="J66" s="68"/>
    </row>
    <row r="72" spans="2:10" x14ac:dyDescent="0.25">
      <c r="B72" s="68"/>
      <c r="C72" s="68"/>
      <c r="D72" s="68"/>
      <c r="E72" s="53"/>
      <c r="F72" s="53"/>
      <c r="G72" s="53"/>
      <c r="H72" s="68"/>
      <c r="I72" s="68"/>
      <c r="J72" s="68"/>
    </row>
    <row r="78" spans="2:10" x14ac:dyDescent="0.25">
      <c r="B78" s="68"/>
      <c r="C78" s="68"/>
      <c r="D78" s="68"/>
      <c r="E78" s="53"/>
      <c r="F78" s="53"/>
      <c r="G78" s="53"/>
      <c r="H78" s="68"/>
      <c r="I78" s="68"/>
      <c r="J78" s="68"/>
    </row>
    <row r="79" spans="2:10" x14ac:dyDescent="0.25">
      <c r="B79" s="68"/>
      <c r="C79" s="68"/>
      <c r="D79" s="68"/>
      <c r="E79" s="53"/>
      <c r="F79" s="53"/>
      <c r="G79" s="53"/>
      <c r="H79" s="68"/>
      <c r="I79" s="68"/>
      <c r="J79" s="68"/>
    </row>
    <row r="84" spans="2:10" x14ac:dyDescent="0.25">
      <c r="B84" s="68"/>
      <c r="C84" s="68"/>
      <c r="D84" s="68"/>
      <c r="E84" s="53"/>
      <c r="F84" s="53"/>
      <c r="G84" s="53"/>
      <c r="H84" s="68"/>
      <c r="I84" s="68"/>
      <c r="J84" s="68"/>
    </row>
    <row r="85" spans="2:10" x14ac:dyDescent="0.25">
      <c r="B85" s="68"/>
      <c r="C85" s="68"/>
      <c r="D85" s="68"/>
      <c r="E85" s="53"/>
      <c r="F85" s="53"/>
      <c r="G85" s="53"/>
      <c r="H85" s="68"/>
      <c r="I85" s="68"/>
      <c r="J85" s="68"/>
    </row>
    <row r="86" spans="2:10" x14ac:dyDescent="0.25">
      <c r="B86" s="68"/>
      <c r="C86" s="68"/>
      <c r="D86" s="68"/>
      <c r="E86" s="53"/>
      <c r="F86" s="53"/>
      <c r="G86" s="53"/>
      <c r="H86" s="68"/>
      <c r="I86" s="68"/>
      <c r="J86" s="68"/>
    </row>
    <row r="90" spans="2:10" x14ac:dyDescent="0.25">
      <c r="B90" s="68"/>
      <c r="C90" s="68"/>
      <c r="D90" s="68"/>
      <c r="E90" s="53"/>
      <c r="F90" s="53"/>
      <c r="G90" s="53"/>
      <c r="H90" s="68"/>
      <c r="I90" s="68"/>
      <c r="J90" s="68"/>
    </row>
    <row r="91" spans="2:10" x14ac:dyDescent="0.25">
      <c r="B91" s="68"/>
      <c r="C91" s="68"/>
      <c r="D91" s="68"/>
      <c r="E91" s="53"/>
      <c r="F91" s="53"/>
      <c r="G91" s="53"/>
      <c r="H91" s="68"/>
      <c r="I91" s="68"/>
      <c r="J91" s="68"/>
    </row>
    <row r="96" spans="2:10" x14ac:dyDescent="0.25">
      <c r="B96" s="68"/>
      <c r="C96" s="68"/>
      <c r="D96" s="68"/>
      <c r="E96" s="53"/>
      <c r="F96" s="53"/>
      <c r="G96" s="53"/>
      <c r="H96" s="68"/>
      <c r="I96" s="68"/>
      <c r="J96" s="68"/>
    </row>
    <row r="102" spans="2:10" x14ac:dyDescent="0.25">
      <c r="B102" s="68"/>
      <c r="C102" s="68"/>
      <c r="D102" s="68"/>
      <c r="E102" s="53"/>
      <c r="F102" s="53"/>
      <c r="G102" s="53"/>
      <c r="H102" s="68"/>
      <c r="I102" s="68"/>
      <c r="J102" s="68"/>
    </row>
    <row r="103" spans="2:10" x14ac:dyDescent="0.25">
      <c r="B103" s="68"/>
      <c r="C103" s="68"/>
      <c r="D103" s="68"/>
      <c r="E103" s="53"/>
      <c r="F103" s="53"/>
      <c r="G103" s="53"/>
      <c r="H103" s="68"/>
      <c r="I103" s="68"/>
      <c r="J103" s="68"/>
    </row>
    <row r="104" spans="2:10" x14ac:dyDescent="0.25">
      <c r="B104" s="68"/>
      <c r="C104" s="68"/>
      <c r="D104" s="68"/>
      <c r="E104" s="53"/>
      <c r="F104" s="53"/>
      <c r="G104" s="53"/>
      <c r="H104" s="68"/>
      <c r="I104" s="68"/>
      <c r="J104" s="68"/>
    </row>
    <row r="108" spans="2:10" x14ac:dyDescent="0.25">
      <c r="B108" s="68"/>
      <c r="C108" s="68"/>
      <c r="D108" s="68"/>
      <c r="E108" s="53"/>
      <c r="F108" s="53"/>
      <c r="G108" s="53"/>
      <c r="H108" s="68"/>
      <c r="I108" s="68"/>
      <c r="J108" s="68"/>
    </row>
    <row r="109" spans="2:10" x14ac:dyDescent="0.25">
      <c r="B109" s="68"/>
      <c r="C109" s="68"/>
      <c r="D109" s="68"/>
      <c r="E109" s="53"/>
      <c r="F109" s="53"/>
      <c r="G109" s="53"/>
      <c r="H109" s="68"/>
      <c r="I109" s="68"/>
      <c r="J109" s="68"/>
    </row>
    <row r="114" spans="2:10" x14ac:dyDescent="0.25">
      <c r="B114" s="68"/>
      <c r="C114" s="68"/>
      <c r="D114" s="68"/>
      <c r="E114" s="53"/>
      <c r="F114" s="53"/>
      <c r="G114" s="53"/>
      <c r="H114" s="68"/>
      <c r="I114" s="68"/>
      <c r="J114" s="68"/>
    </row>
    <row r="120" spans="2:10" x14ac:dyDescent="0.25">
      <c r="B120" s="68"/>
      <c r="C120" s="68"/>
      <c r="D120" s="68"/>
      <c r="E120" s="53"/>
      <c r="F120" s="53"/>
      <c r="G120" s="53"/>
      <c r="H120" s="68"/>
      <c r="I120" s="68"/>
      <c r="J120" s="68"/>
    </row>
    <row r="121" spans="2:10" x14ac:dyDescent="0.25">
      <c r="B121" s="68"/>
      <c r="C121" s="68"/>
      <c r="D121" s="68"/>
      <c r="E121" s="53"/>
      <c r="F121" s="53"/>
      <c r="G121" s="53"/>
      <c r="H121" s="68"/>
      <c r="I121" s="68"/>
      <c r="J121" s="68"/>
    </row>
    <row r="122" spans="2:10" x14ac:dyDescent="0.25">
      <c r="B122" s="68"/>
      <c r="C122" s="68"/>
      <c r="D122" s="68"/>
      <c r="E122" s="53"/>
      <c r="F122" s="53"/>
      <c r="G122" s="53"/>
      <c r="H122" s="68"/>
      <c r="I122" s="68"/>
      <c r="J122" s="68"/>
    </row>
    <row r="123" spans="2:10" x14ac:dyDescent="0.25">
      <c r="B123" s="68"/>
      <c r="C123" s="68"/>
      <c r="D123" s="68"/>
      <c r="E123" s="53"/>
      <c r="F123" s="53"/>
      <c r="G123" s="53"/>
      <c r="H123" s="68"/>
      <c r="I123" s="68"/>
      <c r="J123" s="68"/>
    </row>
    <row r="126" spans="2:10" x14ac:dyDescent="0.25">
      <c r="B126" s="68"/>
      <c r="C126" s="68"/>
      <c r="D126" s="68"/>
      <c r="E126" s="53"/>
      <c r="F126" s="53"/>
      <c r="G126" s="53"/>
      <c r="H126" s="68"/>
      <c r="I126" s="68"/>
      <c r="J126" s="68"/>
    </row>
    <row r="132" spans="2:10" x14ac:dyDescent="0.25">
      <c r="B132" s="68"/>
      <c r="C132" s="68"/>
      <c r="D132" s="68"/>
      <c r="E132" s="53"/>
      <c r="F132" s="53"/>
      <c r="G132" s="53"/>
      <c r="H132" s="68"/>
      <c r="I132" s="68"/>
      <c r="J132" s="68"/>
    </row>
    <row r="133" spans="2:10" x14ac:dyDescent="0.25">
      <c r="B133" s="68"/>
      <c r="C133" s="68"/>
      <c r="D133" s="68"/>
      <c r="E133" s="53"/>
      <c r="F133" s="53"/>
      <c r="G133" s="53"/>
      <c r="H133" s="68"/>
      <c r="I133" s="68"/>
      <c r="J133" s="68"/>
    </row>
    <row r="136" spans="2:10" x14ac:dyDescent="0.25">
      <c r="B136" s="68"/>
      <c r="C136" s="68"/>
      <c r="D136" s="68"/>
      <c r="E136" s="53"/>
      <c r="F136" s="53"/>
      <c r="G136" s="53"/>
      <c r="H136" s="68"/>
      <c r="I136" s="68"/>
      <c r="J136" s="68"/>
    </row>
    <row r="142" spans="2:10" x14ac:dyDescent="0.25">
      <c r="B142" s="68"/>
      <c r="C142" s="68"/>
      <c r="D142" s="68"/>
      <c r="E142" s="53"/>
      <c r="F142" s="53"/>
      <c r="G142" s="53"/>
      <c r="H142" s="68"/>
      <c r="I142" s="68"/>
      <c r="J142" s="68"/>
    </row>
    <row r="148" spans="2:10" x14ac:dyDescent="0.25">
      <c r="B148" s="68"/>
      <c r="C148" s="68"/>
      <c r="D148" s="68"/>
      <c r="E148" s="53"/>
      <c r="F148" s="53"/>
      <c r="G148" s="53"/>
      <c r="H148" s="68"/>
      <c r="I148" s="68"/>
      <c r="J148" s="68"/>
    </row>
    <row r="154" spans="2:10" x14ac:dyDescent="0.25">
      <c r="B154" s="68"/>
      <c r="C154" s="68"/>
      <c r="D154" s="68"/>
      <c r="E154" s="53"/>
      <c r="F154" s="53"/>
      <c r="G154" s="53"/>
      <c r="H154" s="68"/>
      <c r="I154" s="68"/>
      <c r="J154" s="68"/>
    </row>
    <row r="160" spans="2:10" x14ac:dyDescent="0.25">
      <c r="B160" s="68"/>
      <c r="C160" s="68"/>
      <c r="D160" s="68"/>
      <c r="E160" s="53"/>
      <c r="F160" s="53"/>
      <c r="G160" s="53"/>
      <c r="H160" s="68"/>
      <c r="I160" s="68"/>
      <c r="J160" s="68"/>
    </row>
    <row r="161" spans="2:10" x14ac:dyDescent="0.25">
      <c r="B161" s="68"/>
      <c r="C161" s="68"/>
      <c r="D161" s="68"/>
      <c r="E161" s="53"/>
      <c r="F161" s="53"/>
      <c r="G161" s="53"/>
      <c r="H161" s="68"/>
      <c r="I161" s="68"/>
      <c r="J161" s="68"/>
    </row>
    <row r="166" spans="2:10" x14ac:dyDescent="0.25">
      <c r="B166" s="68"/>
      <c r="C166" s="68"/>
      <c r="D166" s="68"/>
      <c r="E166" s="53"/>
      <c r="F166" s="53"/>
      <c r="G166" s="53"/>
      <c r="H166" s="68"/>
      <c r="I166" s="68"/>
      <c r="J166" s="68"/>
    </row>
    <row r="167" spans="2:10" x14ac:dyDescent="0.25">
      <c r="B167" s="68"/>
      <c r="C167" s="68"/>
      <c r="D167" s="68"/>
      <c r="E167" s="53"/>
      <c r="F167" s="53"/>
      <c r="G167" s="53"/>
      <c r="H167" s="68"/>
      <c r="I167" s="68"/>
      <c r="J167" s="68"/>
    </row>
    <row r="172" spans="2:10" x14ac:dyDescent="0.25">
      <c r="B172" s="68"/>
      <c r="C172" s="68"/>
      <c r="D172" s="68"/>
      <c r="E172" s="53"/>
      <c r="F172" s="53"/>
      <c r="G172" s="53"/>
      <c r="H172" s="68"/>
      <c r="I172" s="68"/>
      <c r="J172" s="68"/>
    </row>
    <row r="178" spans="2:10" x14ac:dyDescent="0.25">
      <c r="B178" s="68"/>
      <c r="C178" s="68"/>
      <c r="D178" s="68"/>
      <c r="E178" s="53"/>
      <c r="F178" s="53"/>
      <c r="G178" s="53"/>
      <c r="H178" s="68"/>
      <c r="I178" s="68"/>
      <c r="J178" s="68"/>
    </row>
    <row r="184" spans="2:10" x14ac:dyDescent="0.25">
      <c r="B184" s="68"/>
      <c r="C184" s="68"/>
      <c r="D184" s="68"/>
      <c r="E184" s="53"/>
      <c r="F184" s="53"/>
      <c r="G184" s="53"/>
      <c r="H184" s="68"/>
      <c r="I184" s="68"/>
      <c r="J184" s="68"/>
    </row>
    <row r="185" spans="2:10" x14ac:dyDescent="0.25">
      <c r="B185" s="68"/>
      <c r="C185" s="68"/>
      <c r="D185" s="68"/>
      <c r="E185" s="53"/>
      <c r="F185" s="53"/>
      <c r="G185" s="53"/>
      <c r="H185" s="68"/>
      <c r="I185" s="68"/>
      <c r="J185" s="68"/>
    </row>
    <row r="190" spans="2:10" x14ac:dyDescent="0.25">
      <c r="B190" s="68"/>
      <c r="C190" s="68"/>
      <c r="D190" s="68"/>
      <c r="E190" s="53"/>
      <c r="F190" s="53"/>
      <c r="G190" s="53"/>
      <c r="H190" s="68"/>
      <c r="I190" s="68"/>
      <c r="J190" s="68"/>
    </row>
    <row r="191" spans="2:10" x14ac:dyDescent="0.25">
      <c r="B191" s="68"/>
      <c r="C191" s="68"/>
      <c r="D191" s="68"/>
      <c r="E191" s="53"/>
      <c r="F191" s="53"/>
      <c r="G191" s="53"/>
      <c r="H191" s="68"/>
      <c r="I191" s="68"/>
      <c r="J191" s="68"/>
    </row>
    <row r="192" spans="2:10" x14ac:dyDescent="0.25">
      <c r="B192" s="68"/>
      <c r="C192" s="68"/>
      <c r="D192" s="68"/>
      <c r="E192" s="53"/>
      <c r="F192" s="53"/>
      <c r="G192" s="53"/>
      <c r="H192" s="68"/>
      <c r="I192" s="68"/>
      <c r="J192" s="68"/>
    </row>
    <row r="196" spans="2:10" x14ac:dyDescent="0.25">
      <c r="B196" s="68"/>
      <c r="C196" s="68"/>
      <c r="D196" s="68"/>
      <c r="E196" s="53"/>
      <c r="F196" s="53"/>
      <c r="G196" s="53"/>
      <c r="H196" s="68"/>
      <c r="I196" s="68"/>
      <c r="J196" s="68"/>
    </row>
    <row r="197" spans="2:10" x14ac:dyDescent="0.25">
      <c r="B197" s="68"/>
      <c r="C197" s="68"/>
      <c r="D197" s="68"/>
      <c r="E197" s="53"/>
      <c r="F197" s="53"/>
      <c r="G197" s="53"/>
      <c r="H197" s="68"/>
      <c r="I197" s="68"/>
      <c r="J197" s="68"/>
    </row>
    <row r="202" spans="2:10" x14ac:dyDescent="0.25">
      <c r="B202" s="68"/>
      <c r="C202" s="68"/>
      <c r="D202" s="68"/>
      <c r="E202" s="53"/>
      <c r="F202" s="53"/>
      <c r="G202" s="53"/>
      <c r="H202" s="68"/>
      <c r="I202" s="68"/>
      <c r="J202" s="68"/>
    </row>
    <row r="208" spans="2:10" x14ac:dyDescent="0.25">
      <c r="B208" s="68"/>
      <c r="C208" s="68"/>
      <c r="D208" s="68"/>
      <c r="E208" s="53"/>
      <c r="F208" s="53"/>
      <c r="G208" s="53"/>
      <c r="H208" s="68"/>
      <c r="I208" s="68"/>
      <c r="J208" s="68"/>
    </row>
    <row r="209" spans="2:10" x14ac:dyDescent="0.25">
      <c r="B209" s="68"/>
      <c r="C209" s="68"/>
      <c r="D209" s="68"/>
      <c r="E209" s="53"/>
      <c r="F209" s="53"/>
      <c r="G209" s="53"/>
      <c r="H209" s="68"/>
      <c r="I209" s="68"/>
      <c r="J209" s="68"/>
    </row>
    <row r="210" spans="2:10" x14ac:dyDescent="0.25">
      <c r="B210" s="68"/>
      <c r="C210" s="68"/>
      <c r="D210" s="68"/>
      <c r="E210" s="53"/>
      <c r="F210" s="53"/>
      <c r="G210" s="53"/>
      <c r="H210" s="68"/>
      <c r="I210" s="68"/>
      <c r="J210" s="68"/>
    </row>
    <row r="214" spans="2:10" x14ac:dyDescent="0.25">
      <c r="B214" s="68"/>
      <c r="C214" s="68"/>
      <c r="D214" s="68"/>
      <c r="E214" s="53"/>
      <c r="F214" s="53"/>
      <c r="G214" s="53"/>
      <c r="H214" s="68"/>
      <c r="I214" s="68"/>
      <c r="J214" s="68"/>
    </row>
    <row r="215" spans="2:10" x14ac:dyDescent="0.25">
      <c r="B215" s="68"/>
      <c r="C215" s="68"/>
      <c r="D215" s="68"/>
      <c r="E215" s="53"/>
      <c r="F215" s="53"/>
      <c r="G215" s="53"/>
      <c r="H215" s="68"/>
      <c r="I215" s="68"/>
      <c r="J215" s="68"/>
    </row>
    <row r="220" spans="2:10" x14ac:dyDescent="0.25">
      <c r="B220" s="68"/>
      <c r="C220" s="68"/>
      <c r="D220" s="68"/>
      <c r="E220" s="53"/>
      <c r="F220" s="53"/>
      <c r="G220" s="53"/>
      <c r="H220" s="68"/>
      <c r="I220" s="68"/>
      <c r="J220" s="68"/>
    </row>
    <row r="226" spans="2:10" x14ac:dyDescent="0.25">
      <c r="B226" s="68"/>
      <c r="C226" s="68"/>
      <c r="D226" s="68"/>
      <c r="E226" s="53"/>
      <c r="F226" s="53"/>
      <c r="G226" s="53"/>
      <c r="H226" s="68"/>
      <c r="I226" s="68"/>
      <c r="J226" s="68"/>
    </row>
    <row r="227" spans="2:10" x14ac:dyDescent="0.25">
      <c r="B227" s="68"/>
      <c r="C227" s="68"/>
      <c r="D227" s="68"/>
      <c r="E227" s="53"/>
      <c r="F227" s="53"/>
      <c r="G227" s="53"/>
      <c r="H227" s="68"/>
      <c r="I227" s="68"/>
      <c r="J227" s="68"/>
    </row>
    <row r="228" spans="2:10" x14ac:dyDescent="0.25">
      <c r="B228" s="68"/>
      <c r="C228" s="68"/>
      <c r="D228" s="68"/>
      <c r="E228" s="53"/>
      <c r="F228" s="53"/>
      <c r="G228" s="53"/>
      <c r="H228" s="68"/>
      <c r="I228" s="68"/>
      <c r="J228" s="68"/>
    </row>
    <row r="229" spans="2:10" x14ac:dyDescent="0.25">
      <c r="B229" s="68"/>
      <c r="C229" s="68"/>
      <c r="D229" s="68"/>
      <c r="E229" s="53"/>
      <c r="F229" s="53"/>
      <c r="G229" s="53"/>
      <c r="H229" s="68"/>
      <c r="I229" s="68"/>
      <c r="J229" s="68"/>
    </row>
    <row r="232" spans="2:10" x14ac:dyDescent="0.25">
      <c r="B232" s="68"/>
      <c r="C232" s="68"/>
      <c r="D232" s="68"/>
      <c r="E232" s="53"/>
      <c r="F232" s="53"/>
      <c r="G232" s="53"/>
      <c r="H232" s="68"/>
      <c r="I232" s="68"/>
      <c r="J232" s="68"/>
    </row>
    <row r="238" spans="2:10" x14ac:dyDescent="0.25">
      <c r="B238" s="68"/>
      <c r="C238" s="68"/>
      <c r="D238" s="68"/>
      <c r="E238" s="53"/>
      <c r="F238" s="53"/>
      <c r="G238" s="53"/>
      <c r="H238" s="68"/>
      <c r="I238" s="68"/>
      <c r="J238" s="68"/>
    </row>
    <row r="239" spans="2:10" x14ac:dyDescent="0.25">
      <c r="B239" s="68"/>
      <c r="C239" s="68"/>
      <c r="D239" s="68"/>
      <c r="E239" s="53"/>
      <c r="F239" s="53"/>
      <c r="G239" s="53"/>
      <c r="H239" s="68"/>
      <c r="I239" s="68"/>
      <c r="J239" s="68"/>
    </row>
    <row r="244" spans="2:10" x14ac:dyDescent="0.25">
      <c r="B244" s="68"/>
      <c r="C244" s="68"/>
      <c r="D244" s="68"/>
      <c r="E244" s="53"/>
      <c r="F244" s="53"/>
      <c r="G244" s="53"/>
      <c r="H244" s="68"/>
      <c r="I244" s="68"/>
      <c r="J244" s="68"/>
    </row>
    <row r="245" spans="2:10" x14ac:dyDescent="0.25">
      <c r="B245" s="68"/>
      <c r="C245" s="68"/>
      <c r="D245" s="68"/>
      <c r="E245" s="53"/>
      <c r="F245" s="53"/>
      <c r="G245" s="53"/>
      <c r="H245" s="68"/>
      <c r="I245" s="68"/>
      <c r="J245" s="68"/>
    </row>
    <row r="246" spans="2:10" x14ac:dyDescent="0.25">
      <c r="B246" s="68"/>
      <c r="C246" s="68"/>
      <c r="D246" s="68"/>
      <c r="E246" s="53"/>
      <c r="F246" s="53"/>
      <c r="G246" s="53"/>
      <c r="H246" s="68"/>
      <c r="I246" s="68"/>
      <c r="J246" s="68"/>
    </row>
    <row r="247" spans="2:10" x14ac:dyDescent="0.25">
      <c r="B247" s="68"/>
      <c r="C247" s="68"/>
      <c r="D247" s="68"/>
      <c r="E247" s="53"/>
      <c r="F247" s="53"/>
      <c r="G247" s="53"/>
      <c r="H247" s="68"/>
      <c r="I247" s="68"/>
      <c r="J247" s="68"/>
    </row>
    <row r="250" spans="2:10" x14ac:dyDescent="0.25">
      <c r="B250" s="68"/>
      <c r="C250" s="68"/>
      <c r="D250" s="68"/>
      <c r="E250" s="52"/>
      <c r="F250" s="52"/>
      <c r="G250" s="52"/>
      <c r="H250" s="68"/>
      <c r="I250" s="68"/>
      <c r="J250" s="68"/>
    </row>
    <row r="256" spans="2:10" x14ac:dyDescent="0.25">
      <c r="B256" s="68"/>
      <c r="C256" s="68"/>
      <c r="D256" s="68"/>
      <c r="E256" s="52"/>
      <c r="F256" s="52"/>
      <c r="G256" s="52"/>
      <c r="H256" s="68"/>
      <c r="I256" s="68"/>
      <c r="J256" s="68"/>
    </row>
    <row r="262" spans="2:10" x14ac:dyDescent="0.25">
      <c r="B262" s="68"/>
      <c r="C262" s="68"/>
      <c r="D262" s="68"/>
      <c r="E262" s="52"/>
      <c r="F262" s="52"/>
      <c r="G262" s="52"/>
      <c r="H262" s="68"/>
      <c r="I262" s="68"/>
      <c r="J262" s="68"/>
    </row>
    <row r="268" spans="2:10" x14ac:dyDescent="0.25">
      <c r="B268" s="68"/>
      <c r="C268" s="68"/>
      <c r="D268" s="68"/>
      <c r="E268" s="52"/>
      <c r="F268" s="52"/>
      <c r="G268" s="52"/>
      <c r="H268" s="68"/>
      <c r="I268" s="68"/>
      <c r="J268" s="68"/>
    </row>
    <row r="274" spans="2:10" x14ac:dyDescent="0.25">
      <c r="B274" s="68"/>
      <c r="C274" s="68"/>
      <c r="D274" s="68"/>
      <c r="E274" s="52"/>
      <c r="F274" s="52"/>
      <c r="G274" s="52"/>
      <c r="H274" s="68"/>
      <c r="I274" s="68"/>
      <c r="J274" s="68"/>
    </row>
    <row r="275" spans="2:10" x14ac:dyDescent="0.25">
      <c r="B275" s="68"/>
      <c r="C275" s="68"/>
      <c r="D275" s="68"/>
      <c r="E275" s="52"/>
      <c r="F275" s="52"/>
      <c r="G275" s="52"/>
      <c r="H275" s="68"/>
      <c r="I275" s="68"/>
      <c r="J275" s="68"/>
    </row>
    <row r="280" spans="2:10" x14ac:dyDescent="0.25">
      <c r="B280" s="68"/>
      <c r="C280" s="68"/>
      <c r="D280" s="68"/>
      <c r="E280" s="52"/>
      <c r="F280" s="52"/>
      <c r="G280" s="52"/>
      <c r="H280" s="68"/>
      <c r="I280" s="68"/>
      <c r="J280" s="68"/>
    </row>
    <row r="281" spans="2:10" x14ac:dyDescent="0.25">
      <c r="B281" s="68"/>
      <c r="C281" s="68"/>
      <c r="D281" s="68"/>
      <c r="E281" s="52"/>
      <c r="F281" s="52"/>
      <c r="G281" s="52"/>
      <c r="H281" s="68"/>
      <c r="I281" s="68"/>
      <c r="J281" s="68"/>
    </row>
    <row r="286" spans="2:10" x14ac:dyDescent="0.25">
      <c r="B286" s="68"/>
      <c r="C286" s="68"/>
      <c r="D286" s="68"/>
      <c r="E286" s="52"/>
      <c r="F286" s="52"/>
      <c r="G286" s="52"/>
      <c r="H286" s="68"/>
      <c r="I286" s="68"/>
      <c r="J286" s="68"/>
    </row>
    <row r="292" spans="2:10" x14ac:dyDescent="0.25">
      <c r="B292" s="68"/>
      <c r="C292" s="68"/>
      <c r="D292" s="68"/>
      <c r="E292" s="52"/>
      <c r="F292" s="52"/>
      <c r="G292" s="52"/>
      <c r="H292" s="68"/>
      <c r="I292" s="68"/>
      <c r="J292" s="68"/>
    </row>
    <row r="298" spans="2:10" x14ac:dyDescent="0.25">
      <c r="B298" s="68"/>
      <c r="C298" s="68"/>
      <c r="D298" s="68"/>
      <c r="E298" s="52"/>
      <c r="F298" s="52"/>
      <c r="G298" s="52"/>
      <c r="H298" s="68"/>
      <c r="I298" s="68"/>
      <c r="J298" s="68"/>
    </row>
    <row r="299" spans="2:10" x14ac:dyDescent="0.25">
      <c r="B299" s="68"/>
      <c r="C299" s="68"/>
      <c r="D299" s="68"/>
      <c r="E299" s="52"/>
      <c r="F299" s="52"/>
      <c r="G299" s="52"/>
      <c r="H299" s="68"/>
      <c r="I299" s="68"/>
      <c r="J299" s="68"/>
    </row>
    <row r="304" spans="2:10" x14ac:dyDescent="0.25">
      <c r="B304" s="68"/>
      <c r="C304" s="68"/>
      <c r="D304" s="68"/>
      <c r="E304" s="52"/>
      <c r="F304" s="52"/>
      <c r="G304" s="52"/>
      <c r="H304" s="68"/>
      <c r="I304" s="68"/>
      <c r="J304" s="68"/>
    </row>
    <row r="305" spans="2:10" x14ac:dyDescent="0.25">
      <c r="B305" s="68"/>
      <c r="C305" s="68"/>
      <c r="D305" s="68"/>
      <c r="E305" s="52"/>
      <c r="F305" s="52"/>
      <c r="G305" s="52"/>
      <c r="H305" s="68"/>
      <c r="I305" s="68"/>
      <c r="J305" s="68"/>
    </row>
    <row r="306" spans="2:10" x14ac:dyDescent="0.25">
      <c r="B306" s="68"/>
      <c r="C306" s="68"/>
      <c r="D306" s="68"/>
      <c r="E306" s="52"/>
      <c r="F306" s="52"/>
      <c r="G306" s="52"/>
      <c r="H306" s="68"/>
      <c r="I306" s="68"/>
      <c r="J306" s="68"/>
    </row>
    <row r="310" spans="2:10" x14ac:dyDescent="0.25">
      <c r="B310" s="68"/>
      <c r="C310" s="68"/>
      <c r="D310" s="68"/>
      <c r="E310" s="52"/>
      <c r="F310" s="52"/>
      <c r="G310" s="52"/>
      <c r="H310" s="68"/>
      <c r="I310" s="68"/>
      <c r="J310" s="68"/>
    </row>
    <row r="311" spans="2:10" x14ac:dyDescent="0.25">
      <c r="B311" s="68"/>
      <c r="C311" s="68"/>
      <c r="D311" s="68"/>
      <c r="E311" s="52"/>
      <c r="F311" s="52"/>
      <c r="G311" s="52"/>
      <c r="H311" s="68"/>
      <c r="I311" s="68"/>
      <c r="J311" s="68"/>
    </row>
    <row r="316" spans="2:10" x14ac:dyDescent="0.25">
      <c r="B316" s="68"/>
      <c r="C316" s="68"/>
      <c r="D316" s="68"/>
      <c r="E316" s="52"/>
      <c r="F316" s="52"/>
      <c r="G316" s="52"/>
      <c r="H316" s="68"/>
      <c r="I316" s="68"/>
      <c r="J316" s="68"/>
    </row>
    <row r="322" spans="2:10" x14ac:dyDescent="0.25">
      <c r="B322" s="68"/>
      <c r="C322" s="68"/>
      <c r="D322" s="68"/>
      <c r="E322" s="52"/>
      <c r="F322" s="52"/>
      <c r="G322" s="52"/>
      <c r="H322" s="68"/>
      <c r="I322" s="68"/>
      <c r="J322" s="68"/>
    </row>
    <row r="323" spans="2:10" x14ac:dyDescent="0.25">
      <c r="B323" s="68"/>
      <c r="C323" s="68"/>
      <c r="D323" s="68"/>
      <c r="E323" s="52"/>
      <c r="F323" s="52"/>
      <c r="G323" s="52"/>
      <c r="H323" s="68"/>
      <c r="I323" s="68"/>
      <c r="J323" s="68"/>
    </row>
    <row r="324" spans="2:10" x14ac:dyDescent="0.25">
      <c r="B324" s="68"/>
      <c r="C324" s="68"/>
      <c r="D324" s="68"/>
      <c r="E324" s="52"/>
      <c r="F324" s="52"/>
      <c r="G324" s="52"/>
      <c r="H324" s="68"/>
      <c r="I324" s="68"/>
      <c r="J324" s="68"/>
    </row>
    <row r="328" spans="2:10" x14ac:dyDescent="0.25">
      <c r="B328" s="68"/>
      <c r="C328" s="68"/>
      <c r="D328" s="68"/>
      <c r="E328" s="52"/>
      <c r="F328" s="52"/>
      <c r="G328" s="52"/>
      <c r="H328" s="68"/>
      <c r="I328" s="68"/>
      <c r="J328" s="68"/>
    </row>
    <row r="329" spans="2:10" x14ac:dyDescent="0.25">
      <c r="B329" s="68"/>
      <c r="C329" s="68"/>
      <c r="D329" s="68"/>
      <c r="E329" s="52"/>
      <c r="F329" s="52"/>
      <c r="G329" s="52"/>
      <c r="H329" s="68"/>
      <c r="I329" s="68"/>
      <c r="J329" s="68"/>
    </row>
    <row r="334" spans="2:10" x14ac:dyDescent="0.25">
      <c r="B334" s="68"/>
      <c r="C334" s="68"/>
      <c r="D334" s="68"/>
      <c r="E334" s="52"/>
      <c r="F334" s="52"/>
      <c r="G334" s="52"/>
      <c r="H334" s="68"/>
      <c r="I334" s="68"/>
      <c r="J334" s="68"/>
    </row>
    <row r="340" spans="2:10" x14ac:dyDescent="0.25">
      <c r="B340" s="68"/>
      <c r="C340" s="68"/>
      <c r="D340" s="68"/>
      <c r="E340" s="52"/>
      <c r="F340" s="52"/>
      <c r="G340" s="52"/>
      <c r="H340" s="68"/>
      <c r="I340" s="68"/>
      <c r="J340" s="68"/>
    </row>
    <row r="341" spans="2:10" x14ac:dyDescent="0.25">
      <c r="B341" s="68"/>
      <c r="C341" s="68"/>
      <c r="D341" s="68"/>
      <c r="E341" s="52"/>
      <c r="F341" s="52"/>
      <c r="G341" s="52"/>
      <c r="H341" s="68"/>
      <c r="I341" s="68"/>
      <c r="J341" s="68"/>
    </row>
    <row r="342" spans="2:10" x14ac:dyDescent="0.25">
      <c r="B342" s="68"/>
      <c r="C342" s="68"/>
      <c r="D342" s="68"/>
      <c r="E342" s="52"/>
      <c r="F342" s="52"/>
      <c r="G342" s="52"/>
      <c r="H342" s="68"/>
      <c r="I342" s="68"/>
      <c r="J342" s="68"/>
    </row>
    <row r="343" spans="2:10" x14ac:dyDescent="0.25">
      <c r="B343" s="68"/>
      <c r="C343" s="68"/>
      <c r="D343" s="68"/>
      <c r="E343" s="52"/>
      <c r="F343" s="52"/>
      <c r="G343" s="52"/>
      <c r="H343" s="68"/>
      <c r="I343" s="68"/>
      <c r="J343" s="68"/>
    </row>
    <row r="346" spans="2:10" x14ac:dyDescent="0.25">
      <c r="B346" s="68"/>
      <c r="C346" s="68"/>
      <c r="D346" s="68"/>
      <c r="E346" s="52"/>
      <c r="F346" s="52"/>
      <c r="G346" s="52"/>
      <c r="H346" s="68"/>
      <c r="I346" s="68"/>
      <c r="J346" s="68"/>
    </row>
    <row r="352" spans="2:10" x14ac:dyDescent="0.25">
      <c r="B352" s="68"/>
      <c r="C352" s="68"/>
      <c r="D352" s="68"/>
      <c r="E352" s="52"/>
      <c r="F352" s="52"/>
      <c r="G352" s="52"/>
      <c r="H352" s="68"/>
      <c r="I352" s="68"/>
      <c r="J352" s="68"/>
    </row>
    <row r="353" spans="2:10" x14ac:dyDescent="0.25">
      <c r="B353" s="68"/>
      <c r="C353" s="68"/>
      <c r="D353" s="68"/>
      <c r="E353" s="52"/>
      <c r="F353" s="52"/>
      <c r="G353" s="52"/>
      <c r="H353" s="68"/>
      <c r="I353" s="68"/>
      <c r="J353" s="68"/>
    </row>
    <row r="355" spans="2:10" x14ac:dyDescent="0.25">
      <c r="B355" s="68"/>
      <c r="C355" s="68"/>
      <c r="D355" s="68"/>
      <c r="E355" s="52"/>
      <c r="F355" s="52"/>
      <c r="G355" s="52"/>
      <c r="H355" s="68"/>
      <c r="I355" s="68"/>
      <c r="J355" s="68"/>
    </row>
    <row r="361" spans="2:10" x14ac:dyDescent="0.25">
      <c r="B361" s="68"/>
      <c r="C361" s="68"/>
      <c r="D361" s="68"/>
      <c r="E361" s="52"/>
      <c r="F361" s="52"/>
      <c r="G361" s="52"/>
      <c r="H361" s="68"/>
      <c r="I361" s="68"/>
      <c r="J361" s="68"/>
    </row>
    <row r="362" spans="2:10" x14ac:dyDescent="0.25">
      <c r="B362" s="68"/>
      <c r="C362" s="68"/>
      <c r="D362" s="68"/>
      <c r="E362" s="52"/>
      <c r="F362" s="52"/>
      <c r="G362" s="52"/>
      <c r="H362" s="68"/>
      <c r="I362" s="68"/>
      <c r="J362" s="68"/>
    </row>
    <row r="367" spans="2:10" x14ac:dyDescent="0.25">
      <c r="B367" s="68"/>
      <c r="C367" s="68"/>
      <c r="D367" s="68"/>
      <c r="E367" s="52"/>
      <c r="F367" s="52"/>
      <c r="G367" s="52"/>
      <c r="H367" s="68"/>
      <c r="I367" s="68"/>
      <c r="J367" s="68"/>
    </row>
    <row r="368" spans="2:10" x14ac:dyDescent="0.25">
      <c r="B368" s="68"/>
      <c r="C368" s="68"/>
      <c r="D368" s="68"/>
      <c r="E368" s="52"/>
      <c r="F368" s="52"/>
      <c r="G368" s="52"/>
      <c r="H368" s="68"/>
      <c r="I368" s="68"/>
      <c r="J368" s="68"/>
    </row>
    <row r="369" spans="2:10" x14ac:dyDescent="0.25">
      <c r="B369" s="68"/>
      <c r="C369" s="68"/>
      <c r="D369" s="68"/>
      <c r="E369" s="52"/>
      <c r="F369" s="52"/>
      <c r="G369" s="52"/>
      <c r="H369" s="68"/>
      <c r="I369" s="68"/>
      <c r="J369" s="68"/>
    </row>
    <row r="370" spans="2:10" x14ac:dyDescent="0.25">
      <c r="B370" s="68"/>
      <c r="C370" s="68"/>
      <c r="D370" s="68"/>
      <c r="E370" s="52"/>
      <c r="F370" s="52"/>
      <c r="G370" s="52"/>
      <c r="H370" s="68"/>
      <c r="I370" s="68"/>
      <c r="J370" s="68"/>
    </row>
    <row r="371" spans="2:10" x14ac:dyDescent="0.25">
      <c r="B371" s="68"/>
      <c r="C371" s="68"/>
      <c r="D371" s="68"/>
      <c r="E371" s="52"/>
      <c r="F371" s="52"/>
      <c r="G371" s="52"/>
      <c r="H371" s="68"/>
      <c r="I371" s="68"/>
      <c r="J371" s="68"/>
    </row>
    <row r="372" spans="2:10" x14ac:dyDescent="0.25">
      <c r="B372" s="68"/>
      <c r="C372" s="68"/>
      <c r="D372" s="68"/>
      <c r="E372" s="52"/>
      <c r="F372" s="52"/>
      <c r="G372" s="52"/>
      <c r="H372" s="68"/>
      <c r="I372" s="68"/>
      <c r="J372" s="68"/>
    </row>
    <row r="373" spans="2:10" x14ac:dyDescent="0.25">
      <c r="B373" s="68"/>
      <c r="C373" s="68"/>
      <c r="D373" s="68"/>
      <c r="E373" s="52"/>
      <c r="F373" s="52"/>
      <c r="G373" s="52"/>
      <c r="H373" s="68"/>
      <c r="I373" s="68"/>
      <c r="J373" s="68"/>
    </row>
    <row r="374" spans="2:10" x14ac:dyDescent="0.25">
      <c r="B374" s="68"/>
      <c r="C374" s="68"/>
      <c r="D374" s="68"/>
      <c r="E374" s="52"/>
      <c r="F374" s="52"/>
      <c r="G374" s="52"/>
      <c r="H374" s="68"/>
      <c r="I374" s="68"/>
      <c r="J374" s="68"/>
    </row>
  </sheetData>
  <sortState xmlns:xlrd2="http://schemas.microsoft.com/office/spreadsheetml/2017/richdata2" ref="K3:L25">
    <sortCondition descending="1" ref="L3:L25"/>
  </sortState>
  <mergeCells count="219">
    <mergeCell ref="M1:O1"/>
    <mergeCell ref="P1:R1"/>
    <mergeCell ref="S1:U1"/>
    <mergeCell ref="V1:X1"/>
    <mergeCell ref="B42:D42"/>
    <mergeCell ref="H42:J42"/>
    <mergeCell ref="B36:D36"/>
    <mergeCell ref="H36:J36"/>
    <mergeCell ref="B54:D54"/>
    <mergeCell ref="H54:J54"/>
    <mergeCell ref="B1:I1"/>
    <mergeCell ref="B55:D55"/>
    <mergeCell ref="H55:J55"/>
    <mergeCell ref="B48:D48"/>
    <mergeCell ref="H48:J48"/>
    <mergeCell ref="B66:D66"/>
    <mergeCell ref="H66:J66"/>
    <mergeCell ref="B60:D60"/>
    <mergeCell ref="H60:J60"/>
    <mergeCell ref="B61:D61"/>
    <mergeCell ref="H61:J61"/>
    <mergeCell ref="B78:D78"/>
    <mergeCell ref="H78:J78"/>
    <mergeCell ref="B79:D79"/>
    <mergeCell ref="H79:J79"/>
    <mergeCell ref="B72:D72"/>
    <mergeCell ref="H72:J72"/>
    <mergeCell ref="B84:D84"/>
    <mergeCell ref="H84:J84"/>
    <mergeCell ref="B85:D85"/>
    <mergeCell ref="H85:J85"/>
    <mergeCell ref="B86:D86"/>
    <mergeCell ref="H86:J86"/>
    <mergeCell ref="B96:D96"/>
    <mergeCell ref="H96:J96"/>
    <mergeCell ref="B90:D90"/>
    <mergeCell ref="H90:J90"/>
    <mergeCell ref="B91:D91"/>
    <mergeCell ref="H91:J91"/>
    <mergeCell ref="B102:D102"/>
    <mergeCell ref="H102:J102"/>
    <mergeCell ref="B103:D103"/>
    <mergeCell ref="H103:J103"/>
    <mergeCell ref="B104:D104"/>
    <mergeCell ref="H104:J104"/>
    <mergeCell ref="B123:D123"/>
    <mergeCell ref="H123:J123"/>
    <mergeCell ref="B114:D114"/>
    <mergeCell ref="H114:J114"/>
    <mergeCell ref="B108:D108"/>
    <mergeCell ref="H108:J108"/>
    <mergeCell ref="B109:D109"/>
    <mergeCell ref="H109:J109"/>
    <mergeCell ref="B120:D120"/>
    <mergeCell ref="H120:J120"/>
    <mergeCell ref="B121:D121"/>
    <mergeCell ref="H121:J121"/>
    <mergeCell ref="B122:D122"/>
    <mergeCell ref="H122:J122"/>
    <mergeCell ref="B132:D132"/>
    <mergeCell ref="H132:J132"/>
    <mergeCell ref="B133:D133"/>
    <mergeCell ref="H133:J133"/>
    <mergeCell ref="B126:D126"/>
    <mergeCell ref="H126:J126"/>
    <mergeCell ref="B148:D148"/>
    <mergeCell ref="H148:J148"/>
    <mergeCell ref="B142:D142"/>
    <mergeCell ref="H142:J142"/>
    <mergeCell ref="B136:D136"/>
    <mergeCell ref="H136:J136"/>
    <mergeCell ref="B160:D160"/>
    <mergeCell ref="H160:J160"/>
    <mergeCell ref="B161:D161"/>
    <mergeCell ref="H161:J161"/>
    <mergeCell ref="B154:D154"/>
    <mergeCell ref="H154:J154"/>
    <mergeCell ref="B172:D172"/>
    <mergeCell ref="H172:J172"/>
    <mergeCell ref="B166:D166"/>
    <mergeCell ref="H166:J166"/>
    <mergeCell ref="B167:D167"/>
    <mergeCell ref="H167:J167"/>
    <mergeCell ref="B184:D184"/>
    <mergeCell ref="H184:J184"/>
    <mergeCell ref="B185:D185"/>
    <mergeCell ref="H185:J185"/>
    <mergeCell ref="B178:D178"/>
    <mergeCell ref="H178:J178"/>
    <mergeCell ref="B190:D190"/>
    <mergeCell ref="H190:J190"/>
    <mergeCell ref="B191:D191"/>
    <mergeCell ref="H191:J191"/>
    <mergeCell ref="B192:D192"/>
    <mergeCell ref="H192:J192"/>
    <mergeCell ref="B202:D202"/>
    <mergeCell ref="H202:J202"/>
    <mergeCell ref="B196:D196"/>
    <mergeCell ref="H196:J196"/>
    <mergeCell ref="B197:D197"/>
    <mergeCell ref="H197:J197"/>
    <mergeCell ref="B208:D208"/>
    <mergeCell ref="H208:J208"/>
    <mergeCell ref="B209:D209"/>
    <mergeCell ref="H209:J209"/>
    <mergeCell ref="B210:D210"/>
    <mergeCell ref="H210:J210"/>
    <mergeCell ref="B220:D220"/>
    <mergeCell ref="H220:J220"/>
    <mergeCell ref="B214:D214"/>
    <mergeCell ref="H214:J214"/>
    <mergeCell ref="B215:D215"/>
    <mergeCell ref="H215:J215"/>
    <mergeCell ref="B232:D232"/>
    <mergeCell ref="H232:J232"/>
    <mergeCell ref="B226:D226"/>
    <mergeCell ref="H226:J226"/>
    <mergeCell ref="B227:D227"/>
    <mergeCell ref="H227:J227"/>
    <mergeCell ref="B228:D228"/>
    <mergeCell ref="H228:J228"/>
    <mergeCell ref="B229:D229"/>
    <mergeCell ref="H229:J229"/>
    <mergeCell ref="B247:D247"/>
    <mergeCell ref="H247:J247"/>
    <mergeCell ref="B238:D238"/>
    <mergeCell ref="H238:J238"/>
    <mergeCell ref="B239:D239"/>
    <mergeCell ref="H239:J239"/>
    <mergeCell ref="B244:D244"/>
    <mergeCell ref="H244:J244"/>
    <mergeCell ref="B245:D245"/>
    <mergeCell ref="H245:J245"/>
    <mergeCell ref="B246:D246"/>
    <mergeCell ref="H246:J246"/>
    <mergeCell ref="B340:D340"/>
    <mergeCell ref="H340:J340"/>
    <mergeCell ref="B341:D341"/>
    <mergeCell ref="H341:J341"/>
    <mergeCell ref="B342:D342"/>
    <mergeCell ref="H342:J342"/>
    <mergeCell ref="B343:D343"/>
    <mergeCell ref="H343:J343"/>
    <mergeCell ref="B373:D373"/>
    <mergeCell ref="H373:J373"/>
    <mergeCell ref="B361:D361"/>
    <mergeCell ref="H361:J361"/>
    <mergeCell ref="B362:D362"/>
    <mergeCell ref="H362:J362"/>
    <mergeCell ref="B355:D355"/>
    <mergeCell ref="H355:J355"/>
    <mergeCell ref="B352:D352"/>
    <mergeCell ref="H352:J352"/>
    <mergeCell ref="B353:D353"/>
    <mergeCell ref="H353:J353"/>
    <mergeCell ref="B346:D346"/>
    <mergeCell ref="H346:J346"/>
    <mergeCell ref="B374:D374"/>
    <mergeCell ref="H374:J374"/>
    <mergeCell ref="B367:D367"/>
    <mergeCell ref="H367:J367"/>
    <mergeCell ref="B368:D368"/>
    <mergeCell ref="H368:J368"/>
    <mergeCell ref="B369:D369"/>
    <mergeCell ref="H369:J369"/>
    <mergeCell ref="B370:D370"/>
    <mergeCell ref="H370:J370"/>
    <mergeCell ref="B371:D371"/>
    <mergeCell ref="H371:J371"/>
    <mergeCell ref="B372:D372"/>
    <mergeCell ref="H372:J372"/>
    <mergeCell ref="B334:D334"/>
    <mergeCell ref="H334:J334"/>
    <mergeCell ref="B328:D328"/>
    <mergeCell ref="H328:J328"/>
    <mergeCell ref="B329:D329"/>
    <mergeCell ref="H329:J329"/>
    <mergeCell ref="B322:D322"/>
    <mergeCell ref="H322:J322"/>
    <mergeCell ref="B323:D323"/>
    <mergeCell ref="H323:J323"/>
    <mergeCell ref="B324:D324"/>
    <mergeCell ref="H324:J324"/>
    <mergeCell ref="B316:D316"/>
    <mergeCell ref="H316:J316"/>
    <mergeCell ref="B310:D310"/>
    <mergeCell ref="H310:J310"/>
    <mergeCell ref="B311:D311"/>
    <mergeCell ref="H311:J311"/>
    <mergeCell ref="B304:D304"/>
    <mergeCell ref="H304:J304"/>
    <mergeCell ref="B305:D305"/>
    <mergeCell ref="H305:J305"/>
    <mergeCell ref="B306:D306"/>
    <mergeCell ref="H306:J306"/>
    <mergeCell ref="B298:D298"/>
    <mergeCell ref="H298:J298"/>
    <mergeCell ref="B299:D299"/>
    <mergeCell ref="H299:J299"/>
    <mergeCell ref="B292:D292"/>
    <mergeCell ref="H292:J292"/>
    <mergeCell ref="B286:D286"/>
    <mergeCell ref="H286:J286"/>
    <mergeCell ref="B280:D280"/>
    <mergeCell ref="H280:J280"/>
    <mergeCell ref="B281:D281"/>
    <mergeCell ref="H281:J281"/>
    <mergeCell ref="B250:D250"/>
    <mergeCell ref="H250:J250"/>
    <mergeCell ref="B274:D274"/>
    <mergeCell ref="H274:J274"/>
    <mergeCell ref="B275:D275"/>
    <mergeCell ref="H275:J275"/>
    <mergeCell ref="B268:D268"/>
    <mergeCell ref="H268:J268"/>
    <mergeCell ref="B262:D262"/>
    <mergeCell ref="H262:J262"/>
    <mergeCell ref="B256:D256"/>
    <mergeCell ref="H256:J256"/>
  </mergeCells>
  <phoneticPr fontId="11" type="noConversion"/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E42DB-B221-4F05-851F-2A9304BBC275}">
  <sheetPr codeName="Planilha34"/>
  <dimension ref="A1:F229"/>
  <sheetViews>
    <sheetView topLeftCell="A46" zoomScale="85" zoomScaleNormal="85" workbookViewId="0">
      <selection activeCell="A63" sqref="A63:E69"/>
    </sheetView>
  </sheetViews>
  <sheetFormatPr defaultRowHeight="15" x14ac:dyDescent="0.25"/>
  <cols>
    <col min="1" max="1" width="15.28515625" style="66" customWidth="1"/>
    <col min="2" max="4" width="6.28515625" style="2" customWidth="1"/>
    <col min="5" max="5" width="15.28515625" style="65" customWidth="1"/>
  </cols>
  <sheetData>
    <row r="1" spans="1:5" x14ac:dyDescent="0.25">
      <c r="A1" s="66" t="s">
        <v>143</v>
      </c>
    </row>
    <row r="2" spans="1:5" x14ac:dyDescent="0.25">
      <c r="A2" s="66" t="s">
        <v>19</v>
      </c>
      <c r="B2" s="2">
        <v>2</v>
      </c>
      <c r="C2" s="2" t="s">
        <v>53</v>
      </c>
      <c r="D2" s="2">
        <v>1</v>
      </c>
      <c r="E2" s="65" t="s">
        <v>166</v>
      </c>
    </row>
    <row r="3" spans="1:5" x14ac:dyDescent="0.25">
      <c r="A3" s="66" t="s">
        <v>5</v>
      </c>
      <c r="B3" s="2">
        <v>2</v>
      </c>
      <c r="C3" s="2" t="s">
        <v>53</v>
      </c>
      <c r="D3" s="2">
        <v>1</v>
      </c>
      <c r="E3" s="65" t="s">
        <v>6</v>
      </c>
    </row>
    <row r="4" spans="1:5" x14ac:dyDescent="0.25">
      <c r="A4" s="66" t="s">
        <v>22</v>
      </c>
      <c r="B4" s="2">
        <v>1</v>
      </c>
      <c r="C4" s="2" t="s">
        <v>53</v>
      </c>
      <c r="D4" s="2">
        <v>2</v>
      </c>
      <c r="E4" s="65" t="s">
        <v>12</v>
      </c>
    </row>
    <row r="5" spans="1:5" x14ac:dyDescent="0.25">
      <c r="A5" s="66" t="s">
        <v>8</v>
      </c>
      <c r="B5" s="2">
        <v>2</v>
      </c>
      <c r="C5" s="2" t="s">
        <v>53</v>
      </c>
      <c r="D5" s="2">
        <v>0</v>
      </c>
      <c r="E5" s="65" t="s">
        <v>167</v>
      </c>
    </row>
    <row r="6" spans="1:5" x14ac:dyDescent="0.25">
      <c r="A6" s="66" t="s">
        <v>20</v>
      </c>
      <c r="B6" s="2">
        <v>2</v>
      </c>
      <c r="C6" s="2" t="s">
        <v>53</v>
      </c>
      <c r="D6" s="2">
        <v>0</v>
      </c>
      <c r="E6" s="65" t="s">
        <v>28</v>
      </c>
    </row>
    <row r="7" spans="1:5" x14ac:dyDescent="0.25">
      <c r="A7" s="66" t="s">
        <v>17</v>
      </c>
      <c r="B7" s="2">
        <v>2</v>
      </c>
      <c r="C7" s="2" t="s">
        <v>53</v>
      </c>
      <c r="D7" s="2">
        <v>1</v>
      </c>
      <c r="E7" s="65" t="s">
        <v>26</v>
      </c>
    </row>
    <row r="8" spans="1:5" x14ac:dyDescent="0.25">
      <c r="A8" s="66" t="s">
        <v>23</v>
      </c>
      <c r="B8" s="2">
        <v>2</v>
      </c>
      <c r="C8" s="2" t="s">
        <v>53</v>
      </c>
      <c r="D8" s="2">
        <v>1</v>
      </c>
      <c r="E8" s="65" t="s">
        <v>15</v>
      </c>
    </row>
    <row r="9" spans="1:5" x14ac:dyDescent="0.25">
      <c r="A9" s="66" t="s">
        <v>27</v>
      </c>
      <c r="B9" s="2">
        <v>2</v>
      </c>
      <c r="C9" s="2" t="s">
        <v>53</v>
      </c>
      <c r="D9" s="2">
        <v>2</v>
      </c>
      <c r="E9" s="65" t="s">
        <v>30</v>
      </c>
    </row>
    <row r="11" spans="1:5" x14ac:dyDescent="0.25">
      <c r="A11" s="66" t="s">
        <v>144</v>
      </c>
    </row>
    <row r="12" spans="1:5" x14ac:dyDescent="0.25">
      <c r="A12" s="66" t="s">
        <v>19</v>
      </c>
      <c r="B12" s="2">
        <v>1</v>
      </c>
      <c r="C12" s="2" t="s">
        <v>53</v>
      </c>
      <c r="D12" s="2">
        <v>1</v>
      </c>
      <c r="E12" s="65" t="s">
        <v>166</v>
      </c>
    </row>
    <row r="13" spans="1:5" x14ac:dyDescent="0.25">
      <c r="A13" s="66" t="s">
        <v>5</v>
      </c>
      <c r="B13" s="2">
        <v>1</v>
      </c>
      <c r="C13" s="2" t="s">
        <v>53</v>
      </c>
      <c r="D13" s="2">
        <v>1</v>
      </c>
      <c r="E13" s="65" t="s">
        <v>6</v>
      </c>
    </row>
    <row r="14" spans="1:5" x14ac:dyDescent="0.25">
      <c r="A14" s="66" t="s">
        <v>22</v>
      </c>
      <c r="B14" s="2">
        <v>1</v>
      </c>
      <c r="C14" s="2" t="s">
        <v>53</v>
      </c>
      <c r="D14" s="2">
        <v>1</v>
      </c>
      <c r="E14" s="65" t="s">
        <v>12</v>
      </c>
    </row>
    <row r="15" spans="1:5" x14ac:dyDescent="0.25">
      <c r="A15" s="66" t="s">
        <v>8</v>
      </c>
      <c r="B15" s="2">
        <v>1</v>
      </c>
      <c r="C15" s="2" t="s">
        <v>53</v>
      </c>
      <c r="D15" s="2">
        <v>1</v>
      </c>
      <c r="E15" s="65" t="s">
        <v>167</v>
      </c>
    </row>
    <row r="16" spans="1:5" x14ac:dyDescent="0.25">
      <c r="A16" s="66" t="s">
        <v>20</v>
      </c>
      <c r="B16" s="2">
        <v>1</v>
      </c>
      <c r="C16" s="2" t="s">
        <v>53</v>
      </c>
      <c r="D16" s="2">
        <v>1</v>
      </c>
      <c r="E16" s="65" t="s">
        <v>28</v>
      </c>
    </row>
    <row r="17" spans="1:5" x14ac:dyDescent="0.25">
      <c r="A17" s="66" t="s">
        <v>17</v>
      </c>
      <c r="B17" s="2">
        <v>1</v>
      </c>
      <c r="C17" s="2" t="s">
        <v>53</v>
      </c>
      <c r="D17" s="2">
        <v>1</v>
      </c>
      <c r="E17" s="65" t="s">
        <v>26</v>
      </c>
    </row>
    <row r="18" spans="1:5" x14ac:dyDescent="0.25">
      <c r="A18" s="66" t="s">
        <v>23</v>
      </c>
      <c r="B18" s="2">
        <v>1</v>
      </c>
      <c r="C18" s="2" t="s">
        <v>53</v>
      </c>
      <c r="D18" s="2">
        <v>1</v>
      </c>
      <c r="E18" s="65" t="s">
        <v>15</v>
      </c>
    </row>
    <row r="19" spans="1:5" x14ac:dyDescent="0.25">
      <c r="A19" s="66" t="s">
        <v>27</v>
      </c>
      <c r="B19" s="2">
        <v>1</v>
      </c>
      <c r="C19" s="2" t="s">
        <v>53</v>
      </c>
      <c r="D19" s="2">
        <v>1</v>
      </c>
      <c r="E19" s="65" t="s">
        <v>30</v>
      </c>
    </row>
    <row r="21" spans="1:5" x14ac:dyDescent="0.25">
      <c r="A21" s="66" t="s">
        <v>145</v>
      </c>
    </row>
    <row r="22" spans="1:5" x14ac:dyDescent="0.25">
      <c r="A22" s="66" t="s">
        <v>19</v>
      </c>
      <c r="B22" s="2">
        <v>2</v>
      </c>
      <c r="C22" s="2" t="s">
        <v>53</v>
      </c>
      <c r="D22" s="2">
        <v>1</v>
      </c>
      <c r="E22" s="65" t="s">
        <v>166</v>
      </c>
    </row>
    <row r="23" spans="1:5" x14ac:dyDescent="0.25">
      <c r="A23" s="66" t="s">
        <v>5</v>
      </c>
      <c r="B23" s="2">
        <v>2</v>
      </c>
      <c r="C23" s="2" t="s">
        <v>53</v>
      </c>
      <c r="D23" s="2">
        <v>0</v>
      </c>
      <c r="E23" s="65" t="s">
        <v>6</v>
      </c>
    </row>
    <row r="24" spans="1:5" x14ac:dyDescent="0.25">
      <c r="A24" s="66" t="s">
        <v>22</v>
      </c>
      <c r="B24" s="2">
        <v>1</v>
      </c>
      <c r="C24" s="2" t="s">
        <v>53</v>
      </c>
      <c r="D24" s="2">
        <v>2</v>
      </c>
      <c r="E24" s="65" t="s">
        <v>12</v>
      </c>
    </row>
    <row r="25" spans="1:5" x14ac:dyDescent="0.25">
      <c r="A25" s="66" t="s">
        <v>8</v>
      </c>
      <c r="B25" s="2">
        <v>2</v>
      </c>
      <c r="C25" s="2" t="s">
        <v>53</v>
      </c>
      <c r="D25" s="2">
        <v>0</v>
      </c>
      <c r="E25" s="65" t="s">
        <v>167</v>
      </c>
    </row>
    <row r="26" spans="1:5" x14ac:dyDescent="0.25">
      <c r="A26" s="66" t="s">
        <v>20</v>
      </c>
      <c r="B26" s="2">
        <v>1</v>
      </c>
      <c r="C26" s="2" t="s">
        <v>53</v>
      </c>
      <c r="D26" s="2">
        <v>2</v>
      </c>
      <c r="E26" s="65" t="s">
        <v>28</v>
      </c>
    </row>
    <row r="27" spans="1:5" x14ac:dyDescent="0.25">
      <c r="A27" s="66" t="s">
        <v>17</v>
      </c>
      <c r="B27" s="2">
        <v>2</v>
      </c>
      <c r="C27" s="2" t="s">
        <v>53</v>
      </c>
      <c r="D27" s="2">
        <v>0</v>
      </c>
      <c r="E27" s="65" t="s">
        <v>26</v>
      </c>
    </row>
    <row r="28" spans="1:5" x14ac:dyDescent="0.25">
      <c r="A28" s="66" t="s">
        <v>23</v>
      </c>
      <c r="B28" s="2">
        <v>1</v>
      </c>
      <c r="C28" s="2" t="s">
        <v>53</v>
      </c>
      <c r="D28" s="2">
        <v>3</v>
      </c>
      <c r="E28" s="65" t="s">
        <v>15</v>
      </c>
    </row>
    <row r="29" spans="1:5" x14ac:dyDescent="0.25">
      <c r="A29" s="66" t="s">
        <v>27</v>
      </c>
      <c r="B29" s="2">
        <v>1</v>
      </c>
      <c r="C29" s="2" t="s">
        <v>53</v>
      </c>
      <c r="D29" s="2">
        <v>0</v>
      </c>
      <c r="E29" s="65" t="s">
        <v>30</v>
      </c>
    </row>
    <row r="31" spans="1:5" x14ac:dyDescent="0.25">
      <c r="A31" s="66" t="s">
        <v>146</v>
      </c>
    </row>
    <row r="32" spans="1:5" x14ac:dyDescent="0.25">
      <c r="A32" s="66" t="s">
        <v>19</v>
      </c>
      <c r="B32" s="2">
        <v>3</v>
      </c>
      <c r="C32" s="2" t="s">
        <v>53</v>
      </c>
      <c r="D32" s="2">
        <v>2</v>
      </c>
      <c r="E32" s="65" t="s">
        <v>166</v>
      </c>
    </row>
    <row r="33" spans="1:5" x14ac:dyDescent="0.25">
      <c r="A33" s="66" t="s">
        <v>5</v>
      </c>
      <c r="B33" s="2">
        <v>3</v>
      </c>
      <c r="C33" s="2" t="s">
        <v>53</v>
      </c>
      <c r="D33" s="2">
        <v>1</v>
      </c>
      <c r="E33" s="65" t="s">
        <v>6</v>
      </c>
    </row>
    <row r="34" spans="1:5" x14ac:dyDescent="0.25">
      <c r="A34" s="66" t="s">
        <v>22</v>
      </c>
      <c r="B34" s="2">
        <v>2</v>
      </c>
      <c r="C34" s="2" t="s">
        <v>53</v>
      </c>
      <c r="D34" s="2">
        <v>3</v>
      </c>
      <c r="E34" s="65" t="s">
        <v>12</v>
      </c>
    </row>
    <row r="35" spans="1:5" x14ac:dyDescent="0.25">
      <c r="A35" s="66" t="s">
        <v>8</v>
      </c>
      <c r="B35" s="2">
        <v>3</v>
      </c>
      <c r="C35" s="2" t="s">
        <v>53</v>
      </c>
      <c r="D35" s="2">
        <v>2</v>
      </c>
      <c r="E35" s="65" t="s">
        <v>167</v>
      </c>
    </row>
    <row r="36" spans="1:5" x14ac:dyDescent="0.25">
      <c r="A36" s="66" t="s">
        <v>20</v>
      </c>
      <c r="B36" s="2">
        <v>3</v>
      </c>
      <c r="C36" s="2" t="s">
        <v>53</v>
      </c>
      <c r="D36" s="2">
        <v>2</v>
      </c>
      <c r="E36" s="65" t="s">
        <v>28</v>
      </c>
    </row>
    <row r="37" spans="1:5" x14ac:dyDescent="0.25">
      <c r="A37" s="66" t="s">
        <v>17</v>
      </c>
      <c r="B37" s="2">
        <v>3</v>
      </c>
      <c r="C37" s="2" t="s">
        <v>53</v>
      </c>
      <c r="D37" s="2">
        <v>2</v>
      </c>
      <c r="E37" s="65" t="s">
        <v>26</v>
      </c>
    </row>
    <row r="38" spans="1:5" x14ac:dyDescent="0.25">
      <c r="A38" s="66" t="s">
        <v>23</v>
      </c>
      <c r="B38" s="2">
        <v>1</v>
      </c>
      <c r="C38" s="2" t="s">
        <v>53</v>
      </c>
      <c r="D38" s="2">
        <v>3</v>
      </c>
      <c r="E38" s="65" t="s">
        <v>15</v>
      </c>
    </row>
    <row r="39" spans="1:5" x14ac:dyDescent="0.25">
      <c r="A39" s="66" t="s">
        <v>27</v>
      </c>
      <c r="B39" s="2">
        <v>3</v>
      </c>
      <c r="C39" s="2" t="s">
        <v>53</v>
      </c>
      <c r="D39" s="2">
        <v>1</v>
      </c>
      <c r="E39" s="65" t="s">
        <v>30</v>
      </c>
    </row>
    <row r="41" spans="1:5" x14ac:dyDescent="0.25">
      <c r="A41" s="66" t="s">
        <v>147</v>
      </c>
    </row>
    <row r="42" spans="1:5" x14ac:dyDescent="0.25">
      <c r="A42" s="66" t="s">
        <v>19</v>
      </c>
      <c r="B42" s="2">
        <v>1</v>
      </c>
      <c r="C42" s="2" t="s">
        <v>53</v>
      </c>
      <c r="D42" s="2">
        <v>0</v>
      </c>
      <c r="E42" s="65" t="s">
        <v>166</v>
      </c>
    </row>
    <row r="43" spans="1:5" x14ac:dyDescent="0.25">
      <c r="A43" s="66" t="s">
        <v>5</v>
      </c>
      <c r="B43" s="2">
        <v>2</v>
      </c>
      <c r="C43" s="2" t="s">
        <v>53</v>
      </c>
      <c r="D43" s="2">
        <v>0</v>
      </c>
      <c r="E43" s="65" t="s">
        <v>6</v>
      </c>
    </row>
    <row r="44" spans="1:5" x14ac:dyDescent="0.25">
      <c r="A44" s="66" t="s">
        <v>22</v>
      </c>
      <c r="B44" s="2">
        <v>2</v>
      </c>
      <c r="C44" s="2" t="s">
        <v>53</v>
      </c>
      <c r="D44" s="2">
        <v>1</v>
      </c>
      <c r="E44" s="65" t="s">
        <v>12</v>
      </c>
    </row>
    <row r="45" spans="1:5" x14ac:dyDescent="0.25">
      <c r="A45" s="66" t="s">
        <v>8</v>
      </c>
      <c r="B45" s="2">
        <v>2</v>
      </c>
      <c r="C45" s="2" t="s">
        <v>53</v>
      </c>
      <c r="D45" s="2">
        <v>1</v>
      </c>
      <c r="E45" s="65" t="s">
        <v>167</v>
      </c>
    </row>
    <row r="46" spans="1:5" x14ac:dyDescent="0.25">
      <c r="A46" s="66" t="s">
        <v>20</v>
      </c>
      <c r="B46" s="2">
        <v>1</v>
      </c>
      <c r="C46" s="2" t="s">
        <v>53</v>
      </c>
      <c r="D46" s="2">
        <v>1</v>
      </c>
      <c r="E46" s="65" t="s">
        <v>28</v>
      </c>
    </row>
    <row r="47" spans="1:5" x14ac:dyDescent="0.25">
      <c r="A47" s="66" t="s">
        <v>17</v>
      </c>
      <c r="B47" s="2">
        <v>1</v>
      </c>
      <c r="C47" s="2" t="s">
        <v>53</v>
      </c>
      <c r="D47" s="2">
        <v>0</v>
      </c>
      <c r="E47" s="65" t="s">
        <v>26</v>
      </c>
    </row>
    <row r="48" spans="1:5" x14ac:dyDescent="0.25">
      <c r="A48" s="66" t="s">
        <v>23</v>
      </c>
      <c r="B48" s="2">
        <v>1</v>
      </c>
      <c r="C48" s="2" t="s">
        <v>53</v>
      </c>
      <c r="D48" s="2">
        <v>1</v>
      </c>
      <c r="E48" s="65" t="s">
        <v>15</v>
      </c>
    </row>
    <row r="49" spans="1:5" x14ac:dyDescent="0.25">
      <c r="A49" s="66" t="s">
        <v>27</v>
      </c>
      <c r="B49" s="2">
        <v>2</v>
      </c>
      <c r="C49" s="2" t="s">
        <v>53</v>
      </c>
      <c r="D49" s="2">
        <v>2</v>
      </c>
      <c r="E49" s="65" t="s">
        <v>30</v>
      </c>
    </row>
    <row r="51" spans="1:5" x14ac:dyDescent="0.25">
      <c r="A51" s="66" t="s">
        <v>148</v>
      </c>
    </row>
    <row r="52" spans="1:5" x14ac:dyDescent="0.25">
      <c r="A52" s="66" t="s">
        <v>19</v>
      </c>
      <c r="B52" s="2">
        <v>2</v>
      </c>
      <c r="C52" s="2" t="s">
        <v>53</v>
      </c>
      <c r="D52" s="2">
        <v>0</v>
      </c>
      <c r="E52" s="65" t="s">
        <v>166</v>
      </c>
    </row>
    <row r="53" spans="1:5" x14ac:dyDescent="0.25">
      <c r="A53" s="66" t="s">
        <v>5</v>
      </c>
      <c r="B53" s="2">
        <v>2</v>
      </c>
      <c r="C53" s="2" t="s">
        <v>53</v>
      </c>
      <c r="D53" s="2">
        <v>1</v>
      </c>
      <c r="E53" s="65" t="s">
        <v>6</v>
      </c>
    </row>
    <row r="54" spans="1:5" x14ac:dyDescent="0.25">
      <c r="A54" s="66" t="s">
        <v>22</v>
      </c>
      <c r="B54" s="2">
        <v>1</v>
      </c>
      <c r="C54" s="2" t="s">
        <v>53</v>
      </c>
      <c r="D54" s="2">
        <v>0</v>
      </c>
      <c r="E54" s="65" t="s">
        <v>12</v>
      </c>
    </row>
    <row r="55" spans="1:5" x14ac:dyDescent="0.25">
      <c r="A55" s="66" t="s">
        <v>8</v>
      </c>
      <c r="B55" s="2">
        <v>2</v>
      </c>
      <c r="C55" s="2" t="s">
        <v>53</v>
      </c>
      <c r="D55" s="2">
        <v>0</v>
      </c>
      <c r="E55" s="65" t="s">
        <v>167</v>
      </c>
    </row>
    <row r="56" spans="1:5" x14ac:dyDescent="0.25">
      <c r="A56" s="66" t="s">
        <v>20</v>
      </c>
      <c r="B56" s="2">
        <v>3</v>
      </c>
      <c r="C56" s="2" t="s">
        <v>53</v>
      </c>
      <c r="D56" s="2">
        <v>1</v>
      </c>
      <c r="E56" s="65" t="s">
        <v>28</v>
      </c>
    </row>
    <row r="57" spans="1:5" x14ac:dyDescent="0.25">
      <c r="A57" s="66" t="s">
        <v>17</v>
      </c>
      <c r="B57" s="2">
        <v>2</v>
      </c>
      <c r="C57" s="2" t="s">
        <v>53</v>
      </c>
      <c r="D57" s="2">
        <v>0</v>
      </c>
      <c r="E57" s="65" t="s">
        <v>26</v>
      </c>
    </row>
    <row r="58" spans="1:5" x14ac:dyDescent="0.25">
      <c r="A58" s="66" t="s">
        <v>23</v>
      </c>
      <c r="B58" s="2">
        <v>1</v>
      </c>
      <c r="C58" s="2" t="s">
        <v>53</v>
      </c>
      <c r="D58" s="2">
        <v>2</v>
      </c>
      <c r="E58" s="65" t="s">
        <v>15</v>
      </c>
    </row>
    <row r="59" spans="1:5" x14ac:dyDescent="0.25">
      <c r="A59" s="66" t="s">
        <v>27</v>
      </c>
      <c r="B59" s="2">
        <v>1</v>
      </c>
      <c r="C59" s="2" t="s">
        <v>53</v>
      </c>
      <c r="D59" s="2">
        <v>0</v>
      </c>
      <c r="E59" s="65" t="s">
        <v>30</v>
      </c>
    </row>
    <row r="61" spans="1:5" x14ac:dyDescent="0.25">
      <c r="A61" s="66" t="s">
        <v>149</v>
      </c>
    </row>
    <row r="62" spans="1:5" x14ac:dyDescent="0.25">
      <c r="A62" s="66" t="s">
        <v>19</v>
      </c>
      <c r="B62" s="2">
        <v>2</v>
      </c>
      <c r="C62" s="2" t="s">
        <v>53</v>
      </c>
      <c r="D62" s="2">
        <v>0</v>
      </c>
      <c r="E62" s="65" t="s">
        <v>166</v>
      </c>
    </row>
    <row r="63" spans="1:5" x14ac:dyDescent="0.25">
      <c r="A63" s="66" t="s">
        <v>5</v>
      </c>
      <c r="B63" s="2">
        <v>1</v>
      </c>
      <c r="C63" s="2" t="s">
        <v>53</v>
      </c>
      <c r="D63" s="2">
        <v>0</v>
      </c>
      <c r="E63" s="65" t="s">
        <v>6</v>
      </c>
    </row>
    <row r="64" spans="1:5" x14ac:dyDescent="0.25">
      <c r="A64" s="66" t="s">
        <v>22</v>
      </c>
      <c r="B64" s="2">
        <v>1</v>
      </c>
      <c r="C64" s="2" t="s">
        <v>53</v>
      </c>
      <c r="D64" s="2">
        <v>2</v>
      </c>
      <c r="E64" s="65" t="s">
        <v>12</v>
      </c>
    </row>
    <row r="65" spans="1:5" x14ac:dyDescent="0.25">
      <c r="A65" s="66" t="s">
        <v>8</v>
      </c>
      <c r="B65" s="2">
        <v>1</v>
      </c>
      <c r="C65" s="2" t="s">
        <v>53</v>
      </c>
      <c r="D65" s="2">
        <v>0</v>
      </c>
      <c r="E65" s="65" t="s">
        <v>167</v>
      </c>
    </row>
    <row r="66" spans="1:5" x14ac:dyDescent="0.25">
      <c r="A66" s="66" t="s">
        <v>20</v>
      </c>
      <c r="B66" s="2">
        <v>2</v>
      </c>
      <c r="C66" s="2" t="s">
        <v>53</v>
      </c>
      <c r="D66" s="2">
        <v>0</v>
      </c>
      <c r="E66" s="65" t="s">
        <v>28</v>
      </c>
    </row>
    <row r="67" spans="1:5" x14ac:dyDescent="0.25">
      <c r="A67" s="66" t="s">
        <v>17</v>
      </c>
      <c r="B67" s="2">
        <v>3</v>
      </c>
      <c r="C67" s="2" t="s">
        <v>53</v>
      </c>
      <c r="D67" s="2">
        <v>0</v>
      </c>
      <c r="E67" s="65" t="s">
        <v>26</v>
      </c>
    </row>
    <row r="68" spans="1:5" x14ac:dyDescent="0.25">
      <c r="A68" s="66" t="s">
        <v>23</v>
      </c>
      <c r="B68" s="2">
        <v>0</v>
      </c>
      <c r="C68" s="2" t="s">
        <v>53</v>
      </c>
      <c r="D68" s="2">
        <v>2</v>
      </c>
      <c r="E68" s="65" t="s">
        <v>15</v>
      </c>
    </row>
    <row r="69" spans="1:5" x14ac:dyDescent="0.25">
      <c r="A69" s="66" t="s">
        <v>27</v>
      </c>
      <c r="B69" s="2">
        <v>2</v>
      </c>
      <c r="C69" s="2" t="s">
        <v>53</v>
      </c>
      <c r="D69" s="2">
        <v>1</v>
      </c>
      <c r="E69" s="65" t="s">
        <v>30</v>
      </c>
    </row>
    <row r="71" spans="1:5" x14ac:dyDescent="0.25">
      <c r="A71" s="66" t="s">
        <v>150</v>
      </c>
    </row>
    <row r="72" spans="1:5" x14ac:dyDescent="0.25">
      <c r="A72" s="66" t="s">
        <v>19</v>
      </c>
      <c r="B72" s="2">
        <v>2</v>
      </c>
      <c r="C72" s="2" t="s">
        <v>53</v>
      </c>
      <c r="D72" s="2">
        <v>0</v>
      </c>
      <c r="E72" s="65" t="s">
        <v>166</v>
      </c>
    </row>
    <row r="73" spans="1:5" x14ac:dyDescent="0.25">
      <c r="A73" s="66" t="s">
        <v>5</v>
      </c>
      <c r="B73" s="2">
        <v>2</v>
      </c>
      <c r="C73" s="2" t="s">
        <v>53</v>
      </c>
      <c r="D73" s="2">
        <v>1</v>
      </c>
      <c r="E73" s="65" t="s">
        <v>6</v>
      </c>
    </row>
    <row r="74" spans="1:5" x14ac:dyDescent="0.25">
      <c r="A74" s="66" t="s">
        <v>22</v>
      </c>
      <c r="B74" s="2">
        <v>2</v>
      </c>
      <c r="C74" s="2" t="s">
        <v>53</v>
      </c>
      <c r="D74" s="2">
        <v>2</v>
      </c>
      <c r="E74" s="65" t="s">
        <v>12</v>
      </c>
    </row>
    <row r="75" spans="1:5" x14ac:dyDescent="0.25">
      <c r="A75" s="66" t="s">
        <v>8</v>
      </c>
      <c r="B75" s="2">
        <v>2</v>
      </c>
      <c r="C75" s="2" t="s">
        <v>53</v>
      </c>
      <c r="D75" s="2">
        <v>1</v>
      </c>
      <c r="E75" s="65" t="s">
        <v>167</v>
      </c>
    </row>
    <row r="76" spans="1:5" x14ac:dyDescent="0.25">
      <c r="A76" s="66" t="s">
        <v>20</v>
      </c>
      <c r="B76" s="2">
        <v>2</v>
      </c>
      <c r="C76" s="2" t="s">
        <v>53</v>
      </c>
      <c r="D76" s="2">
        <v>0</v>
      </c>
      <c r="E76" s="65" t="s">
        <v>28</v>
      </c>
    </row>
    <row r="77" spans="1:5" x14ac:dyDescent="0.25">
      <c r="A77" s="66" t="s">
        <v>17</v>
      </c>
      <c r="B77" s="2">
        <v>2</v>
      </c>
      <c r="C77" s="2" t="s">
        <v>53</v>
      </c>
      <c r="D77" s="2">
        <v>0</v>
      </c>
      <c r="E77" s="65" t="s">
        <v>26</v>
      </c>
    </row>
    <row r="78" spans="1:5" x14ac:dyDescent="0.25">
      <c r="A78" s="66" t="s">
        <v>23</v>
      </c>
      <c r="B78" s="2">
        <v>1</v>
      </c>
      <c r="C78" s="2" t="s">
        <v>53</v>
      </c>
      <c r="D78" s="2">
        <v>0</v>
      </c>
      <c r="E78" s="65" t="s">
        <v>15</v>
      </c>
    </row>
    <row r="79" spans="1:5" x14ac:dyDescent="0.25">
      <c r="A79" s="66" t="s">
        <v>27</v>
      </c>
      <c r="B79" s="2">
        <v>0</v>
      </c>
      <c r="C79" s="2" t="s">
        <v>53</v>
      </c>
      <c r="D79" s="2">
        <v>0</v>
      </c>
      <c r="E79" s="65" t="s">
        <v>30</v>
      </c>
    </row>
    <row r="81" spans="1:5" x14ac:dyDescent="0.25">
      <c r="A81" s="66" t="s">
        <v>151</v>
      </c>
    </row>
    <row r="82" spans="1:5" x14ac:dyDescent="0.25">
      <c r="A82" s="66" t="s">
        <v>19</v>
      </c>
      <c r="B82" s="2">
        <v>1</v>
      </c>
      <c r="C82" s="2" t="s">
        <v>53</v>
      </c>
      <c r="D82" s="2">
        <v>0</v>
      </c>
      <c r="E82" s="65" t="s">
        <v>166</v>
      </c>
    </row>
    <row r="83" spans="1:5" x14ac:dyDescent="0.25">
      <c r="A83" s="66" t="s">
        <v>5</v>
      </c>
      <c r="B83" s="2">
        <v>2</v>
      </c>
      <c r="C83" s="2" t="s">
        <v>53</v>
      </c>
      <c r="D83" s="2">
        <v>0</v>
      </c>
      <c r="E83" s="65" t="s">
        <v>6</v>
      </c>
    </row>
    <row r="84" spans="1:5" x14ac:dyDescent="0.25">
      <c r="A84" s="66" t="s">
        <v>22</v>
      </c>
      <c r="B84" s="2">
        <v>1</v>
      </c>
      <c r="C84" s="2" t="s">
        <v>53</v>
      </c>
      <c r="D84" s="2">
        <v>1</v>
      </c>
      <c r="E84" s="65" t="s">
        <v>12</v>
      </c>
    </row>
    <row r="85" spans="1:5" x14ac:dyDescent="0.25">
      <c r="A85" s="66" t="s">
        <v>8</v>
      </c>
      <c r="B85" s="2">
        <v>2</v>
      </c>
      <c r="C85" s="2" t="s">
        <v>53</v>
      </c>
      <c r="D85" s="2">
        <v>0</v>
      </c>
      <c r="E85" s="65" t="s">
        <v>167</v>
      </c>
    </row>
    <row r="86" spans="1:5" x14ac:dyDescent="0.25">
      <c r="A86" s="66" t="s">
        <v>20</v>
      </c>
      <c r="B86" s="2">
        <v>1</v>
      </c>
      <c r="C86" s="2" t="s">
        <v>53</v>
      </c>
      <c r="D86" s="2">
        <v>0</v>
      </c>
      <c r="E86" s="65" t="s">
        <v>28</v>
      </c>
    </row>
    <row r="87" spans="1:5" x14ac:dyDescent="0.25">
      <c r="A87" s="66" t="s">
        <v>17</v>
      </c>
      <c r="B87" s="2">
        <v>3</v>
      </c>
      <c r="C87" s="2" t="s">
        <v>53</v>
      </c>
      <c r="D87" s="2">
        <v>0</v>
      </c>
      <c r="E87" s="65" t="s">
        <v>26</v>
      </c>
    </row>
    <row r="88" spans="1:5" x14ac:dyDescent="0.25">
      <c r="A88" s="66" t="s">
        <v>23</v>
      </c>
      <c r="B88" s="2">
        <v>0</v>
      </c>
      <c r="C88" s="2" t="s">
        <v>53</v>
      </c>
      <c r="D88" s="2">
        <v>1</v>
      </c>
      <c r="E88" s="65" t="s">
        <v>15</v>
      </c>
    </row>
    <row r="89" spans="1:5" x14ac:dyDescent="0.25">
      <c r="A89" s="66" t="s">
        <v>27</v>
      </c>
      <c r="B89" s="2">
        <v>1</v>
      </c>
      <c r="C89" s="2" t="s">
        <v>53</v>
      </c>
      <c r="D89" s="2">
        <v>1</v>
      </c>
      <c r="E89" s="65" t="s">
        <v>30</v>
      </c>
    </row>
    <row r="91" spans="1:5" x14ac:dyDescent="0.25">
      <c r="A91" s="66" t="s">
        <v>152</v>
      </c>
    </row>
    <row r="92" spans="1:5" x14ac:dyDescent="0.25">
      <c r="A92" s="66" t="s">
        <v>19</v>
      </c>
      <c r="B92" s="2">
        <v>1</v>
      </c>
      <c r="C92" s="2" t="s">
        <v>53</v>
      </c>
      <c r="D92" s="2">
        <v>2</v>
      </c>
      <c r="E92" s="65" t="s">
        <v>166</v>
      </c>
    </row>
    <row r="93" spans="1:5" x14ac:dyDescent="0.25">
      <c r="A93" s="66" t="s">
        <v>5</v>
      </c>
      <c r="B93" s="2">
        <v>1</v>
      </c>
      <c r="C93" s="2" t="s">
        <v>53</v>
      </c>
      <c r="D93" s="2">
        <v>0</v>
      </c>
      <c r="E93" s="65" t="s">
        <v>6</v>
      </c>
    </row>
    <row r="94" spans="1:5" x14ac:dyDescent="0.25">
      <c r="A94" s="66" t="s">
        <v>22</v>
      </c>
      <c r="B94" s="2">
        <v>2</v>
      </c>
      <c r="C94" s="2" t="s">
        <v>53</v>
      </c>
      <c r="D94" s="2">
        <v>1</v>
      </c>
      <c r="E94" s="65" t="s">
        <v>12</v>
      </c>
    </row>
    <row r="95" spans="1:5" x14ac:dyDescent="0.25">
      <c r="A95" s="66" t="s">
        <v>8</v>
      </c>
      <c r="B95" s="2">
        <v>2</v>
      </c>
      <c r="C95" s="2" t="s">
        <v>53</v>
      </c>
      <c r="D95" s="2">
        <v>1</v>
      </c>
      <c r="E95" s="65" t="s">
        <v>167</v>
      </c>
    </row>
    <row r="96" spans="1:5" x14ac:dyDescent="0.25">
      <c r="A96" s="66" t="s">
        <v>20</v>
      </c>
      <c r="B96" s="2">
        <v>2</v>
      </c>
      <c r="C96" s="2" t="s">
        <v>53</v>
      </c>
      <c r="D96" s="2">
        <v>0</v>
      </c>
      <c r="E96" s="65" t="s">
        <v>28</v>
      </c>
    </row>
    <row r="97" spans="1:5" x14ac:dyDescent="0.25">
      <c r="A97" s="66" t="s">
        <v>17</v>
      </c>
      <c r="B97" s="2">
        <v>3</v>
      </c>
      <c r="C97" s="2" t="s">
        <v>53</v>
      </c>
      <c r="D97" s="2">
        <v>1</v>
      </c>
      <c r="E97" s="65" t="s">
        <v>26</v>
      </c>
    </row>
    <row r="98" spans="1:5" x14ac:dyDescent="0.25">
      <c r="A98" s="66" t="s">
        <v>23</v>
      </c>
      <c r="B98" s="2">
        <v>0</v>
      </c>
      <c r="C98" s="2" t="s">
        <v>53</v>
      </c>
      <c r="D98" s="2">
        <v>1</v>
      </c>
      <c r="E98" s="65" t="s">
        <v>15</v>
      </c>
    </row>
    <row r="99" spans="1:5" x14ac:dyDescent="0.25">
      <c r="A99" s="66" t="s">
        <v>27</v>
      </c>
      <c r="B99" s="2">
        <v>2</v>
      </c>
      <c r="C99" s="2" t="s">
        <v>53</v>
      </c>
      <c r="D99" s="2">
        <v>2</v>
      </c>
      <c r="E99" s="65" t="s">
        <v>30</v>
      </c>
    </row>
    <row r="101" spans="1:5" x14ac:dyDescent="0.25">
      <c r="A101" s="66" t="s">
        <v>153</v>
      </c>
    </row>
    <row r="102" spans="1:5" x14ac:dyDescent="0.25">
      <c r="A102" s="66" t="s">
        <v>19</v>
      </c>
      <c r="B102" s="2">
        <v>2</v>
      </c>
      <c r="C102" s="2" t="s">
        <v>53</v>
      </c>
      <c r="D102" s="2">
        <v>1</v>
      </c>
      <c r="E102" s="65" t="s">
        <v>166</v>
      </c>
    </row>
    <row r="103" spans="1:5" x14ac:dyDescent="0.25">
      <c r="A103" s="66" t="s">
        <v>5</v>
      </c>
      <c r="B103" s="2">
        <v>2</v>
      </c>
      <c r="C103" s="2" t="s">
        <v>53</v>
      </c>
      <c r="D103" s="2">
        <v>0</v>
      </c>
      <c r="E103" s="65" t="s">
        <v>6</v>
      </c>
    </row>
    <row r="104" spans="1:5" x14ac:dyDescent="0.25">
      <c r="A104" s="66" t="s">
        <v>22</v>
      </c>
      <c r="B104" s="2">
        <v>1</v>
      </c>
      <c r="C104" s="2" t="s">
        <v>53</v>
      </c>
      <c r="D104" s="2">
        <v>2</v>
      </c>
      <c r="E104" s="65" t="s">
        <v>12</v>
      </c>
    </row>
    <row r="105" spans="1:5" x14ac:dyDescent="0.25">
      <c r="A105" s="66" t="s">
        <v>8</v>
      </c>
      <c r="B105" s="2">
        <v>2</v>
      </c>
      <c r="C105" s="2" t="s">
        <v>53</v>
      </c>
      <c r="D105" s="2">
        <v>0</v>
      </c>
      <c r="E105" s="65" t="s">
        <v>167</v>
      </c>
    </row>
    <row r="106" spans="1:5" x14ac:dyDescent="0.25">
      <c r="A106" s="66" t="s">
        <v>20</v>
      </c>
      <c r="B106" s="2">
        <v>1</v>
      </c>
      <c r="C106" s="2" t="s">
        <v>53</v>
      </c>
      <c r="D106" s="2">
        <v>0</v>
      </c>
      <c r="E106" s="65" t="s">
        <v>28</v>
      </c>
    </row>
    <row r="107" spans="1:5" x14ac:dyDescent="0.25">
      <c r="A107" s="66" t="s">
        <v>17</v>
      </c>
      <c r="B107" s="2">
        <v>1</v>
      </c>
      <c r="C107" s="2" t="s">
        <v>53</v>
      </c>
      <c r="D107" s="2">
        <v>0</v>
      </c>
      <c r="E107" s="65" t="s">
        <v>26</v>
      </c>
    </row>
    <row r="108" spans="1:5" x14ac:dyDescent="0.25">
      <c r="A108" s="66" t="s">
        <v>23</v>
      </c>
      <c r="B108" s="2">
        <v>1</v>
      </c>
      <c r="C108" s="2" t="s">
        <v>53</v>
      </c>
      <c r="D108" s="2">
        <v>2</v>
      </c>
      <c r="E108" s="65" t="s">
        <v>15</v>
      </c>
    </row>
    <row r="109" spans="1:5" x14ac:dyDescent="0.25">
      <c r="A109" s="66" t="s">
        <v>27</v>
      </c>
      <c r="B109" s="2">
        <v>1</v>
      </c>
      <c r="C109" s="2" t="s">
        <v>53</v>
      </c>
      <c r="D109" s="2">
        <v>0</v>
      </c>
      <c r="E109" s="65" t="s">
        <v>30</v>
      </c>
    </row>
    <row r="111" spans="1:5" x14ac:dyDescent="0.25">
      <c r="A111" s="66" t="s">
        <v>154</v>
      </c>
    </row>
    <row r="112" spans="1:5" x14ac:dyDescent="0.25">
      <c r="A112" s="66" t="s">
        <v>19</v>
      </c>
      <c r="B112" s="2">
        <v>1</v>
      </c>
      <c r="C112" s="2" t="s">
        <v>53</v>
      </c>
      <c r="D112" s="2">
        <v>2</v>
      </c>
      <c r="E112" s="65" t="s">
        <v>166</v>
      </c>
    </row>
    <row r="113" spans="1:5" x14ac:dyDescent="0.25">
      <c r="A113" s="66" t="s">
        <v>5</v>
      </c>
      <c r="B113" s="2">
        <v>1</v>
      </c>
      <c r="C113" s="2" t="s">
        <v>53</v>
      </c>
      <c r="D113" s="2">
        <v>1</v>
      </c>
      <c r="E113" s="65" t="s">
        <v>6</v>
      </c>
    </row>
    <row r="114" spans="1:5" x14ac:dyDescent="0.25">
      <c r="A114" s="66" t="s">
        <v>22</v>
      </c>
      <c r="B114" s="2">
        <v>0</v>
      </c>
      <c r="C114" s="2" t="s">
        <v>53</v>
      </c>
      <c r="D114" s="2">
        <v>2</v>
      </c>
      <c r="E114" s="65" t="s">
        <v>12</v>
      </c>
    </row>
    <row r="115" spans="1:5" x14ac:dyDescent="0.25">
      <c r="A115" s="66" t="s">
        <v>8</v>
      </c>
      <c r="B115" s="2">
        <v>2</v>
      </c>
      <c r="C115" s="2" t="s">
        <v>53</v>
      </c>
      <c r="D115" s="2">
        <v>0</v>
      </c>
      <c r="E115" s="65" t="s">
        <v>167</v>
      </c>
    </row>
    <row r="116" spans="1:5" x14ac:dyDescent="0.25">
      <c r="A116" s="66" t="s">
        <v>20</v>
      </c>
      <c r="B116" s="2">
        <v>3</v>
      </c>
      <c r="C116" s="2" t="s">
        <v>53</v>
      </c>
      <c r="D116" s="2">
        <v>1</v>
      </c>
      <c r="E116" s="65" t="s">
        <v>28</v>
      </c>
    </row>
    <row r="117" spans="1:5" x14ac:dyDescent="0.25">
      <c r="A117" s="66" t="s">
        <v>17</v>
      </c>
      <c r="B117" s="2">
        <v>2</v>
      </c>
      <c r="C117" s="2" t="s">
        <v>53</v>
      </c>
      <c r="D117" s="2">
        <v>0</v>
      </c>
      <c r="E117" s="65" t="s">
        <v>26</v>
      </c>
    </row>
    <row r="118" spans="1:5" x14ac:dyDescent="0.25">
      <c r="A118" s="66" t="s">
        <v>23</v>
      </c>
      <c r="B118" s="2">
        <v>1</v>
      </c>
      <c r="C118" s="2" t="s">
        <v>53</v>
      </c>
      <c r="D118" s="2">
        <v>2</v>
      </c>
      <c r="E118" s="65" t="s">
        <v>15</v>
      </c>
    </row>
    <row r="119" spans="1:5" x14ac:dyDescent="0.25">
      <c r="A119" s="66" t="s">
        <v>27</v>
      </c>
      <c r="B119" s="2">
        <v>0</v>
      </c>
      <c r="C119" s="2" t="s">
        <v>53</v>
      </c>
      <c r="D119" s="2">
        <v>1</v>
      </c>
      <c r="E119" s="65" t="s">
        <v>30</v>
      </c>
    </row>
    <row r="121" spans="1:5" x14ac:dyDescent="0.25">
      <c r="A121" s="66" t="s">
        <v>155</v>
      </c>
    </row>
    <row r="122" spans="1:5" x14ac:dyDescent="0.25">
      <c r="A122" s="66" t="s">
        <v>19</v>
      </c>
      <c r="B122" s="2">
        <v>1</v>
      </c>
      <c r="C122" s="2" t="s">
        <v>53</v>
      </c>
      <c r="D122" s="2">
        <v>1</v>
      </c>
      <c r="E122" s="65" t="s">
        <v>166</v>
      </c>
    </row>
    <row r="123" spans="1:5" x14ac:dyDescent="0.25">
      <c r="A123" s="66" t="s">
        <v>5</v>
      </c>
      <c r="B123" s="2">
        <v>2</v>
      </c>
      <c r="C123" s="2" t="s">
        <v>53</v>
      </c>
      <c r="D123" s="2">
        <v>1</v>
      </c>
      <c r="E123" s="65" t="s">
        <v>6</v>
      </c>
    </row>
    <row r="124" spans="1:5" x14ac:dyDescent="0.25">
      <c r="A124" s="66" t="s">
        <v>22</v>
      </c>
      <c r="B124" s="2">
        <v>2</v>
      </c>
      <c r="C124" s="2" t="s">
        <v>53</v>
      </c>
      <c r="D124" s="2">
        <v>0</v>
      </c>
      <c r="E124" s="65" t="s">
        <v>12</v>
      </c>
    </row>
    <row r="125" spans="1:5" x14ac:dyDescent="0.25">
      <c r="A125" s="66" t="s">
        <v>8</v>
      </c>
      <c r="B125" s="2">
        <v>2</v>
      </c>
      <c r="C125" s="2" t="s">
        <v>53</v>
      </c>
      <c r="D125" s="2">
        <v>0</v>
      </c>
      <c r="E125" s="65" t="s">
        <v>167</v>
      </c>
    </row>
    <row r="126" spans="1:5" x14ac:dyDescent="0.25">
      <c r="A126" s="66" t="s">
        <v>20</v>
      </c>
      <c r="B126" s="2">
        <v>4</v>
      </c>
      <c r="C126" s="2" t="s">
        <v>53</v>
      </c>
      <c r="D126" s="2">
        <v>0</v>
      </c>
      <c r="E126" s="65" t="s">
        <v>28</v>
      </c>
    </row>
    <row r="127" spans="1:5" x14ac:dyDescent="0.25">
      <c r="A127" s="66" t="s">
        <v>17</v>
      </c>
      <c r="B127" s="2">
        <v>2</v>
      </c>
      <c r="C127" s="2" t="s">
        <v>53</v>
      </c>
      <c r="D127" s="2">
        <v>1</v>
      </c>
      <c r="E127" s="65" t="s">
        <v>26</v>
      </c>
    </row>
    <row r="128" spans="1:5" x14ac:dyDescent="0.25">
      <c r="A128" s="66" t="s">
        <v>23</v>
      </c>
      <c r="B128" s="2">
        <v>1</v>
      </c>
      <c r="C128" s="2" t="s">
        <v>53</v>
      </c>
      <c r="D128" s="2">
        <v>3</v>
      </c>
      <c r="E128" s="65" t="s">
        <v>15</v>
      </c>
    </row>
    <row r="129" spans="1:6" x14ac:dyDescent="0.25">
      <c r="A129" s="66" t="s">
        <v>27</v>
      </c>
      <c r="B129" s="2">
        <v>1</v>
      </c>
      <c r="C129" s="2" t="s">
        <v>53</v>
      </c>
      <c r="D129" s="2">
        <v>0</v>
      </c>
      <c r="E129" s="65" t="s">
        <v>30</v>
      </c>
    </row>
    <row r="131" spans="1:6" x14ac:dyDescent="0.25">
      <c r="A131" s="66" t="s">
        <v>156</v>
      </c>
    </row>
    <row r="132" spans="1:6" x14ac:dyDescent="0.25">
      <c r="A132" s="66" t="s">
        <v>19</v>
      </c>
      <c r="B132" s="2">
        <v>1</v>
      </c>
      <c r="C132" s="2" t="s">
        <v>53</v>
      </c>
      <c r="D132" s="2">
        <v>0</v>
      </c>
      <c r="E132" s="65" t="s">
        <v>168</v>
      </c>
      <c r="F132" t="s">
        <v>169</v>
      </c>
    </row>
    <row r="133" spans="1:6" x14ac:dyDescent="0.25">
      <c r="A133" s="66" t="s">
        <v>5</v>
      </c>
      <c r="B133" s="2">
        <v>2</v>
      </c>
      <c r="C133" s="2" t="s">
        <v>53</v>
      </c>
      <c r="D133" s="2">
        <v>0</v>
      </c>
      <c r="E133" s="65" t="s">
        <v>6</v>
      </c>
    </row>
    <row r="134" spans="1:6" x14ac:dyDescent="0.25">
      <c r="A134" s="66" t="s">
        <v>22</v>
      </c>
      <c r="B134" s="2">
        <v>2</v>
      </c>
      <c r="C134" s="2" t="s">
        <v>53</v>
      </c>
      <c r="D134" s="2">
        <v>1</v>
      </c>
      <c r="E134" s="65" t="s">
        <v>12</v>
      </c>
    </row>
    <row r="135" spans="1:6" x14ac:dyDescent="0.25">
      <c r="A135" s="66" t="s">
        <v>8</v>
      </c>
      <c r="B135" s="2">
        <v>2</v>
      </c>
      <c r="C135" s="2" t="s">
        <v>53</v>
      </c>
      <c r="D135" s="2">
        <v>0</v>
      </c>
      <c r="E135" s="65" t="s">
        <v>167</v>
      </c>
    </row>
    <row r="136" spans="1:6" x14ac:dyDescent="0.25">
      <c r="A136" s="66" t="s">
        <v>20</v>
      </c>
      <c r="B136" s="2">
        <v>1</v>
      </c>
      <c r="C136" s="2" t="s">
        <v>53</v>
      </c>
      <c r="D136" s="2">
        <v>0</v>
      </c>
      <c r="E136" s="65" t="s">
        <v>28</v>
      </c>
    </row>
    <row r="137" spans="1:6" x14ac:dyDescent="0.25">
      <c r="A137" s="66" t="s">
        <v>17</v>
      </c>
      <c r="B137" s="2">
        <v>3</v>
      </c>
      <c r="C137" s="2" t="s">
        <v>53</v>
      </c>
      <c r="D137" s="2">
        <v>0</v>
      </c>
      <c r="E137" s="65" t="s">
        <v>26</v>
      </c>
    </row>
    <row r="138" spans="1:6" x14ac:dyDescent="0.25">
      <c r="A138" s="66" t="s">
        <v>23</v>
      </c>
      <c r="B138" s="2">
        <v>1</v>
      </c>
      <c r="C138" s="2" t="s">
        <v>53</v>
      </c>
      <c r="D138" s="2">
        <v>2</v>
      </c>
      <c r="E138" s="65" t="s">
        <v>15</v>
      </c>
    </row>
    <row r="139" spans="1:6" x14ac:dyDescent="0.25">
      <c r="A139" s="66" t="s">
        <v>27</v>
      </c>
      <c r="B139" s="2">
        <v>1</v>
      </c>
      <c r="C139" s="2" t="s">
        <v>53</v>
      </c>
      <c r="D139" s="2">
        <v>0</v>
      </c>
      <c r="E139" s="65" t="s">
        <v>30</v>
      </c>
    </row>
    <row r="141" spans="1:6" x14ac:dyDescent="0.25">
      <c r="A141" s="66" t="s">
        <v>157</v>
      </c>
    </row>
    <row r="142" spans="1:6" x14ac:dyDescent="0.25">
      <c r="A142" s="66" t="s">
        <v>19</v>
      </c>
      <c r="B142" s="2">
        <v>1</v>
      </c>
      <c r="C142" s="2" t="s">
        <v>53</v>
      </c>
      <c r="D142" s="2">
        <v>0</v>
      </c>
      <c r="E142" s="65" t="s">
        <v>166</v>
      </c>
    </row>
    <row r="143" spans="1:6" x14ac:dyDescent="0.25">
      <c r="A143" s="66" t="s">
        <v>5</v>
      </c>
      <c r="B143" s="2">
        <v>0</v>
      </c>
      <c r="C143" s="2" t="s">
        <v>53</v>
      </c>
      <c r="D143" s="2">
        <v>1</v>
      </c>
      <c r="E143" s="65" t="s">
        <v>6</v>
      </c>
    </row>
    <row r="144" spans="1:6" x14ac:dyDescent="0.25">
      <c r="A144" s="66" t="s">
        <v>22</v>
      </c>
      <c r="B144" s="2">
        <v>1</v>
      </c>
      <c r="C144" s="2" t="s">
        <v>53</v>
      </c>
      <c r="D144" s="2">
        <v>0</v>
      </c>
      <c r="E144" s="65" t="s">
        <v>12</v>
      </c>
    </row>
    <row r="145" spans="1:5" x14ac:dyDescent="0.25">
      <c r="A145" s="66" t="s">
        <v>8</v>
      </c>
      <c r="B145" s="2">
        <v>0</v>
      </c>
      <c r="C145" s="2" t="s">
        <v>53</v>
      </c>
      <c r="D145" s="2">
        <v>1</v>
      </c>
      <c r="E145" s="65" t="s">
        <v>167</v>
      </c>
    </row>
    <row r="146" spans="1:5" x14ac:dyDescent="0.25">
      <c r="A146" s="66" t="s">
        <v>20</v>
      </c>
      <c r="B146" s="2">
        <v>1</v>
      </c>
      <c r="C146" s="2" t="s">
        <v>53</v>
      </c>
      <c r="D146" s="2">
        <v>0</v>
      </c>
      <c r="E146" s="65" t="s">
        <v>28</v>
      </c>
    </row>
    <row r="147" spans="1:5" x14ac:dyDescent="0.25">
      <c r="A147" s="66" t="s">
        <v>17</v>
      </c>
      <c r="B147" s="2">
        <v>1</v>
      </c>
      <c r="C147" s="2" t="s">
        <v>53</v>
      </c>
      <c r="D147" s="2">
        <v>0</v>
      </c>
      <c r="E147" s="65" t="s">
        <v>26</v>
      </c>
    </row>
    <row r="148" spans="1:5" x14ac:dyDescent="0.25">
      <c r="A148" s="66" t="s">
        <v>23</v>
      </c>
      <c r="B148" s="2">
        <v>0</v>
      </c>
      <c r="C148" s="2" t="s">
        <v>53</v>
      </c>
      <c r="D148" s="2">
        <v>1</v>
      </c>
      <c r="E148" s="65" t="s">
        <v>15</v>
      </c>
    </row>
    <row r="149" spans="1:5" x14ac:dyDescent="0.25">
      <c r="A149" s="66" t="s">
        <v>27</v>
      </c>
      <c r="B149" s="2">
        <v>1</v>
      </c>
      <c r="C149" s="2" t="s">
        <v>53</v>
      </c>
      <c r="D149" s="2">
        <v>0</v>
      </c>
      <c r="E149" s="65" t="s">
        <v>30</v>
      </c>
    </row>
    <row r="151" spans="1:5" x14ac:dyDescent="0.25">
      <c r="A151" s="66" t="s">
        <v>158</v>
      </c>
    </row>
    <row r="152" spans="1:5" x14ac:dyDescent="0.25">
      <c r="A152" s="66" t="s">
        <v>19</v>
      </c>
      <c r="B152" s="2">
        <v>1</v>
      </c>
      <c r="C152" s="2" t="s">
        <v>53</v>
      </c>
      <c r="D152" s="2">
        <v>2</v>
      </c>
      <c r="E152" s="65" t="s">
        <v>166</v>
      </c>
    </row>
    <row r="153" spans="1:5" x14ac:dyDescent="0.25">
      <c r="A153" s="66" t="s">
        <v>5</v>
      </c>
      <c r="B153" s="2">
        <v>2</v>
      </c>
      <c r="C153" s="2" t="s">
        <v>53</v>
      </c>
      <c r="D153" s="2">
        <v>1</v>
      </c>
      <c r="E153" s="65" t="s">
        <v>6</v>
      </c>
    </row>
    <row r="154" spans="1:5" x14ac:dyDescent="0.25">
      <c r="A154" s="66" t="s">
        <v>22</v>
      </c>
      <c r="B154" s="2">
        <v>2</v>
      </c>
      <c r="C154" s="2" t="s">
        <v>53</v>
      </c>
      <c r="D154" s="2">
        <v>1</v>
      </c>
      <c r="E154" s="65" t="s">
        <v>12</v>
      </c>
    </row>
    <row r="155" spans="1:5" x14ac:dyDescent="0.25">
      <c r="A155" s="66" t="s">
        <v>8</v>
      </c>
      <c r="B155" s="2">
        <v>2</v>
      </c>
      <c r="C155" s="2" t="s">
        <v>53</v>
      </c>
      <c r="D155" s="2">
        <v>1</v>
      </c>
      <c r="E155" s="65" t="s">
        <v>167</v>
      </c>
    </row>
    <row r="156" spans="1:5" x14ac:dyDescent="0.25">
      <c r="A156" s="66" t="s">
        <v>20</v>
      </c>
      <c r="B156" s="2">
        <v>1</v>
      </c>
      <c r="C156" s="2" t="s">
        <v>53</v>
      </c>
      <c r="D156" s="2">
        <v>2</v>
      </c>
      <c r="E156" s="65" t="s">
        <v>28</v>
      </c>
    </row>
    <row r="157" spans="1:5" x14ac:dyDescent="0.25">
      <c r="A157" s="66" t="s">
        <v>17</v>
      </c>
      <c r="B157" s="2">
        <v>2</v>
      </c>
      <c r="C157" s="2" t="s">
        <v>53</v>
      </c>
      <c r="D157" s="2">
        <v>1</v>
      </c>
      <c r="E157" s="65" t="s">
        <v>26</v>
      </c>
    </row>
    <row r="158" spans="1:5" x14ac:dyDescent="0.25">
      <c r="A158" s="66" t="s">
        <v>23</v>
      </c>
      <c r="B158" s="2">
        <v>1</v>
      </c>
      <c r="C158" s="2" t="s">
        <v>53</v>
      </c>
      <c r="D158" s="2">
        <v>2</v>
      </c>
      <c r="E158" s="65" t="s">
        <v>15</v>
      </c>
    </row>
    <row r="159" spans="1:5" x14ac:dyDescent="0.25">
      <c r="A159" s="66" t="s">
        <v>27</v>
      </c>
      <c r="B159" s="2">
        <v>2</v>
      </c>
      <c r="C159" s="2" t="s">
        <v>53</v>
      </c>
      <c r="D159" s="2">
        <v>1</v>
      </c>
      <c r="E159" s="65" t="s">
        <v>30</v>
      </c>
    </row>
    <row r="161" spans="1:5" x14ac:dyDescent="0.25">
      <c r="A161" s="66" t="s">
        <v>159</v>
      </c>
    </row>
    <row r="162" spans="1:5" x14ac:dyDescent="0.25">
      <c r="A162" s="66" t="s">
        <v>19</v>
      </c>
      <c r="B162" s="2">
        <v>2</v>
      </c>
      <c r="C162" s="2" t="s">
        <v>53</v>
      </c>
      <c r="D162" s="2">
        <v>1</v>
      </c>
      <c r="E162" s="65" t="s">
        <v>166</v>
      </c>
    </row>
    <row r="163" spans="1:5" x14ac:dyDescent="0.25">
      <c r="A163" s="66" t="s">
        <v>5</v>
      </c>
      <c r="B163" s="2">
        <v>1</v>
      </c>
      <c r="C163" s="2" t="s">
        <v>53</v>
      </c>
      <c r="D163" s="2">
        <v>0</v>
      </c>
      <c r="E163" s="65" t="s">
        <v>6</v>
      </c>
    </row>
    <row r="164" spans="1:5" x14ac:dyDescent="0.25">
      <c r="A164" s="66" t="s">
        <v>22</v>
      </c>
      <c r="B164" s="2">
        <v>2</v>
      </c>
      <c r="C164" s="2" t="s">
        <v>53</v>
      </c>
      <c r="D164" s="2">
        <v>1</v>
      </c>
      <c r="E164" s="65" t="s">
        <v>12</v>
      </c>
    </row>
    <row r="165" spans="1:5" x14ac:dyDescent="0.25">
      <c r="A165" s="66" t="s">
        <v>8</v>
      </c>
      <c r="B165" s="2">
        <v>2</v>
      </c>
      <c r="C165" s="2" t="s">
        <v>53</v>
      </c>
      <c r="D165" s="2">
        <v>0</v>
      </c>
      <c r="E165" s="65" t="s">
        <v>167</v>
      </c>
    </row>
    <row r="166" spans="1:5" x14ac:dyDescent="0.25">
      <c r="A166" s="66" t="s">
        <v>20</v>
      </c>
      <c r="B166" s="2">
        <v>1</v>
      </c>
      <c r="C166" s="2" t="s">
        <v>53</v>
      </c>
      <c r="D166" s="2">
        <v>0</v>
      </c>
      <c r="E166" s="65" t="s">
        <v>28</v>
      </c>
    </row>
    <row r="167" spans="1:5" x14ac:dyDescent="0.25">
      <c r="A167" s="66" t="s">
        <v>17</v>
      </c>
      <c r="B167" s="2">
        <v>2</v>
      </c>
      <c r="C167" s="2" t="s">
        <v>53</v>
      </c>
      <c r="D167" s="2">
        <v>0</v>
      </c>
      <c r="E167" s="65" t="s">
        <v>26</v>
      </c>
    </row>
    <row r="168" spans="1:5" x14ac:dyDescent="0.25">
      <c r="A168" s="66" t="s">
        <v>23</v>
      </c>
      <c r="B168" s="2">
        <v>0</v>
      </c>
      <c r="C168" s="2" t="s">
        <v>53</v>
      </c>
      <c r="D168" s="2">
        <v>1</v>
      </c>
      <c r="E168" s="65" t="s">
        <v>15</v>
      </c>
    </row>
    <row r="169" spans="1:5" x14ac:dyDescent="0.25">
      <c r="A169" s="66" t="s">
        <v>27</v>
      </c>
      <c r="B169" s="2">
        <v>2</v>
      </c>
      <c r="C169" s="2" t="s">
        <v>53</v>
      </c>
      <c r="D169" s="2">
        <v>1</v>
      </c>
      <c r="E169" s="65" t="s">
        <v>30</v>
      </c>
    </row>
    <row r="171" spans="1:5" x14ac:dyDescent="0.25">
      <c r="A171" s="66" t="s">
        <v>160</v>
      </c>
    </row>
    <row r="172" spans="1:5" x14ac:dyDescent="0.25">
      <c r="A172" s="66" t="s">
        <v>19</v>
      </c>
      <c r="B172" s="2">
        <v>1</v>
      </c>
      <c r="C172" s="2" t="s">
        <v>53</v>
      </c>
      <c r="D172" s="2">
        <v>2</v>
      </c>
      <c r="E172" s="65" t="s">
        <v>166</v>
      </c>
    </row>
    <row r="173" spans="1:5" x14ac:dyDescent="0.25">
      <c r="A173" s="66" t="s">
        <v>5</v>
      </c>
      <c r="B173" s="2">
        <v>1</v>
      </c>
      <c r="C173" s="2" t="s">
        <v>53</v>
      </c>
      <c r="D173" s="2">
        <v>0</v>
      </c>
      <c r="E173" s="65" t="s">
        <v>6</v>
      </c>
    </row>
    <row r="174" spans="1:5" x14ac:dyDescent="0.25">
      <c r="A174" s="66" t="s">
        <v>22</v>
      </c>
      <c r="B174" s="2">
        <v>2</v>
      </c>
      <c r="C174" s="2" t="s">
        <v>53</v>
      </c>
      <c r="D174" s="2">
        <v>1</v>
      </c>
      <c r="E174" s="65" t="s">
        <v>12</v>
      </c>
    </row>
    <row r="175" spans="1:5" x14ac:dyDescent="0.25">
      <c r="A175" s="66" t="s">
        <v>8</v>
      </c>
      <c r="B175" s="2">
        <v>1</v>
      </c>
      <c r="C175" s="2" t="s">
        <v>53</v>
      </c>
      <c r="D175" s="2">
        <v>0</v>
      </c>
      <c r="E175" s="65" t="s">
        <v>167</v>
      </c>
    </row>
    <row r="176" spans="1:5" x14ac:dyDescent="0.25">
      <c r="A176" s="66" t="s">
        <v>20</v>
      </c>
      <c r="B176" s="2">
        <v>0</v>
      </c>
      <c r="C176" s="2" t="s">
        <v>53</v>
      </c>
      <c r="D176" s="2">
        <v>1</v>
      </c>
      <c r="E176" s="65" t="s">
        <v>28</v>
      </c>
    </row>
    <row r="177" spans="1:5" x14ac:dyDescent="0.25">
      <c r="A177" s="66" t="s">
        <v>17</v>
      </c>
      <c r="B177" s="2">
        <v>2</v>
      </c>
      <c r="C177" s="2" t="s">
        <v>53</v>
      </c>
      <c r="D177" s="2">
        <v>0</v>
      </c>
      <c r="E177" s="65" t="s">
        <v>26</v>
      </c>
    </row>
    <row r="178" spans="1:5" x14ac:dyDescent="0.25">
      <c r="A178" s="66" t="s">
        <v>23</v>
      </c>
      <c r="B178" s="2">
        <v>0</v>
      </c>
      <c r="C178" s="2" t="s">
        <v>53</v>
      </c>
      <c r="D178" s="2">
        <v>2</v>
      </c>
      <c r="E178" s="65" t="s">
        <v>15</v>
      </c>
    </row>
    <row r="179" spans="1:5" x14ac:dyDescent="0.25">
      <c r="A179" s="66" t="s">
        <v>27</v>
      </c>
      <c r="B179" s="2">
        <v>1</v>
      </c>
      <c r="C179" s="2" t="s">
        <v>53</v>
      </c>
      <c r="D179" s="2">
        <v>1</v>
      </c>
      <c r="E179" s="65" t="s">
        <v>30</v>
      </c>
    </row>
    <row r="181" spans="1:5" x14ac:dyDescent="0.25">
      <c r="A181" s="66" t="s">
        <v>161</v>
      </c>
    </row>
    <row r="182" spans="1:5" x14ac:dyDescent="0.25">
      <c r="A182" s="66" t="s">
        <v>19</v>
      </c>
      <c r="B182" s="2">
        <v>3</v>
      </c>
      <c r="C182" s="2" t="s">
        <v>53</v>
      </c>
      <c r="D182" s="2">
        <v>0</v>
      </c>
      <c r="E182" s="65" t="s">
        <v>166</v>
      </c>
    </row>
    <row r="183" spans="1:5" x14ac:dyDescent="0.25">
      <c r="A183" s="66" t="s">
        <v>5</v>
      </c>
      <c r="B183" s="2">
        <v>2</v>
      </c>
      <c r="C183" s="2" t="s">
        <v>53</v>
      </c>
      <c r="D183" s="2">
        <v>1</v>
      </c>
      <c r="E183" s="65" t="s">
        <v>6</v>
      </c>
    </row>
    <row r="184" spans="1:5" x14ac:dyDescent="0.25">
      <c r="A184" s="66" t="s">
        <v>22</v>
      </c>
      <c r="B184" s="2">
        <v>3</v>
      </c>
      <c r="C184" s="2" t="s">
        <v>53</v>
      </c>
      <c r="D184" s="2">
        <v>2</v>
      </c>
      <c r="E184" s="65" t="s">
        <v>12</v>
      </c>
    </row>
    <row r="185" spans="1:5" x14ac:dyDescent="0.25">
      <c r="A185" s="66" t="s">
        <v>8</v>
      </c>
      <c r="B185" s="2">
        <v>3</v>
      </c>
      <c r="C185" s="2" t="s">
        <v>53</v>
      </c>
      <c r="D185" s="2">
        <v>0</v>
      </c>
      <c r="E185" s="65" t="s">
        <v>167</v>
      </c>
    </row>
    <row r="186" spans="1:5" x14ac:dyDescent="0.25">
      <c r="A186" s="66" t="s">
        <v>20</v>
      </c>
      <c r="B186" s="2">
        <v>2</v>
      </c>
      <c r="C186" s="2" t="s">
        <v>53</v>
      </c>
      <c r="D186" s="2">
        <v>1</v>
      </c>
      <c r="E186" s="65" t="s">
        <v>28</v>
      </c>
    </row>
    <row r="187" spans="1:5" x14ac:dyDescent="0.25">
      <c r="A187" s="66" t="s">
        <v>17</v>
      </c>
      <c r="B187" s="2">
        <v>1</v>
      </c>
      <c r="C187" s="2" t="s">
        <v>53</v>
      </c>
      <c r="D187" s="2">
        <v>0</v>
      </c>
      <c r="E187" s="65" t="s">
        <v>26</v>
      </c>
    </row>
    <row r="188" spans="1:5" x14ac:dyDescent="0.25">
      <c r="A188" s="66" t="s">
        <v>23</v>
      </c>
      <c r="B188" s="2">
        <v>1</v>
      </c>
      <c r="C188" s="2" t="s">
        <v>53</v>
      </c>
      <c r="D188" s="2">
        <v>4</v>
      </c>
      <c r="E188" s="65" t="s">
        <v>15</v>
      </c>
    </row>
    <row r="189" spans="1:5" x14ac:dyDescent="0.25">
      <c r="A189" s="66" t="s">
        <v>27</v>
      </c>
      <c r="B189" s="2">
        <v>3</v>
      </c>
      <c r="C189" s="2" t="s">
        <v>53</v>
      </c>
      <c r="D189" s="2">
        <v>2</v>
      </c>
      <c r="E189" s="65" t="s">
        <v>30</v>
      </c>
    </row>
    <row r="191" spans="1:5" x14ac:dyDescent="0.25">
      <c r="A191" s="66" t="s">
        <v>162</v>
      </c>
    </row>
    <row r="192" spans="1:5" x14ac:dyDescent="0.25">
      <c r="A192" s="66" t="s">
        <v>19</v>
      </c>
      <c r="B192" s="2">
        <v>2</v>
      </c>
      <c r="C192" s="2" t="s">
        <v>53</v>
      </c>
      <c r="D192" s="2">
        <v>1</v>
      </c>
      <c r="E192" s="65" t="s">
        <v>166</v>
      </c>
    </row>
    <row r="193" spans="1:5" x14ac:dyDescent="0.25">
      <c r="A193" s="66" t="s">
        <v>5</v>
      </c>
      <c r="B193" s="2">
        <v>2</v>
      </c>
      <c r="C193" s="2" t="s">
        <v>53</v>
      </c>
      <c r="D193" s="2">
        <v>0</v>
      </c>
      <c r="E193" s="65" t="s">
        <v>6</v>
      </c>
    </row>
    <row r="194" spans="1:5" x14ac:dyDescent="0.25">
      <c r="A194" s="66" t="s">
        <v>22</v>
      </c>
      <c r="B194" s="2">
        <v>1</v>
      </c>
      <c r="C194" s="2" t="s">
        <v>53</v>
      </c>
      <c r="D194" s="2">
        <v>0</v>
      </c>
      <c r="E194" s="65" t="s">
        <v>12</v>
      </c>
    </row>
    <row r="195" spans="1:5" x14ac:dyDescent="0.25">
      <c r="A195" s="66" t="s">
        <v>8</v>
      </c>
      <c r="B195" s="2">
        <v>2</v>
      </c>
      <c r="C195" s="2" t="s">
        <v>53</v>
      </c>
      <c r="D195" s="2">
        <v>0</v>
      </c>
      <c r="E195" s="65" t="s">
        <v>167</v>
      </c>
    </row>
    <row r="196" spans="1:5" x14ac:dyDescent="0.25">
      <c r="A196" s="66" t="s">
        <v>20</v>
      </c>
      <c r="B196" s="2">
        <v>2</v>
      </c>
      <c r="C196" s="2" t="s">
        <v>53</v>
      </c>
      <c r="D196" s="2">
        <v>1</v>
      </c>
      <c r="E196" s="65" t="s">
        <v>28</v>
      </c>
    </row>
    <row r="197" spans="1:5" x14ac:dyDescent="0.25">
      <c r="A197" s="66" t="s">
        <v>17</v>
      </c>
      <c r="B197" s="2">
        <v>2</v>
      </c>
      <c r="C197" s="2" t="s">
        <v>53</v>
      </c>
      <c r="D197" s="2">
        <v>0</v>
      </c>
      <c r="E197" s="65" t="s">
        <v>26</v>
      </c>
    </row>
    <row r="198" spans="1:5" x14ac:dyDescent="0.25">
      <c r="A198" s="66" t="s">
        <v>23</v>
      </c>
      <c r="B198" s="2">
        <v>0</v>
      </c>
      <c r="C198" s="2" t="s">
        <v>53</v>
      </c>
      <c r="D198" s="2">
        <v>2</v>
      </c>
      <c r="E198" s="65" t="s">
        <v>15</v>
      </c>
    </row>
    <row r="199" spans="1:5" x14ac:dyDescent="0.25">
      <c r="A199" s="66" t="s">
        <v>27</v>
      </c>
      <c r="B199" s="2">
        <v>2</v>
      </c>
      <c r="C199" s="2" t="s">
        <v>53</v>
      </c>
      <c r="D199" s="2">
        <v>1</v>
      </c>
      <c r="E199" s="65" t="s">
        <v>30</v>
      </c>
    </row>
    <row r="201" spans="1:5" x14ac:dyDescent="0.25">
      <c r="A201" s="66" t="s">
        <v>163</v>
      </c>
    </row>
    <row r="202" spans="1:5" x14ac:dyDescent="0.25">
      <c r="A202" s="66" t="s">
        <v>19</v>
      </c>
      <c r="B202" s="2">
        <v>1</v>
      </c>
      <c r="C202" s="2" t="s">
        <v>53</v>
      </c>
      <c r="D202" s="2">
        <v>0</v>
      </c>
      <c r="E202" s="65" t="s">
        <v>166</v>
      </c>
    </row>
    <row r="203" spans="1:5" x14ac:dyDescent="0.25">
      <c r="A203" s="66" t="s">
        <v>5</v>
      </c>
      <c r="B203" s="2">
        <v>2</v>
      </c>
      <c r="C203" s="2" t="s">
        <v>53</v>
      </c>
      <c r="D203" s="2">
        <v>1</v>
      </c>
      <c r="E203" s="65" t="s">
        <v>6</v>
      </c>
    </row>
    <row r="204" spans="1:5" x14ac:dyDescent="0.25">
      <c r="A204" s="66" t="s">
        <v>22</v>
      </c>
      <c r="B204" s="2">
        <v>2</v>
      </c>
      <c r="C204" s="2" t="s">
        <v>53</v>
      </c>
      <c r="D204" s="2">
        <v>1</v>
      </c>
      <c r="E204" s="65" t="s">
        <v>12</v>
      </c>
    </row>
    <row r="205" spans="1:5" x14ac:dyDescent="0.25">
      <c r="A205" s="66" t="s">
        <v>8</v>
      </c>
      <c r="B205" s="2">
        <v>2</v>
      </c>
      <c r="C205" s="2" t="s">
        <v>53</v>
      </c>
      <c r="D205" s="2">
        <v>1</v>
      </c>
      <c r="E205" s="65" t="s">
        <v>167</v>
      </c>
    </row>
    <row r="206" spans="1:5" x14ac:dyDescent="0.25">
      <c r="A206" s="66" t="s">
        <v>20</v>
      </c>
      <c r="B206" s="2">
        <v>1</v>
      </c>
      <c r="C206" s="2" t="s">
        <v>53</v>
      </c>
      <c r="D206" s="2">
        <v>1</v>
      </c>
      <c r="E206" s="65" t="s">
        <v>28</v>
      </c>
    </row>
    <row r="207" spans="1:5" x14ac:dyDescent="0.25">
      <c r="A207" s="66" t="s">
        <v>17</v>
      </c>
      <c r="B207" s="2">
        <v>1</v>
      </c>
      <c r="C207" s="2" t="s">
        <v>53</v>
      </c>
      <c r="D207" s="2">
        <v>1</v>
      </c>
      <c r="E207" s="65" t="s">
        <v>26</v>
      </c>
    </row>
    <row r="208" spans="1:5" x14ac:dyDescent="0.25">
      <c r="A208" s="66" t="s">
        <v>23</v>
      </c>
      <c r="B208" s="2">
        <v>1</v>
      </c>
      <c r="C208" s="2" t="s">
        <v>53</v>
      </c>
      <c r="D208" s="2">
        <v>1</v>
      </c>
      <c r="E208" s="65" t="s">
        <v>15</v>
      </c>
    </row>
    <row r="209" spans="1:5" x14ac:dyDescent="0.25">
      <c r="A209" s="66" t="s">
        <v>27</v>
      </c>
      <c r="B209" s="2">
        <v>2</v>
      </c>
      <c r="C209" s="2" t="s">
        <v>53</v>
      </c>
      <c r="D209" s="2">
        <v>1</v>
      </c>
      <c r="E209" s="65" t="s">
        <v>30</v>
      </c>
    </row>
    <row r="211" spans="1:5" x14ac:dyDescent="0.25">
      <c r="A211" s="66" t="s">
        <v>164</v>
      </c>
    </row>
    <row r="212" spans="1:5" x14ac:dyDescent="0.25">
      <c r="A212" s="66" t="s">
        <v>19</v>
      </c>
      <c r="B212" s="2">
        <v>1</v>
      </c>
      <c r="C212" s="2" t="s">
        <v>53</v>
      </c>
      <c r="D212" s="2">
        <v>2</v>
      </c>
      <c r="E212" s="65" t="s">
        <v>166</v>
      </c>
    </row>
    <row r="213" spans="1:5" x14ac:dyDescent="0.25">
      <c r="A213" s="66" t="s">
        <v>5</v>
      </c>
      <c r="B213" s="2">
        <v>2</v>
      </c>
      <c r="C213" s="2" t="s">
        <v>53</v>
      </c>
      <c r="D213" s="2">
        <v>1</v>
      </c>
      <c r="E213" s="65" t="s">
        <v>6</v>
      </c>
    </row>
    <row r="214" spans="1:5" x14ac:dyDescent="0.25">
      <c r="A214" s="66" t="s">
        <v>22</v>
      </c>
      <c r="B214" s="2">
        <v>1</v>
      </c>
      <c r="C214" s="2" t="s">
        <v>53</v>
      </c>
      <c r="D214" s="2">
        <v>0</v>
      </c>
      <c r="E214" s="65" t="s">
        <v>12</v>
      </c>
    </row>
    <row r="215" spans="1:5" x14ac:dyDescent="0.25">
      <c r="A215" s="66" t="s">
        <v>8</v>
      </c>
      <c r="B215" s="2">
        <v>2</v>
      </c>
      <c r="C215" s="2" t="s">
        <v>53</v>
      </c>
      <c r="D215" s="2">
        <v>1</v>
      </c>
      <c r="E215" s="65" t="s">
        <v>167</v>
      </c>
    </row>
    <row r="216" spans="1:5" x14ac:dyDescent="0.25">
      <c r="A216" s="66" t="s">
        <v>20</v>
      </c>
      <c r="B216" s="2">
        <v>0</v>
      </c>
      <c r="C216" s="2" t="s">
        <v>53</v>
      </c>
      <c r="D216" s="2">
        <v>1</v>
      </c>
      <c r="E216" s="65" t="s">
        <v>28</v>
      </c>
    </row>
    <row r="217" spans="1:5" x14ac:dyDescent="0.25">
      <c r="A217" s="66" t="s">
        <v>17</v>
      </c>
      <c r="B217" s="2">
        <v>2</v>
      </c>
      <c r="C217" s="2" t="s">
        <v>53</v>
      </c>
      <c r="D217" s="2">
        <v>0</v>
      </c>
      <c r="E217" s="65" t="s">
        <v>26</v>
      </c>
    </row>
    <row r="218" spans="1:5" x14ac:dyDescent="0.25">
      <c r="A218" s="66" t="s">
        <v>23</v>
      </c>
      <c r="B218" s="2">
        <v>1</v>
      </c>
      <c r="C218" s="2" t="s">
        <v>53</v>
      </c>
      <c r="D218" s="2">
        <v>0</v>
      </c>
      <c r="E218" s="65" t="s">
        <v>15</v>
      </c>
    </row>
    <row r="219" spans="1:5" x14ac:dyDescent="0.25">
      <c r="A219" s="66" t="s">
        <v>27</v>
      </c>
      <c r="B219" s="2">
        <v>1</v>
      </c>
      <c r="C219" s="2" t="s">
        <v>53</v>
      </c>
      <c r="D219" s="2">
        <v>0</v>
      </c>
      <c r="E219" s="65" t="s">
        <v>30</v>
      </c>
    </row>
    <row r="221" spans="1:5" x14ac:dyDescent="0.25">
      <c r="A221" s="66" t="s">
        <v>165</v>
      </c>
    </row>
    <row r="222" spans="1:5" x14ac:dyDescent="0.25">
      <c r="A222" s="66" t="s">
        <v>19</v>
      </c>
      <c r="B222" s="2">
        <v>1</v>
      </c>
      <c r="C222" s="2" t="s">
        <v>53</v>
      </c>
      <c r="D222" s="2">
        <v>0</v>
      </c>
      <c r="E222" s="65" t="s">
        <v>166</v>
      </c>
    </row>
    <row r="223" spans="1:5" x14ac:dyDescent="0.25">
      <c r="A223" s="66" t="s">
        <v>5</v>
      </c>
      <c r="B223" s="2">
        <v>2</v>
      </c>
      <c r="C223" s="2" t="s">
        <v>53</v>
      </c>
      <c r="D223" s="2">
        <v>1</v>
      </c>
      <c r="E223" s="65" t="s">
        <v>6</v>
      </c>
    </row>
    <row r="224" spans="1:5" x14ac:dyDescent="0.25">
      <c r="A224" s="66" t="s">
        <v>22</v>
      </c>
      <c r="B224" s="2">
        <v>1</v>
      </c>
      <c r="C224" s="2" t="s">
        <v>53</v>
      </c>
      <c r="D224" s="2">
        <v>2</v>
      </c>
      <c r="E224" s="65" t="s">
        <v>12</v>
      </c>
    </row>
    <row r="225" spans="1:5" x14ac:dyDescent="0.25">
      <c r="A225" s="66" t="s">
        <v>8</v>
      </c>
      <c r="B225" s="2">
        <v>2</v>
      </c>
      <c r="C225" s="2" t="s">
        <v>53</v>
      </c>
      <c r="D225" s="2">
        <v>1</v>
      </c>
      <c r="E225" s="65" t="s">
        <v>167</v>
      </c>
    </row>
    <row r="226" spans="1:5" x14ac:dyDescent="0.25">
      <c r="A226" s="66" t="s">
        <v>20</v>
      </c>
      <c r="B226" s="2">
        <v>1</v>
      </c>
      <c r="C226" s="2" t="s">
        <v>53</v>
      </c>
      <c r="D226" s="2">
        <v>1</v>
      </c>
      <c r="E226" s="65" t="s">
        <v>28</v>
      </c>
    </row>
    <row r="227" spans="1:5" x14ac:dyDescent="0.25">
      <c r="A227" s="66" t="s">
        <v>17</v>
      </c>
      <c r="B227" s="2">
        <v>2</v>
      </c>
      <c r="C227" s="2" t="s">
        <v>53</v>
      </c>
      <c r="D227" s="2">
        <v>0</v>
      </c>
      <c r="E227" s="65" t="s">
        <v>26</v>
      </c>
    </row>
    <row r="228" spans="1:5" x14ac:dyDescent="0.25">
      <c r="A228" s="66" t="s">
        <v>23</v>
      </c>
      <c r="B228" s="2">
        <v>1</v>
      </c>
      <c r="C228" s="2" t="s">
        <v>53</v>
      </c>
      <c r="D228" s="2">
        <v>2</v>
      </c>
      <c r="E228" s="65" t="s">
        <v>15</v>
      </c>
    </row>
    <row r="229" spans="1:5" x14ac:dyDescent="0.25">
      <c r="A229" s="66" t="s">
        <v>27</v>
      </c>
      <c r="B229" s="2">
        <v>0</v>
      </c>
      <c r="C229" s="2" t="s">
        <v>53</v>
      </c>
      <c r="D229" s="2">
        <v>1</v>
      </c>
      <c r="E229" s="65" t="s">
        <v>30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DF39F-3F82-40A1-8911-4EAF0D8AC5D2}">
  <sheetPr codeName="Planilha3"/>
  <dimension ref="A1:X46"/>
  <sheetViews>
    <sheetView showGridLines="0" zoomScale="90" zoomScaleNormal="90" workbookViewId="0">
      <selection sqref="A1:K1"/>
    </sheetView>
  </sheetViews>
  <sheetFormatPr defaultColWidth="8.85546875" defaultRowHeight="15.75" x14ac:dyDescent="0.25"/>
  <cols>
    <col min="1" max="1" width="15.42578125" style="10" bestFit="1" customWidth="1"/>
    <col min="2" max="2" width="5.28515625" style="15" customWidth="1"/>
    <col min="3" max="3" width="5.28515625" style="4" customWidth="1"/>
    <col min="4" max="4" width="5.28515625" style="15" customWidth="1"/>
    <col min="5" max="5" width="15.42578125" style="10" bestFit="1" customWidth="1"/>
    <col min="6" max="6" width="1.7109375" style="23" customWidth="1"/>
    <col min="7" max="7" width="13.42578125" style="10" bestFit="1" customWidth="1"/>
    <col min="8" max="10" width="5.28515625" style="3" customWidth="1"/>
    <col min="11" max="11" width="13.42578125" style="142" bestFit="1" customWidth="1"/>
    <col min="12" max="12" width="1.85546875" style="23" customWidth="1"/>
    <col min="13" max="14" width="1.85546875" style="3" customWidth="1"/>
    <col min="15" max="16" width="16.7109375" style="3" customWidth="1"/>
    <col min="17" max="17" width="1.85546875" style="3" customWidth="1"/>
    <col min="18" max="20" width="8.140625" style="3" customWidth="1"/>
    <col min="21" max="21" width="1.85546875" style="3" customWidth="1"/>
    <col min="22" max="24" width="8.140625" style="3" customWidth="1"/>
    <col min="25" max="16384" width="8.85546875" style="3"/>
  </cols>
  <sheetData>
    <row r="1" spans="1:24" ht="17.25" thickTop="1" thickBot="1" x14ac:dyDescent="0.3">
      <c r="A1" s="119" t="s">
        <v>40</v>
      </c>
      <c r="B1" s="120"/>
      <c r="C1" s="120"/>
      <c r="D1" s="120"/>
      <c r="E1" s="120"/>
      <c r="F1" s="120"/>
      <c r="G1" s="120"/>
      <c r="H1" s="120"/>
      <c r="I1" s="120"/>
      <c r="J1" s="120"/>
      <c r="K1" s="121"/>
    </row>
    <row r="2" spans="1:24" ht="16.5" thickTop="1" x14ac:dyDescent="0.25">
      <c r="A2" s="74" t="s">
        <v>0</v>
      </c>
      <c r="B2" s="75"/>
      <c r="C2" s="75"/>
      <c r="D2" s="75"/>
      <c r="E2" s="75"/>
      <c r="F2" s="24"/>
      <c r="G2" s="75" t="s">
        <v>36</v>
      </c>
      <c r="H2" s="75"/>
      <c r="I2" s="75"/>
      <c r="J2" s="75"/>
      <c r="K2" s="118"/>
      <c r="O2" s="122" t="s">
        <v>35</v>
      </c>
      <c r="P2" s="123"/>
      <c r="R2" s="85" t="s">
        <v>44</v>
      </c>
      <c r="S2" s="86"/>
      <c r="T2" s="87"/>
      <c r="V2" s="82" t="s">
        <v>45</v>
      </c>
      <c r="W2" s="83"/>
      <c r="X2" s="84"/>
    </row>
    <row r="3" spans="1:24" ht="18" customHeight="1" x14ac:dyDescent="0.25">
      <c r="A3" s="140" t="s">
        <v>11</v>
      </c>
      <c r="B3" s="6">
        <v>0</v>
      </c>
      <c r="C3" s="6" t="s">
        <v>33</v>
      </c>
      <c r="D3" s="6">
        <v>2</v>
      </c>
      <c r="E3" s="12" t="s">
        <v>14</v>
      </c>
      <c r="F3" s="25"/>
      <c r="G3" s="12" t="s">
        <v>4</v>
      </c>
      <c r="H3" s="6">
        <v>1</v>
      </c>
      <c r="I3" s="6" t="s">
        <v>33</v>
      </c>
      <c r="J3" s="6">
        <v>2</v>
      </c>
      <c r="K3" s="143" t="s">
        <v>22</v>
      </c>
      <c r="O3" s="5" t="s">
        <v>4</v>
      </c>
      <c r="P3" s="9" t="s">
        <v>17</v>
      </c>
      <c r="R3" s="100">
        <v>50</v>
      </c>
      <c r="S3" s="101"/>
      <c r="T3" s="102"/>
      <c r="V3" s="88">
        <v>23</v>
      </c>
      <c r="W3" s="89"/>
      <c r="X3" s="90"/>
    </row>
    <row r="4" spans="1:24" ht="18" customHeight="1" x14ac:dyDescent="0.25">
      <c r="A4" s="140" t="s">
        <v>28</v>
      </c>
      <c r="B4" s="6">
        <v>0</v>
      </c>
      <c r="C4" s="6" t="s">
        <v>33</v>
      </c>
      <c r="D4" s="6">
        <v>2</v>
      </c>
      <c r="E4" s="12" t="s">
        <v>19</v>
      </c>
      <c r="F4" s="25"/>
      <c r="G4" s="12" t="s">
        <v>15</v>
      </c>
      <c r="H4" s="6">
        <v>7</v>
      </c>
      <c r="I4" s="6" t="s">
        <v>33</v>
      </c>
      <c r="J4" s="6">
        <v>0</v>
      </c>
      <c r="K4" s="143" t="s">
        <v>56</v>
      </c>
      <c r="O4" s="5" t="s">
        <v>55</v>
      </c>
      <c r="P4" s="9" t="s">
        <v>18</v>
      </c>
      <c r="R4" s="100"/>
      <c r="S4" s="101"/>
      <c r="T4" s="102"/>
      <c r="V4" s="88"/>
      <c r="W4" s="89"/>
      <c r="X4" s="90"/>
    </row>
    <row r="5" spans="1:24" ht="18" customHeight="1" x14ac:dyDescent="0.25">
      <c r="A5" s="140" t="s">
        <v>11</v>
      </c>
      <c r="B5" s="6">
        <v>1</v>
      </c>
      <c r="C5" s="6" t="s">
        <v>33</v>
      </c>
      <c r="D5" s="6">
        <v>3</v>
      </c>
      <c r="E5" s="12" t="s">
        <v>28</v>
      </c>
      <c r="F5" s="25"/>
      <c r="G5" s="12" t="s">
        <v>22</v>
      </c>
      <c r="H5" s="6">
        <v>0</v>
      </c>
      <c r="I5" s="6" t="s">
        <v>33</v>
      </c>
      <c r="J5" s="6">
        <v>1</v>
      </c>
      <c r="K5" s="143" t="s">
        <v>56</v>
      </c>
      <c r="O5" s="5" t="s">
        <v>5</v>
      </c>
      <c r="P5" s="9" t="s">
        <v>19</v>
      </c>
      <c r="R5" s="103"/>
      <c r="S5" s="104"/>
      <c r="T5" s="105"/>
      <c r="V5" s="91"/>
      <c r="W5" s="92"/>
      <c r="X5" s="93"/>
    </row>
    <row r="6" spans="1:24" x14ac:dyDescent="0.25">
      <c r="A6" s="140" t="s">
        <v>19</v>
      </c>
      <c r="B6" s="6">
        <v>1</v>
      </c>
      <c r="C6" s="6" t="s">
        <v>33</v>
      </c>
      <c r="D6" s="6">
        <v>1</v>
      </c>
      <c r="E6" s="12" t="s">
        <v>14</v>
      </c>
      <c r="F6" s="25"/>
      <c r="G6" s="12" t="s">
        <v>15</v>
      </c>
      <c r="H6" s="6">
        <v>1</v>
      </c>
      <c r="I6" s="6" t="s">
        <v>33</v>
      </c>
      <c r="J6" s="6">
        <v>1</v>
      </c>
      <c r="K6" s="143" t="s">
        <v>4</v>
      </c>
      <c r="O6" s="5" t="s">
        <v>6</v>
      </c>
      <c r="P6" s="9" t="s">
        <v>20</v>
      </c>
    </row>
    <row r="7" spans="1:24" x14ac:dyDescent="0.25">
      <c r="A7" s="140" t="s">
        <v>19</v>
      </c>
      <c r="B7" s="6">
        <v>2</v>
      </c>
      <c r="C7" s="6" t="s">
        <v>33</v>
      </c>
      <c r="D7" s="6">
        <v>0</v>
      </c>
      <c r="E7" s="12" t="s">
        <v>11</v>
      </c>
      <c r="F7" s="25"/>
      <c r="G7" s="12" t="s">
        <v>22</v>
      </c>
      <c r="H7" s="6">
        <v>2</v>
      </c>
      <c r="I7" s="6" t="s">
        <v>33</v>
      </c>
      <c r="J7" s="6">
        <v>1</v>
      </c>
      <c r="K7" s="143" t="s">
        <v>15</v>
      </c>
      <c r="O7" s="5" t="s">
        <v>7</v>
      </c>
      <c r="P7" s="9" t="s">
        <v>21</v>
      </c>
      <c r="R7" s="112" t="s">
        <v>48</v>
      </c>
      <c r="S7" s="113"/>
      <c r="T7" s="114"/>
      <c r="V7" s="82" t="s">
        <v>46</v>
      </c>
      <c r="W7" s="83"/>
      <c r="X7" s="84"/>
    </row>
    <row r="8" spans="1:24" x14ac:dyDescent="0.25">
      <c r="A8" s="140" t="s">
        <v>14</v>
      </c>
      <c r="B8" s="6">
        <v>1</v>
      </c>
      <c r="C8" s="6" t="s">
        <v>33</v>
      </c>
      <c r="D8" s="6">
        <v>2</v>
      </c>
      <c r="E8" s="12" t="s">
        <v>28</v>
      </c>
      <c r="F8" s="25"/>
      <c r="G8" s="12" t="s">
        <v>56</v>
      </c>
      <c r="H8" s="6">
        <v>2</v>
      </c>
      <c r="I8" s="6" t="s">
        <v>33</v>
      </c>
      <c r="J8" s="6">
        <v>4</v>
      </c>
      <c r="K8" s="143" t="s">
        <v>4</v>
      </c>
      <c r="O8" s="5" t="s">
        <v>8</v>
      </c>
      <c r="P8" s="9" t="s">
        <v>22</v>
      </c>
      <c r="R8" s="100">
        <f>V16*0.5</f>
        <v>90</v>
      </c>
      <c r="S8" s="101"/>
      <c r="T8" s="102"/>
      <c r="V8" s="94">
        <v>10</v>
      </c>
      <c r="W8" s="95"/>
      <c r="X8" s="96"/>
    </row>
    <row r="9" spans="1:24" x14ac:dyDescent="0.25">
      <c r="A9" s="74" t="s">
        <v>1</v>
      </c>
      <c r="B9" s="75"/>
      <c r="C9" s="75"/>
      <c r="D9" s="75"/>
      <c r="E9" s="75"/>
      <c r="F9" s="25"/>
      <c r="G9" s="75" t="s">
        <v>37</v>
      </c>
      <c r="H9" s="75"/>
      <c r="I9" s="75"/>
      <c r="J9" s="75"/>
      <c r="K9" s="118"/>
      <c r="O9" s="5" t="s">
        <v>9</v>
      </c>
      <c r="P9" s="9" t="s">
        <v>23</v>
      </c>
      <c r="R9" s="103"/>
      <c r="S9" s="104"/>
      <c r="T9" s="105"/>
      <c r="V9" s="97"/>
      <c r="W9" s="98"/>
      <c r="X9" s="99"/>
    </row>
    <row r="10" spans="1:24" x14ac:dyDescent="0.25">
      <c r="A10" s="140" t="s">
        <v>20</v>
      </c>
      <c r="B10" s="6">
        <v>6</v>
      </c>
      <c r="C10" s="6" t="s">
        <v>33</v>
      </c>
      <c r="D10" s="6">
        <v>2</v>
      </c>
      <c r="E10" s="12" t="s">
        <v>21</v>
      </c>
      <c r="F10" s="25"/>
      <c r="G10" s="12" t="s">
        <v>23</v>
      </c>
      <c r="H10" s="6">
        <v>0</v>
      </c>
      <c r="I10" s="6" t="s">
        <v>33</v>
      </c>
      <c r="J10" s="6">
        <v>0</v>
      </c>
      <c r="K10" s="143" t="s">
        <v>12</v>
      </c>
      <c r="O10" s="5" t="s">
        <v>10</v>
      </c>
      <c r="P10" s="9" t="s">
        <v>24</v>
      </c>
    </row>
    <row r="11" spans="1:24" x14ac:dyDescent="0.25">
      <c r="A11" s="140" t="s">
        <v>16</v>
      </c>
      <c r="B11" s="6">
        <v>1</v>
      </c>
      <c r="C11" s="6" t="s">
        <v>33</v>
      </c>
      <c r="D11" s="6">
        <v>1</v>
      </c>
      <c r="E11" s="12" t="s">
        <v>34</v>
      </c>
      <c r="F11" s="25"/>
      <c r="G11" s="12" t="s">
        <v>7</v>
      </c>
      <c r="H11" s="6">
        <v>1</v>
      </c>
      <c r="I11" s="6" t="s">
        <v>33</v>
      </c>
      <c r="J11" s="6">
        <v>0</v>
      </c>
      <c r="K11" s="143" t="s">
        <v>10</v>
      </c>
      <c r="O11" s="5" t="s">
        <v>11</v>
      </c>
      <c r="P11" s="9" t="s">
        <v>25</v>
      </c>
      <c r="R11" s="109" t="s">
        <v>49</v>
      </c>
      <c r="S11" s="110"/>
      <c r="T11" s="111"/>
      <c r="V11" s="82" t="s">
        <v>47</v>
      </c>
      <c r="W11" s="83"/>
      <c r="X11" s="84"/>
    </row>
    <row r="12" spans="1:24" ht="15.75" customHeight="1" x14ac:dyDescent="0.25">
      <c r="A12" s="140" t="s">
        <v>34</v>
      </c>
      <c r="B12" s="6">
        <v>0</v>
      </c>
      <c r="C12" s="6" t="s">
        <v>33</v>
      </c>
      <c r="D12" s="6">
        <v>2</v>
      </c>
      <c r="E12" s="12" t="s">
        <v>21</v>
      </c>
      <c r="F12" s="25"/>
      <c r="G12" s="12" t="s">
        <v>7</v>
      </c>
      <c r="H12" s="6">
        <v>0</v>
      </c>
      <c r="I12" s="6" t="s">
        <v>33</v>
      </c>
      <c r="J12" s="6">
        <v>2</v>
      </c>
      <c r="K12" s="143" t="s">
        <v>23</v>
      </c>
      <c r="O12" s="5" t="s">
        <v>67</v>
      </c>
      <c r="P12" s="9" t="s">
        <v>26</v>
      </c>
      <c r="R12" s="100">
        <f>V16*0.3</f>
        <v>54</v>
      </c>
      <c r="S12" s="101"/>
      <c r="T12" s="102"/>
      <c r="V12" s="76">
        <f>V3*V8</f>
        <v>230</v>
      </c>
      <c r="W12" s="77"/>
      <c r="X12" s="78"/>
    </row>
    <row r="13" spans="1:24" ht="15.75" customHeight="1" x14ac:dyDescent="0.25">
      <c r="A13" s="140" t="s">
        <v>20</v>
      </c>
      <c r="B13" s="6">
        <v>0</v>
      </c>
      <c r="C13" s="6" t="s">
        <v>33</v>
      </c>
      <c r="D13" s="6">
        <v>0</v>
      </c>
      <c r="E13" s="12" t="s">
        <v>16</v>
      </c>
      <c r="F13" s="25"/>
      <c r="G13" s="12" t="s">
        <v>12</v>
      </c>
      <c r="H13" s="6">
        <v>4</v>
      </c>
      <c r="I13" s="6" t="s">
        <v>33</v>
      </c>
      <c r="J13" s="6">
        <v>1</v>
      </c>
      <c r="K13" s="143" t="s">
        <v>10</v>
      </c>
      <c r="O13" s="5" t="s">
        <v>56</v>
      </c>
      <c r="P13" s="9" t="s">
        <v>27</v>
      </c>
      <c r="R13" s="103"/>
      <c r="S13" s="104"/>
      <c r="T13" s="105"/>
      <c r="V13" s="79"/>
      <c r="W13" s="80"/>
      <c r="X13" s="81"/>
    </row>
    <row r="14" spans="1:24" ht="15.75" customHeight="1" x14ac:dyDescent="0.25">
      <c r="A14" s="140" t="s">
        <v>21</v>
      </c>
      <c r="B14" s="6">
        <v>0</v>
      </c>
      <c r="C14" s="6" t="s">
        <v>33</v>
      </c>
      <c r="D14" s="6">
        <v>1</v>
      </c>
      <c r="E14" s="12" t="s">
        <v>16</v>
      </c>
      <c r="F14" s="25"/>
      <c r="G14" s="12" t="s">
        <v>12</v>
      </c>
      <c r="H14" s="6">
        <v>0</v>
      </c>
      <c r="I14" s="6" t="s">
        <v>33</v>
      </c>
      <c r="J14" s="6">
        <v>0</v>
      </c>
      <c r="K14" s="143" t="s">
        <v>7</v>
      </c>
      <c r="O14" s="5" t="s">
        <v>12</v>
      </c>
      <c r="P14" s="9" t="s">
        <v>28</v>
      </c>
      <c r="V14" s="14"/>
      <c r="W14" s="14"/>
      <c r="X14" s="14"/>
    </row>
    <row r="15" spans="1:24" x14ac:dyDescent="0.25">
      <c r="A15" s="140" t="s">
        <v>34</v>
      </c>
      <c r="B15" s="6">
        <v>0</v>
      </c>
      <c r="C15" s="6" t="s">
        <v>33</v>
      </c>
      <c r="D15" s="6">
        <v>3</v>
      </c>
      <c r="E15" s="12" t="s">
        <v>20</v>
      </c>
      <c r="F15" s="25"/>
      <c r="G15" s="12" t="s">
        <v>10</v>
      </c>
      <c r="H15" s="6">
        <v>1</v>
      </c>
      <c r="I15" s="6" t="s">
        <v>33</v>
      </c>
      <c r="J15" s="6">
        <v>2</v>
      </c>
      <c r="K15" s="143" t="s">
        <v>23</v>
      </c>
      <c r="O15" s="5" t="s">
        <v>13</v>
      </c>
      <c r="P15" s="9" t="s">
        <v>29</v>
      </c>
      <c r="R15" s="106" t="s">
        <v>50</v>
      </c>
      <c r="S15" s="107"/>
      <c r="T15" s="108"/>
      <c r="V15" s="82" t="s">
        <v>51</v>
      </c>
      <c r="W15" s="83"/>
      <c r="X15" s="84"/>
    </row>
    <row r="16" spans="1:24" ht="21" customHeight="1" x14ac:dyDescent="0.25">
      <c r="A16" s="74" t="s">
        <v>2</v>
      </c>
      <c r="B16" s="75"/>
      <c r="C16" s="75"/>
      <c r="D16" s="75"/>
      <c r="E16" s="75"/>
      <c r="F16" s="25"/>
      <c r="G16" s="75" t="s">
        <v>38</v>
      </c>
      <c r="H16" s="75"/>
      <c r="I16" s="75"/>
      <c r="J16" s="75"/>
      <c r="K16" s="118"/>
      <c r="O16" s="5" t="s">
        <v>14</v>
      </c>
      <c r="P16" s="9" t="s">
        <v>30</v>
      </c>
      <c r="R16" s="100">
        <f>V16*0.2</f>
        <v>36</v>
      </c>
      <c r="S16" s="101"/>
      <c r="T16" s="102"/>
      <c r="V16" s="76">
        <f>V12-R3</f>
        <v>180</v>
      </c>
      <c r="W16" s="77"/>
      <c r="X16" s="78"/>
    </row>
    <row r="17" spans="1:24" ht="21" customHeight="1" x14ac:dyDescent="0.25">
      <c r="A17" s="140" t="s">
        <v>5</v>
      </c>
      <c r="B17" s="6">
        <v>1</v>
      </c>
      <c r="C17" s="6" t="s">
        <v>33</v>
      </c>
      <c r="D17" s="6">
        <v>2</v>
      </c>
      <c r="E17" s="12" t="s">
        <v>55</v>
      </c>
      <c r="F17" s="25"/>
      <c r="G17" s="12" t="s">
        <v>30</v>
      </c>
      <c r="H17" s="6">
        <v>1</v>
      </c>
      <c r="I17" s="6" t="s">
        <v>33</v>
      </c>
      <c r="J17" s="6">
        <v>0</v>
      </c>
      <c r="K17" s="143" t="s">
        <v>9</v>
      </c>
      <c r="O17" s="5" t="s">
        <v>15</v>
      </c>
      <c r="P17" s="9" t="s">
        <v>31</v>
      </c>
      <c r="R17" s="103"/>
      <c r="S17" s="104"/>
      <c r="T17" s="105"/>
      <c r="V17" s="79"/>
      <c r="W17" s="80"/>
      <c r="X17" s="81"/>
    </row>
    <row r="18" spans="1:24" ht="16.5" thickBot="1" x14ac:dyDescent="0.3">
      <c r="A18" s="140" t="s">
        <v>24</v>
      </c>
      <c r="B18" s="6">
        <v>0</v>
      </c>
      <c r="C18" s="6" t="s">
        <v>33</v>
      </c>
      <c r="D18" s="6">
        <v>0</v>
      </c>
      <c r="E18" s="12" t="s">
        <v>26</v>
      </c>
      <c r="F18" s="25"/>
      <c r="G18" s="12" t="s">
        <v>8</v>
      </c>
      <c r="H18" s="6">
        <v>2</v>
      </c>
      <c r="I18" s="6" t="s">
        <v>33</v>
      </c>
      <c r="J18" s="6">
        <v>0</v>
      </c>
      <c r="K18" s="143" t="s">
        <v>29</v>
      </c>
      <c r="O18" s="7" t="s">
        <v>16</v>
      </c>
      <c r="P18" s="11" t="s">
        <v>32</v>
      </c>
    </row>
    <row r="19" spans="1:24" ht="16.5" thickTop="1" x14ac:dyDescent="0.25">
      <c r="A19" s="140" t="s">
        <v>26</v>
      </c>
      <c r="B19" s="6">
        <v>2</v>
      </c>
      <c r="C19" s="6" t="s">
        <v>33</v>
      </c>
      <c r="D19" s="6">
        <v>0</v>
      </c>
      <c r="E19" s="12" t="s">
        <v>55</v>
      </c>
      <c r="F19" s="25"/>
      <c r="G19" s="12" t="s">
        <v>9</v>
      </c>
      <c r="H19" s="6">
        <v>3</v>
      </c>
      <c r="I19" s="6" t="s">
        <v>33</v>
      </c>
      <c r="J19" s="6">
        <v>3</v>
      </c>
      <c r="K19" s="143" t="s">
        <v>29</v>
      </c>
    </row>
    <row r="20" spans="1:24" ht="18.75" x14ac:dyDescent="0.25">
      <c r="A20" s="140" t="s">
        <v>5</v>
      </c>
      <c r="B20" s="6">
        <v>2</v>
      </c>
      <c r="C20" s="6" t="s">
        <v>33</v>
      </c>
      <c r="D20" s="6">
        <v>0</v>
      </c>
      <c r="E20" s="12" t="s">
        <v>24</v>
      </c>
      <c r="F20" s="25"/>
      <c r="G20" s="12" t="s">
        <v>8</v>
      </c>
      <c r="H20" s="6">
        <v>1</v>
      </c>
      <c r="I20" s="6" t="s">
        <v>33</v>
      </c>
      <c r="J20" s="6">
        <v>0</v>
      </c>
      <c r="K20" s="143" t="s">
        <v>30</v>
      </c>
      <c r="O20" s="116" t="s">
        <v>125</v>
      </c>
      <c r="P20" s="116"/>
      <c r="Q20" s="116"/>
      <c r="R20" s="115"/>
      <c r="S20" s="115"/>
      <c r="T20" s="115"/>
    </row>
    <row r="21" spans="1:24" ht="18.75" x14ac:dyDescent="0.25">
      <c r="A21" s="140" t="s">
        <v>26</v>
      </c>
      <c r="B21" s="6">
        <v>0</v>
      </c>
      <c r="C21" s="6" t="s">
        <v>33</v>
      </c>
      <c r="D21" s="6">
        <v>2</v>
      </c>
      <c r="E21" s="12" t="s">
        <v>5</v>
      </c>
      <c r="F21" s="25"/>
      <c r="G21" s="12" t="s">
        <v>9</v>
      </c>
      <c r="H21" s="6">
        <v>1</v>
      </c>
      <c r="I21" s="6" t="s">
        <v>33</v>
      </c>
      <c r="J21" s="6">
        <v>0</v>
      </c>
      <c r="K21" s="143" t="s">
        <v>8</v>
      </c>
      <c r="O21" s="116" t="s">
        <v>126</v>
      </c>
      <c r="P21" s="116"/>
      <c r="Q21" s="116"/>
      <c r="R21" s="117"/>
      <c r="S21" s="117"/>
      <c r="T21" s="117"/>
    </row>
    <row r="22" spans="1:24" x14ac:dyDescent="0.25">
      <c r="A22" s="140" t="s">
        <v>55</v>
      </c>
      <c r="B22" s="6">
        <v>1</v>
      </c>
      <c r="C22" s="6" t="s">
        <v>33</v>
      </c>
      <c r="D22" s="6">
        <v>2</v>
      </c>
      <c r="E22" s="12" t="s">
        <v>24</v>
      </c>
      <c r="F22" s="25"/>
      <c r="G22" s="12" t="s">
        <v>29</v>
      </c>
      <c r="H22" s="6">
        <v>2</v>
      </c>
      <c r="I22" s="6" t="s">
        <v>33</v>
      </c>
      <c r="J22" s="6">
        <v>3</v>
      </c>
      <c r="K22" s="143" t="s">
        <v>30</v>
      </c>
    </row>
    <row r="23" spans="1:24" x14ac:dyDescent="0.25">
      <c r="A23" s="74" t="s">
        <v>3</v>
      </c>
      <c r="B23" s="75"/>
      <c r="C23" s="75"/>
      <c r="D23" s="75"/>
      <c r="E23" s="75"/>
      <c r="F23" s="25"/>
      <c r="G23" s="75" t="s">
        <v>39</v>
      </c>
      <c r="H23" s="75"/>
      <c r="I23" s="75"/>
      <c r="J23" s="75"/>
      <c r="K23" s="118"/>
    </row>
    <row r="24" spans="1:24" x14ac:dyDescent="0.25">
      <c r="A24" s="140" t="s">
        <v>13</v>
      </c>
      <c r="B24" s="6">
        <v>0</v>
      </c>
      <c r="C24" s="6" t="s">
        <v>33</v>
      </c>
      <c r="D24" s="6">
        <v>0</v>
      </c>
      <c r="E24" s="12" t="s">
        <v>31</v>
      </c>
      <c r="F24" s="25"/>
      <c r="G24" s="12" t="s">
        <v>32</v>
      </c>
      <c r="H24" s="6">
        <v>0</v>
      </c>
      <c r="I24" s="6" t="s">
        <v>33</v>
      </c>
      <c r="J24" s="6">
        <v>0</v>
      </c>
      <c r="K24" s="143" t="s">
        <v>67</v>
      </c>
    </row>
    <row r="25" spans="1:24" x14ac:dyDescent="0.25">
      <c r="A25" s="140" t="s">
        <v>17</v>
      </c>
      <c r="B25" s="6">
        <v>4</v>
      </c>
      <c r="C25" s="6" t="s">
        <v>33</v>
      </c>
      <c r="D25" s="6">
        <v>1</v>
      </c>
      <c r="E25" s="12" t="s">
        <v>6</v>
      </c>
      <c r="F25" s="25"/>
      <c r="G25" s="12" t="s">
        <v>27</v>
      </c>
      <c r="H25" s="6">
        <v>3</v>
      </c>
      <c r="I25" s="6" t="s">
        <v>33</v>
      </c>
      <c r="J25" s="6">
        <v>2</v>
      </c>
      <c r="K25" s="143" t="s">
        <v>18</v>
      </c>
    </row>
    <row r="26" spans="1:24" x14ac:dyDescent="0.25">
      <c r="A26" s="140" t="s">
        <v>31</v>
      </c>
      <c r="B26" s="6">
        <v>0</v>
      </c>
      <c r="C26" s="6" t="s">
        <v>33</v>
      </c>
      <c r="D26" s="6">
        <v>1</v>
      </c>
      <c r="E26" s="12" t="s">
        <v>6</v>
      </c>
      <c r="F26" s="25"/>
      <c r="G26" s="12" t="s">
        <v>67</v>
      </c>
      <c r="H26" s="6">
        <v>2</v>
      </c>
      <c r="I26" s="6" t="s">
        <v>33</v>
      </c>
      <c r="J26" s="6">
        <v>3</v>
      </c>
      <c r="K26" s="143" t="s">
        <v>18</v>
      </c>
    </row>
    <row r="27" spans="1:24" x14ac:dyDescent="0.25">
      <c r="A27" s="140" t="s">
        <v>17</v>
      </c>
      <c r="B27" s="6">
        <v>2</v>
      </c>
      <c r="C27" s="6" t="s">
        <v>33</v>
      </c>
      <c r="D27" s="6">
        <v>1</v>
      </c>
      <c r="E27" s="12" t="s">
        <v>13</v>
      </c>
      <c r="F27" s="25"/>
      <c r="G27" s="12" t="s">
        <v>27</v>
      </c>
      <c r="H27" s="6">
        <v>2</v>
      </c>
      <c r="I27" s="6" t="s">
        <v>33</v>
      </c>
      <c r="J27" s="6">
        <v>0</v>
      </c>
      <c r="K27" s="143" t="s">
        <v>32</v>
      </c>
    </row>
    <row r="28" spans="1:24" x14ac:dyDescent="0.25">
      <c r="A28" s="140" t="s">
        <v>31</v>
      </c>
      <c r="B28" s="6">
        <v>1</v>
      </c>
      <c r="C28" s="6" t="s">
        <v>33</v>
      </c>
      <c r="D28" s="6">
        <v>0</v>
      </c>
      <c r="E28" s="12" t="s">
        <v>17</v>
      </c>
      <c r="F28" s="25"/>
      <c r="G28" s="12" t="s">
        <v>67</v>
      </c>
      <c r="H28" s="6">
        <v>2</v>
      </c>
      <c r="I28" s="6" t="s">
        <v>33</v>
      </c>
      <c r="J28" s="6">
        <v>1</v>
      </c>
      <c r="K28" s="143" t="s">
        <v>27</v>
      </c>
    </row>
    <row r="29" spans="1:24" ht="16.5" thickBot="1" x14ac:dyDescent="0.3">
      <c r="A29" s="141" t="s">
        <v>6</v>
      </c>
      <c r="B29" s="8">
        <v>1</v>
      </c>
      <c r="C29" s="8" t="s">
        <v>33</v>
      </c>
      <c r="D29" s="8">
        <v>0</v>
      </c>
      <c r="E29" s="13" t="s">
        <v>13</v>
      </c>
      <c r="F29" s="26"/>
      <c r="G29" s="13" t="s">
        <v>18</v>
      </c>
      <c r="H29" s="8">
        <v>0</v>
      </c>
      <c r="I29" s="8" t="s">
        <v>33</v>
      </c>
      <c r="J29" s="8">
        <v>2</v>
      </c>
      <c r="K29" s="144" t="s">
        <v>32</v>
      </c>
    </row>
    <row r="30" spans="1:24" ht="16.5" thickTop="1" x14ac:dyDescent="0.25"/>
    <row r="31" spans="1:24" x14ac:dyDescent="0.25">
      <c r="A31" s="74" t="s">
        <v>53</v>
      </c>
      <c r="B31" s="75"/>
      <c r="C31" s="75"/>
      <c r="D31" s="75"/>
      <c r="E31" s="75"/>
      <c r="G31" s="74" t="s">
        <v>140</v>
      </c>
      <c r="H31" s="75"/>
      <c r="I31" s="75"/>
      <c r="J31" s="75"/>
      <c r="K31" s="75"/>
    </row>
    <row r="32" spans="1:24" x14ac:dyDescent="0.25">
      <c r="A32" s="140" t="s">
        <v>19</v>
      </c>
      <c r="B32" s="6">
        <v>3</v>
      </c>
      <c r="C32" s="6" t="s">
        <v>53</v>
      </c>
      <c r="D32" s="6">
        <v>1</v>
      </c>
      <c r="E32" s="138" t="s">
        <v>166</v>
      </c>
      <c r="G32" s="140"/>
      <c r="H32" s="6"/>
      <c r="I32" s="6"/>
      <c r="J32" s="6"/>
      <c r="K32" s="138"/>
    </row>
    <row r="33" spans="1:11" x14ac:dyDescent="0.25">
      <c r="A33" s="140" t="s">
        <v>5</v>
      </c>
      <c r="B33" s="6"/>
      <c r="C33" s="6" t="s">
        <v>53</v>
      </c>
      <c r="D33" s="6"/>
      <c r="E33" s="138" t="s">
        <v>6</v>
      </c>
      <c r="F33" s="23" t="s">
        <v>68</v>
      </c>
      <c r="G33" s="140"/>
      <c r="H33" s="6"/>
      <c r="I33" s="6"/>
      <c r="J33" s="6"/>
      <c r="K33" s="138"/>
    </row>
    <row r="34" spans="1:11" x14ac:dyDescent="0.25">
      <c r="A34" s="140" t="s">
        <v>22</v>
      </c>
      <c r="B34" s="6"/>
      <c r="C34" s="6" t="s">
        <v>53</v>
      </c>
      <c r="D34" s="6"/>
      <c r="E34" s="138" t="s">
        <v>12</v>
      </c>
      <c r="F34" s="23" t="s">
        <v>68</v>
      </c>
    </row>
    <row r="35" spans="1:11" x14ac:dyDescent="0.25">
      <c r="A35" s="140" t="s">
        <v>8</v>
      </c>
      <c r="B35" s="6"/>
      <c r="C35" s="6" t="s">
        <v>53</v>
      </c>
      <c r="D35" s="6"/>
      <c r="E35" s="138" t="s">
        <v>167</v>
      </c>
      <c r="F35" s="23" t="s">
        <v>68</v>
      </c>
    </row>
    <row r="36" spans="1:11" x14ac:dyDescent="0.25">
      <c r="A36" s="140" t="s">
        <v>20</v>
      </c>
      <c r="B36" s="6"/>
      <c r="C36" s="6" t="s">
        <v>53</v>
      </c>
      <c r="D36" s="6"/>
      <c r="E36" s="138" t="s">
        <v>28</v>
      </c>
      <c r="F36" s="23" t="s">
        <v>68</v>
      </c>
      <c r="G36" s="74" t="s">
        <v>141</v>
      </c>
      <c r="H36" s="75"/>
      <c r="I36" s="75"/>
      <c r="J36" s="75"/>
      <c r="K36" s="75"/>
    </row>
    <row r="37" spans="1:11" x14ac:dyDescent="0.25">
      <c r="A37" s="140" t="s">
        <v>17</v>
      </c>
      <c r="B37" s="6"/>
      <c r="C37" s="6" t="s">
        <v>53</v>
      </c>
      <c r="D37" s="6"/>
      <c r="E37" s="138" t="s">
        <v>26</v>
      </c>
      <c r="F37" s="23" t="s">
        <v>68</v>
      </c>
      <c r="G37" s="140"/>
      <c r="H37" s="6"/>
      <c r="I37" s="6"/>
      <c r="J37" s="6"/>
      <c r="K37" s="138"/>
    </row>
    <row r="38" spans="1:11" x14ac:dyDescent="0.25">
      <c r="A38" s="140" t="s">
        <v>23</v>
      </c>
      <c r="B38" s="6"/>
      <c r="C38" s="6" t="s">
        <v>53</v>
      </c>
      <c r="D38" s="6"/>
      <c r="E38" s="138" t="s">
        <v>15</v>
      </c>
      <c r="F38" s="23" t="s">
        <v>68</v>
      </c>
    </row>
    <row r="39" spans="1:11" ht="16.5" thickBot="1" x14ac:dyDescent="0.3">
      <c r="A39" s="141" t="s">
        <v>27</v>
      </c>
      <c r="B39" s="8"/>
      <c r="C39" s="6" t="s">
        <v>53</v>
      </c>
      <c r="D39" s="8"/>
      <c r="E39" s="139" t="s">
        <v>30</v>
      </c>
      <c r="F39" s="23" t="s">
        <v>68</v>
      </c>
    </row>
    <row r="40" spans="1:11" ht="16.5" thickTop="1" x14ac:dyDescent="0.25">
      <c r="G40" s="74" t="s">
        <v>142</v>
      </c>
      <c r="H40" s="75"/>
      <c r="I40" s="75"/>
      <c r="J40" s="75"/>
      <c r="K40" s="75"/>
    </row>
    <row r="41" spans="1:11" x14ac:dyDescent="0.25">
      <c r="A41" s="74" t="s">
        <v>139</v>
      </c>
      <c r="B41" s="75"/>
      <c r="C41" s="75"/>
      <c r="D41" s="75"/>
      <c r="E41" s="75"/>
      <c r="G41" s="140"/>
      <c r="H41" s="6"/>
      <c r="I41" s="6"/>
      <c r="J41" s="6"/>
      <c r="K41" s="138"/>
    </row>
    <row r="42" spans="1:11" x14ac:dyDescent="0.25">
      <c r="A42" s="140"/>
      <c r="B42" s="6"/>
      <c r="C42" s="6"/>
      <c r="D42" s="6"/>
      <c r="E42" s="12"/>
    </row>
    <row r="43" spans="1:11" x14ac:dyDescent="0.25">
      <c r="A43" s="140"/>
      <c r="B43" s="6"/>
      <c r="C43" s="6"/>
      <c r="D43" s="6"/>
      <c r="E43" s="12"/>
    </row>
    <row r="44" spans="1:11" x14ac:dyDescent="0.25">
      <c r="A44" s="140"/>
      <c r="B44" s="6"/>
      <c r="C44" s="6"/>
      <c r="D44" s="6"/>
      <c r="E44" s="12"/>
    </row>
    <row r="45" spans="1:11" ht="16.5" thickBot="1" x14ac:dyDescent="0.3">
      <c r="A45" s="141"/>
      <c r="B45" s="8"/>
      <c r="C45" s="8"/>
      <c r="D45" s="8"/>
      <c r="E45" s="13"/>
    </row>
    <row r="46" spans="1:11" ht="16.5" thickTop="1" x14ac:dyDescent="0.25"/>
  </sheetData>
  <mergeCells count="35">
    <mergeCell ref="R20:T20"/>
    <mergeCell ref="O21:Q21"/>
    <mergeCell ref="R21:T21"/>
    <mergeCell ref="G23:K23"/>
    <mergeCell ref="A1:K1"/>
    <mergeCell ref="O2:P2"/>
    <mergeCell ref="A2:E2"/>
    <mergeCell ref="A9:E9"/>
    <mergeCell ref="A16:E16"/>
    <mergeCell ref="A23:E23"/>
    <mergeCell ref="G2:K2"/>
    <mergeCell ref="G9:K9"/>
    <mergeCell ref="G16:K16"/>
    <mergeCell ref="O20:Q20"/>
    <mergeCell ref="R16:T17"/>
    <mergeCell ref="V16:X17"/>
    <mergeCell ref="V2:X2"/>
    <mergeCell ref="V7:X7"/>
    <mergeCell ref="R2:T2"/>
    <mergeCell ref="V12:X13"/>
    <mergeCell ref="V3:X5"/>
    <mergeCell ref="V15:X15"/>
    <mergeCell ref="V8:X9"/>
    <mergeCell ref="R3:T5"/>
    <mergeCell ref="V11:X11"/>
    <mergeCell ref="R15:T15"/>
    <mergeCell ref="R11:T11"/>
    <mergeCell ref="R7:T7"/>
    <mergeCell ref="R12:T13"/>
    <mergeCell ref="R8:T9"/>
    <mergeCell ref="A31:E31"/>
    <mergeCell ref="A41:E41"/>
    <mergeCell ref="G31:K31"/>
    <mergeCell ref="G36:K36"/>
    <mergeCell ref="G40:K40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48EBF-81CA-4195-8FA5-737E76FFE283}">
  <sheetPr codeName="Planilha6">
    <tabColor theme="8" tint="-0.249977111117893"/>
  </sheetPr>
  <dimension ref="A1:AE66"/>
  <sheetViews>
    <sheetView zoomScale="85" zoomScaleNormal="85" workbookViewId="0">
      <pane xSplit="15" ySplit="16" topLeftCell="P18" activePane="bottomRight" state="frozen"/>
      <selection pane="topRight" activeCell="P1" sqref="P1"/>
      <selection pane="bottomLeft" activeCell="A17" sqref="A17"/>
      <selection pane="bottomRight" activeCell="Q25" sqref="Q25:U25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9" width="2.7109375" style="17" customWidth="1"/>
    <col min="10" max="10" width="2.7109375" style="21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140625" style="54" customWidth="1"/>
    <col min="32" max="42" width="5.140625" style="17" customWidth="1"/>
    <col min="43" max="16384" width="9.140625" style="17"/>
  </cols>
  <sheetData>
    <row r="1" spans="1:31" x14ac:dyDescent="0.25">
      <c r="A1" s="127" t="s">
        <v>58</v>
      </c>
      <c r="B1" s="127"/>
      <c r="C1" s="127"/>
      <c r="D1" s="127"/>
      <c r="E1" s="127"/>
      <c r="K1" s="128" t="s">
        <v>58</v>
      </c>
      <c r="L1" s="128"/>
      <c r="M1" s="128"/>
      <c r="N1" s="128"/>
      <c r="O1" s="128"/>
    </row>
    <row r="2" spans="1:31" x14ac:dyDescent="0.25">
      <c r="A2" s="18" t="s">
        <v>11</v>
      </c>
      <c r="B2" s="16">
        <v>1</v>
      </c>
      <c r="C2" s="16" t="s">
        <v>53</v>
      </c>
      <c r="D2" s="16">
        <v>1</v>
      </c>
      <c r="E2" s="19" t="s">
        <v>14</v>
      </c>
      <c r="H2" s="16">
        <v>0</v>
      </c>
      <c r="J2" s="21" t="str">
        <f>IF(Tabela!F3="","",Tabela!F3)</f>
        <v/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31" t="s">
        <v>70</v>
      </c>
      <c r="X2" s="131"/>
      <c r="Y2" s="131"/>
      <c r="Z2" s="131"/>
      <c r="AA2" s="131"/>
      <c r="AB2" s="131"/>
      <c r="AC2" s="131"/>
      <c r="AD2" s="131"/>
      <c r="AE2" s="131"/>
    </row>
    <row r="3" spans="1:31" x14ac:dyDescent="0.25">
      <c r="A3" s="18" t="s">
        <v>28</v>
      </c>
      <c r="B3" s="16">
        <v>1</v>
      </c>
      <c r="C3" s="16" t="s">
        <v>53</v>
      </c>
      <c r="D3" s="16">
        <v>2</v>
      </c>
      <c r="E3" s="19" t="s">
        <v>19</v>
      </c>
      <c r="H3" s="16">
        <v>15</v>
      </c>
      <c r="J3" s="21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31"/>
      <c r="X3" s="131"/>
      <c r="Y3" s="131"/>
      <c r="Z3" s="131"/>
      <c r="AA3" s="131"/>
      <c r="AB3" s="131"/>
      <c r="AC3" s="131"/>
      <c r="AD3" s="131"/>
      <c r="AE3" s="131"/>
    </row>
    <row r="4" spans="1:31" x14ac:dyDescent="0.25">
      <c r="A4" s="18" t="s">
        <v>11</v>
      </c>
      <c r="B4" s="16">
        <v>1</v>
      </c>
      <c r="C4" s="16" t="s">
        <v>53</v>
      </c>
      <c r="D4" s="16">
        <v>1</v>
      </c>
      <c r="E4" s="19" t="s">
        <v>28</v>
      </c>
      <c r="H4" s="16">
        <v>5</v>
      </c>
      <c r="J4" s="21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31"/>
      <c r="X4" s="131"/>
      <c r="Y4" s="131"/>
      <c r="Z4" s="131"/>
      <c r="AA4" s="131"/>
      <c r="AB4" s="131"/>
      <c r="AC4" s="131"/>
      <c r="AD4" s="131"/>
      <c r="AE4" s="131"/>
    </row>
    <row r="5" spans="1:31" x14ac:dyDescent="0.25">
      <c r="A5" s="18" t="s">
        <v>19</v>
      </c>
      <c r="B5" s="16">
        <v>2</v>
      </c>
      <c r="C5" s="16" t="s">
        <v>53</v>
      </c>
      <c r="D5" s="16">
        <v>1</v>
      </c>
      <c r="E5" s="19" t="s">
        <v>14</v>
      </c>
      <c r="H5" s="16">
        <v>5</v>
      </c>
      <c r="J5" s="21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31"/>
      <c r="X5" s="131"/>
      <c r="Y5" s="131"/>
      <c r="Z5" s="131"/>
      <c r="AA5" s="131"/>
      <c r="AB5" s="131"/>
      <c r="AC5" s="131"/>
      <c r="AD5" s="131"/>
      <c r="AE5" s="131"/>
    </row>
    <row r="6" spans="1:31" x14ac:dyDescent="0.25">
      <c r="A6" s="18" t="s">
        <v>19</v>
      </c>
      <c r="B6" s="16">
        <v>2</v>
      </c>
      <c r="C6" s="16" t="s">
        <v>53</v>
      </c>
      <c r="D6" s="16">
        <v>1</v>
      </c>
      <c r="E6" s="19" t="s">
        <v>11</v>
      </c>
      <c r="H6" s="16">
        <v>15</v>
      </c>
      <c r="J6" s="21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31"/>
      <c r="X6" s="131"/>
      <c r="Y6" s="131"/>
      <c r="Z6" s="131"/>
      <c r="AA6" s="131"/>
      <c r="AB6" s="131"/>
      <c r="AC6" s="131"/>
      <c r="AD6" s="131"/>
      <c r="AE6" s="131"/>
    </row>
    <row r="7" spans="1:31" x14ac:dyDescent="0.25">
      <c r="A7" s="18" t="s">
        <v>14</v>
      </c>
      <c r="B7" s="16">
        <v>1</v>
      </c>
      <c r="C7" s="16" t="s">
        <v>53</v>
      </c>
      <c r="D7" s="16">
        <v>2</v>
      </c>
      <c r="E7" s="19" t="s">
        <v>28</v>
      </c>
      <c r="H7" s="16">
        <v>25</v>
      </c>
      <c r="J7" s="21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27" t="s">
        <v>65</v>
      </c>
      <c r="B8" s="127"/>
      <c r="C8" s="127"/>
      <c r="D8" s="127"/>
      <c r="E8" s="127"/>
      <c r="J8" s="21" t="str">
        <f>IF(Tabela!F9="","",Tabela!F9)</f>
        <v/>
      </c>
      <c r="K8" s="128" t="s">
        <v>65</v>
      </c>
      <c r="L8" s="128"/>
      <c r="M8" s="128"/>
      <c r="N8" s="128"/>
      <c r="O8" s="128"/>
    </row>
    <row r="9" spans="1:31" x14ac:dyDescent="0.25">
      <c r="A9" s="18" t="s">
        <v>20</v>
      </c>
      <c r="B9" s="16">
        <v>2</v>
      </c>
      <c r="C9" s="16" t="s">
        <v>53</v>
      </c>
      <c r="D9" s="16">
        <v>1</v>
      </c>
      <c r="E9" s="19" t="s">
        <v>21</v>
      </c>
      <c r="H9" s="16">
        <v>10</v>
      </c>
      <c r="J9" s="21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29" t="s">
        <v>66</v>
      </c>
      <c r="R9" s="129"/>
      <c r="S9" s="129"/>
      <c r="T9" s="129"/>
      <c r="U9" s="129"/>
      <c r="W9" s="68" t="s">
        <v>124</v>
      </c>
      <c r="X9" s="68"/>
      <c r="Y9" s="68"/>
      <c r="Z9" s="68"/>
      <c r="AA9" s="68"/>
      <c r="AB9" s="68"/>
      <c r="AC9" s="68"/>
      <c r="AD9" s="68"/>
      <c r="AE9" s="68"/>
    </row>
    <row r="10" spans="1:31" x14ac:dyDescent="0.25">
      <c r="A10" s="18" t="s">
        <v>54</v>
      </c>
      <c r="B10" s="16">
        <v>1</v>
      </c>
      <c r="C10" s="16" t="s">
        <v>53</v>
      </c>
      <c r="D10" s="16">
        <v>1</v>
      </c>
      <c r="E10" s="19" t="s">
        <v>34</v>
      </c>
      <c r="H10" s="16">
        <v>25</v>
      </c>
      <c r="J10" s="21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29"/>
      <c r="R10" s="129"/>
      <c r="S10" s="129"/>
      <c r="T10" s="129"/>
      <c r="U10" s="129"/>
      <c r="W10" s="68" t="s">
        <v>14</v>
      </c>
      <c r="X10" s="68"/>
      <c r="Y10" s="68"/>
      <c r="Z10" s="54">
        <v>1</v>
      </c>
      <c r="AB10" s="54">
        <v>2</v>
      </c>
      <c r="AC10" s="68" t="s">
        <v>28</v>
      </c>
      <c r="AD10" s="68"/>
      <c r="AE10" s="68"/>
    </row>
    <row r="11" spans="1:31" ht="15" customHeight="1" x14ac:dyDescent="0.25">
      <c r="A11" s="18" t="s">
        <v>34</v>
      </c>
      <c r="B11" s="16">
        <v>0</v>
      </c>
      <c r="C11" s="16" t="s">
        <v>53</v>
      </c>
      <c r="D11" s="16">
        <v>0</v>
      </c>
      <c r="E11" s="19" t="s">
        <v>21</v>
      </c>
      <c r="H11" s="16">
        <v>5</v>
      </c>
      <c r="J11" s="21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30">
        <f>SUM(H2:H66)</f>
        <v>465</v>
      </c>
      <c r="R11" s="130"/>
      <c r="S11" s="130"/>
      <c r="T11" s="130"/>
      <c r="U11" s="130"/>
      <c r="W11" s="68" t="s">
        <v>16</v>
      </c>
      <c r="X11" s="68"/>
      <c r="Y11" s="68"/>
      <c r="Z11" s="54">
        <v>1</v>
      </c>
      <c r="AB11" s="54">
        <v>1</v>
      </c>
      <c r="AC11" s="68" t="s">
        <v>34</v>
      </c>
      <c r="AD11" s="68"/>
      <c r="AE11" s="68"/>
    </row>
    <row r="12" spans="1:31" ht="15" customHeight="1" x14ac:dyDescent="0.25">
      <c r="A12" s="18" t="s">
        <v>20</v>
      </c>
      <c r="B12" s="16">
        <v>2</v>
      </c>
      <c r="C12" s="16" t="s">
        <v>53</v>
      </c>
      <c r="D12" s="16">
        <v>0</v>
      </c>
      <c r="E12" s="19" t="s">
        <v>54</v>
      </c>
      <c r="H12" s="16">
        <v>5</v>
      </c>
      <c r="J12" s="21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30"/>
      <c r="R12" s="130"/>
      <c r="S12" s="130"/>
      <c r="T12" s="130"/>
      <c r="U12" s="130"/>
      <c r="W12" s="68" t="s">
        <v>5</v>
      </c>
      <c r="X12" s="68"/>
      <c r="Y12" s="68"/>
      <c r="Z12" s="54">
        <v>2</v>
      </c>
      <c r="AB12" s="54">
        <v>0</v>
      </c>
      <c r="AC12" s="68" t="s">
        <v>24</v>
      </c>
      <c r="AD12" s="68"/>
      <c r="AE12" s="68"/>
    </row>
    <row r="13" spans="1:31" ht="15" customHeight="1" x14ac:dyDescent="0.25">
      <c r="A13" s="18" t="s">
        <v>21</v>
      </c>
      <c r="B13" s="16">
        <v>1</v>
      </c>
      <c r="C13" s="16" t="s">
        <v>53</v>
      </c>
      <c r="D13" s="16">
        <v>1</v>
      </c>
      <c r="E13" s="19" t="s">
        <v>54</v>
      </c>
      <c r="H13" s="16">
        <v>5</v>
      </c>
      <c r="J13" s="21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30"/>
      <c r="R13" s="130"/>
      <c r="S13" s="130"/>
      <c r="T13" s="130"/>
      <c r="U13" s="130"/>
      <c r="W13" s="68" t="s">
        <v>55</v>
      </c>
      <c r="X13" s="68"/>
      <c r="Y13" s="68"/>
      <c r="Z13" s="54">
        <v>1</v>
      </c>
      <c r="AB13" s="54">
        <v>2</v>
      </c>
      <c r="AC13" s="68" t="s">
        <v>24</v>
      </c>
      <c r="AD13" s="68"/>
      <c r="AE13" s="68"/>
    </row>
    <row r="14" spans="1:31" ht="15" customHeight="1" x14ac:dyDescent="0.25">
      <c r="A14" s="18" t="s">
        <v>34</v>
      </c>
      <c r="B14" s="16">
        <v>1</v>
      </c>
      <c r="C14" s="16" t="s">
        <v>53</v>
      </c>
      <c r="D14" s="16">
        <v>2</v>
      </c>
      <c r="E14" s="19" t="s">
        <v>20</v>
      </c>
      <c r="H14" s="16">
        <v>10</v>
      </c>
      <c r="J14" s="21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30"/>
      <c r="R14" s="130"/>
      <c r="S14" s="130"/>
      <c r="T14" s="130"/>
      <c r="U14" s="130"/>
      <c r="W14" s="68" t="s">
        <v>15</v>
      </c>
      <c r="X14" s="68"/>
      <c r="Y14" s="68"/>
      <c r="Z14" s="54">
        <v>1</v>
      </c>
      <c r="AB14" s="54">
        <v>1</v>
      </c>
      <c r="AC14" s="68" t="s">
        <v>4</v>
      </c>
      <c r="AD14" s="68"/>
      <c r="AE14" s="68"/>
    </row>
    <row r="15" spans="1:31" ht="15" customHeight="1" x14ac:dyDescent="0.25">
      <c r="A15" s="127" t="s">
        <v>64</v>
      </c>
      <c r="B15" s="127"/>
      <c r="C15" s="127"/>
      <c r="D15" s="127"/>
      <c r="E15" s="127"/>
      <c r="J15" s="21" t="str">
        <f>IF(Tabela!F16="","",Tabela!F16)</f>
        <v/>
      </c>
      <c r="K15" s="128" t="s">
        <v>64</v>
      </c>
      <c r="L15" s="128"/>
      <c r="M15" s="128"/>
      <c r="N15" s="128"/>
      <c r="O15" s="128"/>
      <c r="Q15" s="130"/>
      <c r="R15" s="130"/>
      <c r="S15" s="130"/>
      <c r="T15" s="130"/>
      <c r="U15" s="130"/>
      <c r="W15" s="68" t="s">
        <v>10</v>
      </c>
      <c r="X15" s="68"/>
      <c r="Y15" s="68"/>
      <c r="Z15" s="54">
        <v>1</v>
      </c>
      <c r="AB15" s="54">
        <v>2</v>
      </c>
      <c r="AC15" s="68" t="s">
        <v>23</v>
      </c>
      <c r="AD15" s="68"/>
      <c r="AE15" s="68"/>
    </row>
    <row r="16" spans="1:31" x14ac:dyDescent="0.25">
      <c r="A16" s="18" t="s">
        <v>5</v>
      </c>
      <c r="B16" s="16">
        <v>3</v>
      </c>
      <c r="C16" s="16" t="s">
        <v>53</v>
      </c>
      <c r="D16" s="16">
        <v>1</v>
      </c>
      <c r="E16" s="19" t="s">
        <v>55</v>
      </c>
      <c r="H16" s="16">
        <v>0</v>
      </c>
      <c r="J16" s="21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68" t="s">
        <v>8</v>
      </c>
      <c r="X16" s="68"/>
      <c r="Y16" s="68"/>
      <c r="Z16" s="54">
        <v>2</v>
      </c>
      <c r="AB16" s="54">
        <v>0</v>
      </c>
      <c r="AC16" s="68" t="s">
        <v>29</v>
      </c>
      <c r="AD16" s="68"/>
      <c r="AE16" s="68"/>
    </row>
    <row r="17" spans="1:31" x14ac:dyDescent="0.25">
      <c r="A17" s="18" t="s">
        <v>24</v>
      </c>
      <c r="B17" s="16">
        <v>1</v>
      </c>
      <c r="C17" s="16" t="s">
        <v>53</v>
      </c>
      <c r="D17" s="16">
        <v>1</v>
      </c>
      <c r="E17" s="19" t="s">
        <v>26</v>
      </c>
      <c r="H17" s="16">
        <v>10</v>
      </c>
      <c r="J17" s="21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68"/>
      <c r="X17" s="68"/>
      <c r="Y17" s="68"/>
      <c r="AC17" s="68"/>
      <c r="AD17" s="68"/>
      <c r="AE17" s="68"/>
    </row>
    <row r="18" spans="1:31" x14ac:dyDescent="0.25">
      <c r="A18" s="18" t="s">
        <v>26</v>
      </c>
      <c r="B18" s="16">
        <v>2</v>
      </c>
      <c r="C18" s="16" t="s">
        <v>53</v>
      </c>
      <c r="D18" s="16">
        <v>1</v>
      </c>
      <c r="E18" s="19" t="s">
        <v>55</v>
      </c>
      <c r="H18" s="16">
        <v>15</v>
      </c>
      <c r="J18" s="21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W18" s="68"/>
      <c r="X18" s="68"/>
      <c r="Y18" s="68"/>
      <c r="AC18" s="68"/>
      <c r="AD18" s="68"/>
      <c r="AE18" s="68"/>
    </row>
    <row r="19" spans="1:31" x14ac:dyDescent="0.25">
      <c r="A19" s="18" t="s">
        <v>5</v>
      </c>
      <c r="B19" s="16">
        <v>2</v>
      </c>
      <c r="C19" s="16" t="s">
        <v>53</v>
      </c>
      <c r="D19" s="16">
        <v>0</v>
      </c>
      <c r="E19" s="19" t="s">
        <v>24</v>
      </c>
      <c r="H19" s="16">
        <v>25</v>
      </c>
      <c r="J19" s="21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W19" s="68"/>
      <c r="X19" s="68"/>
      <c r="Y19" s="68"/>
      <c r="AC19" s="68"/>
      <c r="AD19" s="68"/>
      <c r="AE19" s="68"/>
    </row>
    <row r="20" spans="1:31" x14ac:dyDescent="0.25">
      <c r="A20" s="18" t="s">
        <v>26</v>
      </c>
      <c r="B20" s="16">
        <v>1</v>
      </c>
      <c r="C20" s="16" t="s">
        <v>53</v>
      </c>
      <c r="D20" s="16">
        <v>2</v>
      </c>
      <c r="E20" s="19" t="s">
        <v>5</v>
      </c>
      <c r="H20" s="16">
        <v>15</v>
      </c>
      <c r="J20" s="21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68"/>
      <c r="X20" s="68"/>
      <c r="Y20" s="68"/>
      <c r="AC20" s="68"/>
      <c r="AD20" s="68"/>
      <c r="AE20" s="68"/>
    </row>
    <row r="21" spans="1:31" x14ac:dyDescent="0.25">
      <c r="A21" s="18" t="s">
        <v>55</v>
      </c>
      <c r="B21" s="16">
        <v>1</v>
      </c>
      <c r="C21" s="16" t="s">
        <v>53</v>
      </c>
      <c r="D21" s="16">
        <v>2</v>
      </c>
      <c r="E21" s="19" t="s">
        <v>24</v>
      </c>
      <c r="H21" s="16">
        <v>25</v>
      </c>
      <c r="J21" s="21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W21" s="68"/>
      <c r="X21" s="68"/>
      <c r="Y21" s="68"/>
      <c r="AC21" s="68"/>
      <c r="AD21" s="68"/>
      <c r="AE21" s="68"/>
    </row>
    <row r="22" spans="1:31" x14ac:dyDescent="0.25">
      <c r="A22" s="127" t="s">
        <v>63</v>
      </c>
      <c r="B22" s="127"/>
      <c r="C22" s="127"/>
      <c r="D22" s="127"/>
      <c r="E22" s="127"/>
      <c r="J22" s="21" t="str">
        <f>IF(Tabela!F23="","",Tabela!F23)</f>
        <v/>
      </c>
      <c r="K22" s="128" t="s">
        <v>63</v>
      </c>
      <c r="L22" s="128"/>
      <c r="M22" s="128"/>
      <c r="N22" s="128"/>
      <c r="O22" s="128"/>
      <c r="W22" s="68"/>
      <c r="X22" s="68"/>
      <c r="Y22" s="68"/>
      <c r="AC22" s="68"/>
      <c r="AD22" s="68"/>
      <c r="AE22" s="68"/>
    </row>
    <row r="23" spans="1:31" x14ac:dyDescent="0.25">
      <c r="A23" s="18" t="s">
        <v>13</v>
      </c>
      <c r="B23" s="16">
        <v>2</v>
      </c>
      <c r="C23" s="16" t="s">
        <v>53</v>
      </c>
      <c r="D23" s="16">
        <v>0</v>
      </c>
      <c r="E23" s="19" t="s">
        <v>31</v>
      </c>
      <c r="H23" s="16">
        <v>5</v>
      </c>
      <c r="J23" s="21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68"/>
      <c r="X23" s="68"/>
      <c r="Y23" s="68"/>
      <c r="AC23" s="68"/>
      <c r="AD23" s="68"/>
      <c r="AE23" s="68"/>
    </row>
    <row r="24" spans="1:31" x14ac:dyDescent="0.25">
      <c r="A24" s="18" t="s">
        <v>17</v>
      </c>
      <c r="B24" s="16">
        <v>2</v>
      </c>
      <c r="C24" s="16" t="s">
        <v>53</v>
      </c>
      <c r="D24" s="16">
        <v>1</v>
      </c>
      <c r="E24" s="19" t="s">
        <v>6</v>
      </c>
      <c r="H24" s="16">
        <v>15</v>
      </c>
      <c r="J24" s="21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Q24" s="17">
        <v>25</v>
      </c>
      <c r="R24" s="17">
        <v>15</v>
      </c>
      <c r="S24" s="17">
        <v>10</v>
      </c>
      <c r="T24" s="17">
        <v>5</v>
      </c>
      <c r="U24" s="17">
        <v>0</v>
      </c>
      <c r="W24" s="68"/>
      <c r="X24" s="68"/>
      <c r="Y24" s="68"/>
      <c r="AC24" s="68"/>
      <c r="AD24" s="68"/>
      <c r="AE24" s="68"/>
    </row>
    <row r="25" spans="1:31" x14ac:dyDescent="0.25">
      <c r="A25" s="18" t="s">
        <v>31</v>
      </c>
      <c r="B25" s="16">
        <v>1</v>
      </c>
      <c r="C25" s="16" t="s">
        <v>53</v>
      </c>
      <c r="D25" s="16">
        <v>1</v>
      </c>
      <c r="E25" s="19" t="s">
        <v>6</v>
      </c>
      <c r="H25" s="16">
        <v>5</v>
      </c>
      <c r="J25" s="21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Q25" s="22">
        <v>7</v>
      </c>
      <c r="R25" s="22">
        <v>7</v>
      </c>
      <c r="S25" s="22">
        <v>13</v>
      </c>
      <c r="T25" s="22">
        <v>11</v>
      </c>
      <c r="U25" s="22">
        <v>11</v>
      </c>
      <c r="W25" s="68"/>
      <c r="X25" s="68"/>
      <c r="Y25" s="68"/>
      <c r="AC25" s="68"/>
      <c r="AD25" s="68"/>
      <c r="AE25" s="68"/>
    </row>
    <row r="26" spans="1:31" x14ac:dyDescent="0.25">
      <c r="A26" s="18" t="s">
        <v>17</v>
      </c>
      <c r="B26" s="16">
        <v>1</v>
      </c>
      <c r="C26" s="16" t="s">
        <v>53</v>
      </c>
      <c r="D26" s="16">
        <v>1</v>
      </c>
      <c r="E26" s="19" t="s">
        <v>13</v>
      </c>
      <c r="H26" s="16">
        <v>5</v>
      </c>
      <c r="J26" s="21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68"/>
      <c r="X26" s="68"/>
      <c r="Y26" s="68"/>
      <c r="AC26" s="68"/>
      <c r="AD26" s="68"/>
      <c r="AE26" s="68"/>
    </row>
    <row r="27" spans="1:31" x14ac:dyDescent="0.25">
      <c r="A27" s="18" t="s">
        <v>31</v>
      </c>
      <c r="B27" s="16">
        <v>0</v>
      </c>
      <c r="C27" s="16" t="s">
        <v>53</v>
      </c>
      <c r="D27" s="16">
        <v>1</v>
      </c>
      <c r="E27" s="19" t="s">
        <v>17</v>
      </c>
      <c r="H27" s="16">
        <v>0</v>
      </c>
      <c r="J27" s="21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Q27" s="124" t="s">
        <v>42</v>
      </c>
      <c r="R27" s="124"/>
      <c r="S27" s="125" t="s">
        <v>8</v>
      </c>
      <c r="T27" s="125"/>
      <c r="U27" s="125" t="s">
        <v>5</v>
      </c>
      <c r="V27" s="125"/>
      <c r="W27" s="68"/>
      <c r="X27" s="68"/>
      <c r="Y27" s="68"/>
      <c r="AC27" s="68"/>
      <c r="AD27" s="68"/>
      <c r="AE27" s="68"/>
    </row>
    <row r="28" spans="1:31" x14ac:dyDescent="0.25">
      <c r="A28" s="18" t="s">
        <v>6</v>
      </c>
      <c r="B28" s="16">
        <v>1</v>
      </c>
      <c r="C28" s="16" t="s">
        <v>53</v>
      </c>
      <c r="D28" s="16">
        <v>2</v>
      </c>
      <c r="E28" s="19" t="s">
        <v>13</v>
      </c>
      <c r="H28" s="16">
        <v>5</v>
      </c>
      <c r="J28" s="21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Q28" s="124" t="s">
        <v>41</v>
      </c>
      <c r="R28" s="124"/>
      <c r="S28" s="126" t="s">
        <v>127</v>
      </c>
      <c r="T28" s="126"/>
      <c r="U28" s="126" t="s">
        <v>136</v>
      </c>
      <c r="V28" s="126"/>
      <c r="W28" s="68"/>
      <c r="X28" s="68"/>
      <c r="Y28" s="68"/>
      <c r="AC28" s="68"/>
      <c r="AD28" s="68"/>
      <c r="AE28" s="68"/>
    </row>
    <row r="29" spans="1:31" x14ac:dyDescent="0.25">
      <c r="A29" s="127" t="s">
        <v>62</v>
      </c>
      <c r="B29" s="127"/>
      <c r="C29" s="127"/>
      <c r="D29" s="127"/>
      <c r="E29" s="127"/>
      <c r="K29" s="128" t="s">
        <v>62</v>
      </c>
      <c r="L29" s="128"/>
      <c r="M29" s="128"/>
      <c r="N29" s="128"/>
      <c r="O29" s="128"/>
      <c r="W29" s="68"/>
      <c r="X29" s="68"/>
      <c r="Y29" s="68"/>
      <c r="AC29" s="68"/>
      <c r="AD29" s="68"/>
      <c r="AE29" s="68"/>
    </row>
    <row r="30" spans="1:31" x14ac:dyDescent="0.25">
      <c r="A30" s="18" t="s">
        <v>4</v>
      </c>
      <c r="B30" s="16">
        <v>2</v>
      </c>
      <c r="C30" s="16" t="s">
        <v>53</v>
      </c>
      <c r="D30" s="16">
        <v>1</v>
      </c>
      <c r="E30" s="19" t="s">
        <v>22</v>
      </c>
      <c r="H30" s="16">
        <v>0</v>
      </c>
      <c r="J30" s="21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68"/>
      <c r="X30" s="68"/>
      <c r="Y30" s="68"/>
      <c r="AC30" s="68"/>
      <c r="AD30" s="68"/>
      <c r="AE30" s="68"/>
    </row>
    <row r="31" spans="1:31" x14ac:dyDescent="0.25">
      <c r="A31" s="18" t="s">
        <v>15</v>
      </c>
      <c r="B31" s="16">
        <v>2</v>
      </c>
      <c r="C31" s="16" t="s">
        <v>53</v>
      </c>
      <c r="D31" s="16">
        <v>0</v>
      </c>
      <c r="E31" s="19" t="s">
        <v>56</v>
      </c>
      <c r="H31" s="16">
        <v>15</v>
      </c>
      <c r="J31" s="21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1</v>
      </c>
      <c r="C32" s="16" t="s">
        <v>53</v>
      </c>
      <c r="D32" s="16">
        <v>0</v>
      </c>
      <c r="E32" s="19" t="s">
        <v>56</v>
      </c>
      <c r="H32" s="16">
        <v>0</v>
      </c>
      <c r="J32" s="21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1</v>
      </c>
      <c r="C33" s="16" t="s">
        <v>53</v>
      </c>
      <c r="D33" s="16">
        <v>1</v>
      </c>
      <c r="E33" s="19" t="s">
        <v>4</v>
      </c>
      <c r="H33" s="16">
        <v>25</v>
      </c>
      <c r="J33" s="21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0</v>
      </c>
      <c r="C34" s="16" t="s">
        <v>53</v>
      </c>
      <c r="D34" s="16">
        <v>1</v>
      </c>
      <c r="E34" s="19" t="s">
        <v>15</v>
      </c>
      <c r="H34" s="16">
        <v>5</v>
      </c>
      <c r="J34" s="21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1</v>
      </c>
      <c r="C35" s="16" t="s">
        <v>53</v>
      </c>
      <c r="D35" s="16">
        <v>2</v>
      </c>
      <c r="E35" s="19" t="s">
        <v>4</v>
      </c>
      <c r="H35" s="16">
        <v>10</v>
      </c>
      <c r="J35" s="21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27" t="s">
        <v>61</v>
      </c>
      <c r="B36" s="127"/>
      <c r="C36" s="127"/>
      <c r="D36" s="127"/>
      <c r="E36" s="127"/>
      <c r="J36" s="21" t="str">
        <f>IF(Tabela!L9="","",Tabela!L9)</f>
        <v/>
      </c>
      <c r="K36" s="128" t="s">
        <v>61</v>
      </c>
      <c r="L36" s="128"/>
      <c r="M36" s="128"/>
      <c r="N36" s="128"/>
      <c r="O36" s="128"/>
    </row>
    <row r="37" spans="1:15" x14ac:dyDescent="0.25">
      <c r="A37" s="18" t="s">
        <v>23</v>
      </c>
      <c r="B37" s="16">
        <v>1</v>
      </c>
      <c r="C37" s="16" t="s">
        <v>53</v>
      </c>
      <c r="D37" s="16">
        <v>2</v>
      </c>
      <c r="E37" s="19" t="s">
        <v>12</v>
      </c>
      <c r="H37" s="16">
        <v>0</v>
      </c>
      <c r="J37" s="21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2</v>
      </c>
      <c r="C38" s="16" t="s">
        <v>53</v>
      </c>
      <c r="D38" s="16">
        <v>0</v>
      </c>
      <c r="E38" s="19" t="s">
        <v>10</v>
      </c>
      <c r="H38" s="16">
        <v>15</v>
      </c>
      <c r="J38" s="21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2</v>
      </c>
      <c r="C39" s="16" t="s">
        <v>53</v>
      </c>
      <c r="D39" s="16">
        <v>0</v>
      </c>
      <c r="E39" s="19" t="s">
        <v>23</v>
      </c>
      <c r="H39" s="16">
        <v>0</v>
      </c>
      <c r="J39" s="21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2</v>
      </c>
      <c r="C40" s="16" t="s">
        <v>53</v>
      </c>
      <c r="D40" s="16">
        <v>0</v>
      </c>
      <c r="E40" s="19" t="s">
        <v>10</v>
      </c>
      <c r="H40" s="16">
        <v>10</v>
      </c>
      <c r="J40" s="21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1</v>
      </c>
      <c r="C41" s="16" t="s">
        <v>53</v>
      </c>
      <c r="D41" s="16">
        <v>1</v>
      </c>
      <c r="E41" s="19" t="s">
        <v>7</v>
      </c>
      <c r="H41" s="16">
        <v>10</v>
      </c>
      <c r="J41" s="21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2</v>
      </c>
      <c r="E42" s="19" t="s">
        <v>23</v>
      </c>
      <c r="H42" s="16">
        <v>25</v>
      </c>
      <c r="J42" s="21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27" t="s">
        <v>60</v>
      </c>
      <c r="B43" s="127"/>
      <c r="C43" s="127"/>
      <c r="D43" s="127"/>
      <c r="E43" s="127"/>
      <c r="J43" s="21" t="str">
        <f>IF(Tabela!L16="","",Tabela!L16)</f>
        <v/>
      </c>
      <c r="K43" s="128" t="s">
        <v>60</v>
      </c>
      <c r="L43" s="128"/>
      <c r="M43" s="128"/>
      <c r="N43" s="128"/>
      <c r="O43" s="128"/>
    </row>
    <row r="44" spans="1:15" x14ac:dyDescent="0.25">
      <c r="A44" s="18" t="s">
        <v>30</v>
      </c>
      <c r="B44" s="16">
        <v>2</v>
      </c>
      <c r="C44" s="16" t="s">
        <v>53</v>
      </c>
      <c r="D44" s="16">
        <v>1</v>
      </c>
      <c r="E44" s="19" t="s">
        <v>9</v>
      </c>
      <c r="H44" s="16">
        <v>10</v>
      </c>
      <c r="J44" s="21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2</v>
      </c>
      <c r="C45" s="16" t="s">
        <v>53</v>
      </c>
      <c r="D45" s="16">
        <v>0</v>
      </c>
      <c r="E45" s="19" t="s">
        <v>29</v>
      </c>
      <c r="H45" s="16">
        <v>25</v>
      </c>
      <c r="J45" s="21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2</v>
      </c>
      <c r="C46" s="16" t="s">
        <v>53</v>
      </c>
      <c r="D46" s="16">
        <v>0</v>
      </c>
      <c r="E46" s="19" t="s">
        <v>29</v>
      </c>
      <c r="H46" s="16">
        <v>0</v>
      </c>
      <c r="J46" s="21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1</v>
      </c>
      <c r="E47" s="19" t="s">
        <v>30</v>
      </c>
      <c r="H47" s="16">
        <v>10</v>
      </c>
      <c r="J47" s="21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2</v>
      </c>
      <c r="E48" s="19" t="s">
        <v>8</v>
      </c>
      <c r="H48" s="16">
        <v>0</v>
      </c>
      <c r="J48" s="21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2</v>
      </c>
      <c r="E49" s="19" t="s">
        <v>30</v>
      </c>
      <c r="H49" s="16">
        <v>10</v>
      </c>
      <c r="J49" s="21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27" t="s">
        <v>59</v>
      </c>
      <c r="B50" s="127"/>
      <c r="C50" s="127"/>
      <c r="D50" s="127"/>
      <c r="E50" s="127"/>
      <c r="J50" s="21" t="str">
        <f>IF(Tabela!L23="","",Tabela!L23)</f>
        <v/>
      </c>
      <c r="K50" s="128" t="s">
        <v>59</v>
      </c>
      <c r="L50" s="128"/>
      <c r="M50" s="128"/>
      <c r="N50" s="128"/>
      <c r="O50" s="128"/>
    </row>
    <row r="51" spans="1:15" x14ac:dyDescent="0.25">
      <c r="A51" s="18" t="s">
        <v>32</v>
      </c>
      <c r="B51" s="16">
        <v>1</v>
      </c>
      <c r="C51" s="16" t="s">
        <v>53</v>
      </c>
      <c r="D51" s="16">
        <v>1</v>
      </c>
      <c r="E51" s="19" t="s">
        <v>67</v>
      </c>
      <c r="H51" s="16">
        <v>10</v>
      </c>
      <c r="J51" s="21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2</v>
      </c>
      <c r="C52" s="16" t="s">
        <v>53</v>
      </c>
      <c r="D52" s="16">
        <v>1</v>
      </c>
      <c r="E52" s="19" t="s">
        <v>18</v>
      </c>
      <c r="H52" s="16">
        <v>10</v>
      </c>
      <c r="J52" s="21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1</v>
      </c>
      <c r="C53" s="16" t="s">
        <v>53</v>
      </c>
      <c r="D53" s="16">
        <v>2</v>
      </c>
      <c r="E53" s="19" t="s">
        <v>18</v>
      </c>
      <c r="H53" s="16">
        <v>10</v>
      </c>
      <c r="J53" s="21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2</v>
      </c>
      <c r="C54" s="16" t="s">
        <v>53</v>
      </c>
      <c r="D54" s="16">
        <v>2</v>
      </c>
      <c r="E54" s="19" t="s">
        <v>32</v>
      </c>
      <c r="H54" s="16">
        <v>5</v>
      </c>
      <c r="J54" s="21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2</v>
      </c>
      <c r="E55" s="19" t="s">
        <v>27</v>
      </c>
      <c r="H55" s="16">
        <v>0</v>
      </c>
      <c r="J55" s="21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0</v>
      </c>
      <c r="E56" s="19" t="s">
        <v>32</v>
      </c>
      <c r="H56" s="16">
        <v>0</v>
      </c>
      <c r="J56" s="21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145" t="s">
        <v>173</v>
      </c>
      <c r="B57" s="16" t="s">
        <v>172</v>
      </c>
      <c r="J57" s="21" t="str">
        <f>IF(Tabela!L30="","",Tabela!L30)</f>
        <v/>
      </c>
    </row>
    <row r="58" spans="1:15" x14ac:dyDescent="0.25">
      <c r="A58" s="134" t="str">
        <f>_xlfn.CONCAT(W2,A57)</f>
        <v>Macélio - Oitavas de Final</v>
      </c>
      <c r="B58" s="134"/>
      <c r="C58" s="134"/>
      <c r="D58" s="134"/>
      <c r="E58" s="134"/>
      <c r="J58" s="21" t="str">
        <f>IF(Tabela!L31="","",Tabela!L31)</f>
        <v/>
      </c>
      <c r="K58" s="137" t="s">
        <v>171</v>
      </c>
      <c r="L58" s="137"/>
      <c r="M58" s="137"/>
      <c r="N58" s="137"/>
      <c r="O58" s="137"/>
    </row>
    <row r="59" spans="1:15" x14ac:dyDescent="0.25">
      <c r="A59" s="66" t="s">
        <v>19</v>
      </c>
      <c r="B59" s="2">
        <v>1</v>
      </c>
      <c r="C59" s="2" t="s">
        <v>53</v>
      </c>
      <c r="D59" s="2">
        <v>0</v>
      </c>
      <c r="E59" s="65" t="s">
        <v>166</v>
      </c>
      <c r="H59" s="16">
        <v>10</v>
      </c>
      <c r="J59" s="21" t="str">
        <f>IF(Tabela!F32="","",Tabela!F32)</f>
        <v/>
      </c>
      <c r="K59" s="67" t="str">
        <f>Tabela!A32</f>
        <v>Holanda</v>
      </c>
      <c r="L59" s="67">
        <f>Tabela!B32</f>
        <v>3</v>
      </c>
      <c r="M59" s="67" t="str">
        <f>Tabela!C32</f>
        <v>X</v>
      </c>
      <c r="N59" s="67">
        <f>Tabela!D32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0</v>
      </c>
      <c r="E60" s="65" t="s">
        <v>6</v>
      </c>
      <c r="J60" s="21" t="str">
        <f>IF(Tabela!F33="","",Tabela!F33)</f>
        <v>N</v>
      </c>
      <c r="K60" s="67" t="str">
        <f>Tabela!A33</f>
        <v>Argentina</v>
      </c>
      <c r="L60" s="67">
        <f>Tabela!B33</f>
        <v>0</v>
      </c>
      <c r="M60" s="67" t="str">
        <f>Tabela!C33</f>
        <v>X</v>
      </c>
      <c r="N60" s="67">
        <f>Tabela!D33</f>
        <v>0</v>
      </c>
      <c r="O60" s="67" t="str">
        <f>Tabela!E33</f>
        <v>Austrália</v>
      </c>
    </row>
    <row r="61" spans="1:15" x14ac:dyDescent="0.25">
      <c r="A61" s="66" t="s">
        <v>22</v>
      </c>
      <c r="B61" s="2">
        <v>1</v>
      </c>
      <c r="C61" s="2" t="s">
        <v>53</v>
      </c>
      <c r="D61" s="2">
        <v>1</v>
      </c>
      <c r="E61" s="65" t="s">
        <v>12</v>
      </c>
      <c r="J61" s="21" t="str">
        <f>IF(Tabela!F34="","",Tabela!F34)</f>
        <v>N</v>
      </c>
      <c r="K61" s="67" t="str">
        <f>Tabela!A34</f>
        <v>Japão</v>
      </c>
      <c r="L61" s="67">
        <f>Tabela!B34</f>
        <v>0</v>
      </c>
      <c r="M61" s="67" t="str">
        <f>Tabela!C34</f>
        <v>X</v>
      </c>
      <c r="N61" s="67">
        <f>Tabela!D34</f>
        <v>0</v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0</v>
      </c>
      <c r="E62" s="65" t="s">
        <v>167</v>
      </c>
      <c r="J62" s="21" t="str">
        <f>IF(Tabela!F35="","",Tabela!F35)</f>
        <v>N</v>
      </c>
      <c r="K62" s="67" t="str">
        <f>Tabela!A35</f>
        <v>Brasil</v>
      </c>
      <c r="L62" s="67">
        <f>Tabela!B35</f>
        <v>0</v>
      </c>
      <c r="M62" s="67" t="str">
        <f>Tabela!C35</f>
        <v>X</v>
      </c>
      <c r="N62" s="67">
        <f>Tabela!D35</f>
        <v>0</v>
      </c>
      <c r="O62" s="67" t="str">
        <f>Tabela!E35</f>
        <v>Coréia</v>
      </c>
    </row>
    <row r="63" spans="1:15" x14ac:dyDescent="0.25">
      <c r="A63" s="66" t="s">
        <v>20</v>
      </c>
      <c r="B63" s="2">
        <v>1</v>
      </c>
      <c r="C63" s="2" t="s">
        <v>53</v>
      </c>
      <c r="D63" s="2">
        <v>0</v>
      </c>
      <c r="E63" s="65" t="s">
        <v>28</v>
      </c>
      <c r="J63" s="21" t="str">
        <f>IF(Tabela!F36="","",Tabela!F36)</f>
        <v>N</v>
      </c>
      <c r="K63" s="67" t="str">
        <f>Tabela!A36</f>
        <v>Inglaterra</v>
      </c>
      <c r="L63" s="67">
        <f>Tabela!B36</f>
        <v>0</v>
      </c>
      <c r="M63" s="67" t="str">
        <f>Tabela!C36</f>
        <v>X</v>
      </c>
      <c r="N63" s="67">
        <f>Tabela!D36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3</v>
      </c>
      <c r="C64" s="2" t="s">
        <v>53</v>
      </c>
      <c r="D64" s="2">
        <v>0</v>
      </c>
      <c r="E64" s="65" t="s">
        <v>26</v>
      </c>
      <c r="J64" s="21" t="str">
        <f>IF(Tabela!F37="","",Tabela!F37)</f>
        <v>N</v>
      </c>
      <c r="K64" s="67" t="str">
        <f>Tabela!A37</f>
        <v>França</v>
      </c>
      <c r="L64" s="67">
        <f>Tabela!B37</f>
        <v>0</v>
      </c>
      <c r="M64" s="67" t="str">
        <f>Tabela!C37</f>
        <v>X</v>
      </c>
      <c r="N64" s="67">
        <f>Tabela!D37</f>
        <v>0</v>
      </c>
      <c r="O64" s="67" t="str">
        <f>Tabela!E37</f>
        <v>Polônia</v>
      </c>
    </row>
    <row r="65" spans="1:15" x14ac:dyDescent="0.25">
      <c r="A65" s="66" t="s">
        <v>23</v>
      </c>
      <c r="B65" s="2">
        <v>0</v>
      </c>
      <c r="C65" s="2" t="s">
        <v>53</v>
      </c>
      <c r="D65" s="2">
        <v>1</v>
      </c>
      <c r="E65" s="65" t="s">
        <v>15</v>
      </c>
      <c r="J65" s="21" t="str">
        <f>IF(Tabela!F38="","",Tabela!F38)</f>
        <v>N</v>
      </c>
      <c r="K65" s="67" t="str">
        <f>Tabela!A38</f>
        <v>Marrocos</v>
      </c>
      <c r="L65" s="67">
        <f>Tabela!B38</f>
        <v>0</v>
      </c>
      <c r="M65" s="67" t="str">
        <f>Tabela!C38</f>
        <v>X</v>
      </c>
      <c r="N65" s="67">
        <f>Tabela!D38</f>
        <v>0</v>
      </c>
      <c r="O65" s="67" t="str">
        <f>Tabela!E38</f>
        <v>Espanha</v>
      </c>
    </row>
    <row r="66" spans="1:15" x14ac:dyDescent="0.25">
      <c r="A66" s="66" t="s">
        <v>27</v>
      </c>
      <c r="B66" s="2">
        <v>1</v>
      </c>
      <c r="C66" s="2" t="s">
        <v>53</v>
      </c>
      <c r="D66" s="2">
        <v>1</v>
      </c>
      <c r="E66" s="65" t="s">
        <v>30</v>
      </c>
      <c r="J66" s="21" t="str">
        <f>IF(Tabela!F39="","",Tabela!F39)</f>
        <v>N</v>
      </c>
      <c r="K66" s="67" t="str">
        <f>Tabela!A39</f>
        <v>Portugal</v>
      </c>
      <c r="L66" s="67">
        <f>Tabela!B39</f>
        <v>0</v>
      </c>
      <c r="M66" s="67" t="str">
        <f>Tabela!C39</f>
        <v>X</v>
      </c>
      <c r="N66" s="67">
        <f>Tabela!D39</f>
        <v>0</v>
      </c>
      <c r="O66" s="67" t="str">
        <f>Tabela!E39</f>
        <v>Suíça</v>
      </c>
    </row>
  </sheetData>
  <mergeCells count="70">
    <mergeCell ref="A58:E58"/>
    <mergeCell ref="K58:O58"/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Q9:U10"/>
    <mergeCell ref="Q11:U15"/>
    <mergeCell ref="A8:E8"/>
    <mergeCell ref="W2:AE6"/>
    <mergeCell ref="A1:E1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50:E50"/>
    <mergeCell ref="K1:O1"/>
    <mergeCell ref="K8:O8"/>
    <mergeCell ref="K15:O15"/>
    <mergeCell ref="K22:O22"/>
    <mergeCell ref="K29:O29"/>
    <mergeCell ref="K36:O36"/>
    <mergeCell ref="K43:O43"/>
    <mergeCell ref="K50:O50"/>
    <mergeCell ref="A15:E15"/>
    <mergeCell ref="A22:E22"/>
    <mergeCell ref="A29:E29"/>
    <mergeCell ref="A36:E36"/>
    <mergeCell ref="A43:E43"/>
    <mergeCell ref="Q27:R27"/>
    <mergeCell ref="S27:T27"/>
    <mergeCell ref="U27:V27"/>
    <mergeCell ref="Q28:R28"/>
    <mergeCell ref="S28:T28"/>
    <mergeCell ref="U28:V2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171A8-7284-4442-9B7C-D708590E55EE}">
  <sheetPr codeName="Planilha4">
    <tabColor theme="8" tint="-0.249977111117893"/>
  </sheetPr>
  <dimension ref="A1:BD66"/>
  <sheetViews>
    <sheetView zoomScale="85" zoomScaleNormal="85" workbookViewId="0">
      <pane xSplit="15" ySplit="16" topLeftCell="P5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61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6" width="5.7109375" style="17" customWidth="1"/>
    <col min="37" max="84" width="4.7109375" style="17" customWidth="1"/>
    <col min="85" max="16384" width="9.140625" style="17"/>
  </cols>
  <sheetData>
    <row r="1" spans="1:56" x14ac:dyDescent="0.25">
      <c r="A1" s="127" t="s">
        <v>58</v>
      </c>
      <c r="B1" s="127"/>
      <c r="C1" s="127"/>
      <c r="D1" s="127"/>
      <c r="E1" s="127"/>
      <c r="K1" s="128" t="s">
        <v>58</v>
      </c>
      <c r="L1" s="128"/>
      <c r="M1" s="128"/>
      <c r="N1" s="128"/>
      <c r="O1" s="128"/>
    </row>
    <row r="2" spans="1:56" x14ac:dyDescent="0.25">
      <c r="A2" s="18" t="s">
        <v>11</v>
      </c>
      <c r="B2" s="61">
        <v>1</v>
      </c>
      <c r="C2" s="61" t="s">
        <v>53</v>
      </c>
      <c r="D2" s="61">
        <v>2</v>
      </c>
      <c r="E2" s="19" t="s">
        <v>14</v>
      </c>
      <c r="H2" s="16">
        <v>15</v>
      </c>
      <c r="J2" s="17" t="str">
        <f>IF(Tabela!F3="","",Tabela!F3)</f>
        <v/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31" t="s">
        <v>91</v>
      </c>
      <c r="X2" s="131"/>
      <c r="Y2" s="131"/>
      <c r="Z2" s="131"/>
      <c r="AA2" s="131"/>
      <c r="AB2" s="131"/>
      <c r="AC2" s="131"/>
      <c r="AD2" s="131"/>
      <c r="AE2" s="131"/>
    </row>
    <row r="3" spans="1:56" x14ac:dyDescent="0.25">
      <c r="A3" s="18" t="s">
        <v>28</v>
      </c>
      <c r="B3" s="61">
        <v>1</v>
      </c>
      <c r="C3" s="61" t="s">
        <v>53</v>
      </c>
      <c r="D3" s="61">
        <v>2</v>
      </c>
      <c r="E3" s="19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31"/>
      <c r="X3" s="131"/>
      <c r="Y3" s="131"/>
      <c r="Z3" s="131"/>
      <c r="AA3" s="131"/>
      <c r="AB3" s="131"/>
      <c r="AC3" s="131"/>
      <c r="AD3" s="131"/>
      <c r="AE3" s="131"/>
    </row>
    <row r="4" spans="1:56" x14ac:dyDescent="0.25">
      <c r="A4" s="18" t="s">
        <v>11</v>
      </c>
      <c r="B4" s="61">
        <v>1</v>
      </c>
      <c r="C4" s="61" t="s">
        <v>53</v>
      </c>
      <c r="D4" s="61">
        <v>2</v>
      </c>
      <c r="E4" s="19" t="s">
        <v>28</v>
      </c>
      <c r="H4" s="16">
        <v>15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31"/>
      <c r="X4" s="131"/>
      <c r="Y4" s="131"/>
      <c r="Z4" s="131"/>
      <c r="AA4" s="131"/>
      <c r="AB4" s="131"/>
      <c r="AC4" s="131"/>
      <c r="AD4" s="131"/>
      <c r="AE4" s="131"/>
    </row>
    <row r="5" spans="1:56" x14ac:dyDescent="0.25">
      <c r="A5" s="18" t="s">
        <v>19</v>
      </c>
      <c r="B5" s="61">
        <v>1</v>
      </c>
      <c r="C5" s="61" t="s">
        <v>53</v>
      </c>
      <c r="D5" s="61">
        <v>1</v>
      </c>
      <c r="E5" s="19" t="s">
        <v>14</v>
      </c>
      <c r="H5" s="16">
        <v>25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31"/>
      <c r="X5" s="131"/>
      <c r="Y5" s="131"/>
      <c r="Z5" s="131"/>
      <c r="AA5" s="131"/>
      <c r="AB5" s="131"/>
      <c r="AC5" s="131"/>
      <c r="AD5" s="131"/>
      <c r="AE5" s="131"/>
    </row>
    <row r="6" spans="1:56" x14ac:dyDescent="0.25">
      <c r="A6" s="18" t="s">
        <v>19</v>
      </c>
      <c r="B6" s="61">
        <v>2</v>
      </c>
      <c r="C6" s="61" t="s">
        <v>53</v>
      </c>
      <c r="D6" s="61">
        <v>0</v>
      </c>
      <c r="E6" s="19" t="s">
        <v>11</v>
      </c>
      <c r="H6" s="16">
        <v>25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31"/>
      <c r="X6" s="131"/>
      <c r="Y6" s="131"/>
      <c r="Z6" s="131"/>
      <c r="AA6" s="131"/>
      <c r="AB6" s="131"/>
      <c r="AC6" s="131"/>
      <c r="AD6" s="131"/>
      <c r="AE6" s="131"/>
    </row>
    <row r="7" spans="1:56" x14ac:dyDescent="0.25">
      <c r="A7" s="18" t="s">
        <v>14</v>
      </c>
      <c r="B7" s="61">
        <v>1</v>
      </c>
      <c r="C7" s="61" t="s">
        <v>53</v>
      </c>
      <c r="D7" s="61">
        <v>0</v>
      </c>
      <c r="E7" s="19" t="s">
        <v>28</v>
      </c>
      <c r="H7" s="16">
        <v>5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56" x14ac:dyDescent="0.25">
      <c r="A8" s="127" t="s">
        <v>65</v>
      </c>
      <c r="B8" s="127"/>
      <c r="C8" s="127"/>
      <c r="D8" s="127"/>
      <c r="E8" s="127"/>
      <c r="J8" s="17" t="str">
        <f>IF(Tabela!F9="","",Tabela!F9)</f>
        <v/>
      </c>
      <c r="K8" s="128" t="s">
        <v>65</v>
      </c>
      <c r="L8" s="128"/>
      <c r="M8" s="128"/>
      <c r="N8" s="128"/>
      <c r="O8" s="128"/>
    </row>
    <row r="9" spans="1:56" x14ac:dyDescent="0.25">
      <c r="A9" s="18" t="s">
        <v>20</v>
      </c>
      <c r="B9" s="61">
        <v>2</v>
      </c>
      <c r="C9" s="61" t="s">
        <v>53</v>
      </c>
      <c r="D9" s="61">
        <v>0</v>
      </c>
      <c r="E9" s="19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29" t="s">
        <v>66</v>
      </c>
      <c r="R9" s="129"/>
      <c r="S9" s="129"/>
      <c r="T9" s="129"/>
      <c r="U9" s="129"/>
      <c r="W9" s="68" t="s">
        <v>124</v>
      </c>
      <c r="X9" s="68"/>
      <c r="Y9" s="68"/>
      <c r="Z9" s="68"/>
      <c r="AA9" s="68"/>
      <c r="AB9" s="68"/>
      <c r="AC9" s="68"/>
      <c r="AD9" s="68"/>
      <c r="AE9" s="68"/>
    </row>
    <row r="10" spans="1:56" x14ac:dyDescent="0.25">
      <c r="A10" s="18" t="s">
        <v>54</v>
      </c>
      <c r="B10" s="61">
        <v>1</v>
      </c>
      <c r="C10" s="61" t="s">
        <v>53</v>
      </c>
      <c r="D10" s="61">
        <v>0</v>
      </c>
      <c r="E10" s="19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29"/>
      <c r="R10" s="129"/>
      <c r="S10" s="129"/>
      <c r="T10" s="129"/>
      <c r="U10" s="129"/>
      <c r="W10" s="68" t="s">
        <v>19</v>
      </c>
      <c r="X10" s="68"/>
      <c r="Y10" s="68"/>
      <c r="Z10" s="54">
        <v>1</v>
      </c>
      <c r="AB10" s="54">
        <v>1</v>
      </c>
      <c r="AC10" s="68" t="s">
        <v>14</v>
      </c>
      <c r="AD10" s="68"/>
      <c r="AE10" s="68"/>
    </row>
    <row r="11" spans="1:56" x14ac:dyDescent="0.25">
      <c r="A11" s="18" t="s">
        <v>34</v>
      </c>
      <c r="B11" s="61">
        <v>1</v>
      </c>
      <c r="C11" s="61" t="s">
        <v>53</v>
      </c>
      <c r="D11" s="61">
        <v>1</v>
      </c>
      <c r="E11" s="19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30">
        <f>SUM(H2:H66)</f>
        <v>480</v>
      </c>
      <c r="R11" s="130"/>
      <c r="S11" s="130"/>
      <c r="T11" s="130"/>
      <c r="U11" s="130"/>
      <c r="W11" s="68" t="s">
        <v>19</v>
      </c>
      <c r="X11" s="68"/>
      <c r="Y11" s="68"/>
      <c r="Z11" s="54">
        <v>2</v>
      </c>
      <c r="AB11" s="54">
        <v>0</v>
      </c>
      <c r="AC11" s="68" t="s">
        <v>11</v>
      </c>
      <c r="AD11" s="68"/>
      <c r="AE11" s="68"/>
    </row>
    <row r="12" spans="1:56" x14ac:dyDescent="0.25">
      <c r="A12" s="18" t="s">
        <v>20</v>
      </c>
      <c r="B12" s="61">
        <v>2</v>
      </c>
      <c r="C12" s="61" t="s">
        <v>53</v>
      </c>
      <c r="D12" s="61">
        <v>1</v>
      </c>
      <c r="E12" s="19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30"/>
      <c r="R12" s="130"/>
      <c r="S12" s="130"/>
      <c r="T12" s="130"/>
      <c r="U12" s="130"/>
      <c r="W12" s="68" t="s">
        <v>34</v>
      </c>
      <c r="X12" s="68"/>
      <c r="Y12" s="68"/>
      <c r="Z12" s="54">
        <v>0</v>
      </c>
      <c r="AB12" s="54">
        <v>3</v>
      </c>
      <c r="AC12" s="68" t="s">
        <v>20</v>
      </c>
      <c r="AD12" s="68"/>
      <c r="AE12" s="68"/>
    </row>
    <row r="13" spans="1:56" x14ac:dyDescent="0.25">
      <c r="A13" s="18" t="s">
        <v>21</v>
      </c>
      <c r="B13" s="61">
        <v>1</v>
      </c>
      <c r="C13" s="61" t="s">
        <v>53</v>
      </c>
      <c r="D13" s="61">
        <v>1</v>
      </c>
      <c r="E13" s="19" t="s">
        <v>54</v>
      </c>
      <c r="H13" s="16">
        <v>5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30"/>
      <c r="R13" s="130"/>
      <c r="S13" s="130"/>
      <c r="T13" s="130"/>
      <c r="U13" s="130"/>
      <c r="W13" s="68" t="s">
        <v>26</v>
      </c>
      <c r="X13" s="68"/>
      <c r="Y13" s="68"/>
      <c r="Z13" s="54">
        <v>2</v>
      </c>
      <c r="AB13" s="54">
        <v>0</v>
      </c>
      <c r="AC13" s="68" t="s">
        <v>55</v>
      </c>
      <c r="AD13" s="68"/>
      <c r="AE13" s="68"/>
    </row>
    <row r="14" spans="1:56" x14ac:dyDescent="0.25">
      <c r="A14" s="18" t="s">
        <v>34</v>
      </c>
      <c r="B14" s="61">
        <v>0</v>
      </c>
      <c r="C14" s="61" t="s">
        <v>53</v>
      </c>
      <c r="D14" s="61">
        <v>3</v>
      </c>
      <c r="E14" s="19" t="s">
        <v>20</v>
      </c>
      <c r="H14" s="16">
        <v>25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30"/>
      <c r="R14" s="130"/>
      <c r="S14" s="130"/>
      <c r="T14" s="130"/>
      <c r="U14" s="130"/>
      <c r="W14" s="68" t="s">
        <v>6</v>
      </c>
      <c r="X14" s="68"/>
      <c r="Y14" s="68"/>
      <c r="Z14" s="54">
        <v>1</v>
      </c>
      <c r="AB14" s="54">
        <v>0</v>
      </c>
      <c r="AC14" s="68" t="s">
        <v>13</v>
      </c>
      <c r="AD14" s="68"/>
      <c r="AE14" s="68"/>
      <c r="BD14" s="17">
        <v>5</v>
      </c>
    </row>
    <row r="15" spans="1:56" x14ac:dyDescent="0.25">
      <c r="A15" s="127" t="s">
        <v>64</v>
      </c>
      <c r="B15" s="127"/>
      <c r="C15" s="127"/>
      <c r="D15" s="127"/>
      <c r="E15" s="127"/>
      <c r="J15" s="17" t="str">
        <f>IF(Tabela!F16="","",Tabela!F16)</f>
        <v/>
      </c>
      <c r="K15" s="128" t="s">
        <v>64</v>
      </c>
      <c r="L15" s="128"/>
      <c r="M15" s="128"/>
      <c r="N15" s="128"/>
      <c r="O15" s="128"/>
      <c r="Q15" s="130"/>
      <c r="R15" s="130"/>
      <c r="S15" s="130"/>
      <c r="T15" s="130"/>
      <c r="U15" s="130"/>
      <c r="W15" s="68" t="s">
        <v>8</v>
      </c>
      <c r="X15" s="68"/>
      <c r="Y15" s="68"/>
      <c r="Z15" s="54">
        <v>2</v>
      </c>
      <c r="AB15" s="54">
        <v>0</v>
      </c>
      <c r="AC15" s="68" t="s">
        <v>29</v>
      </c>
      <c r="AD15" s="68"/>
      <c r="AE15" s="68"/>
    </row>
    <row r="16" spans="1:56" x14ac:dyDescent="0.25">
      <c r="A16" s="18" t="s">
        <v>5</v>
      </c>
      <c r="B16" s="61">
        <v>3</v>
      </c>
      <c r="C16" s="61" t="s">
        <v>53</v>
      </c>
      <c r="D16" s="61">
        <v>0</v>
      </c>
      <c r="E16" s="19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68"/>
      <c r="X16" s="68"/>
      <c r="Y16" s="68"/>
      <c r="AC16" s="68"/>
      <c r="AD16" s="68"/>
      <c r="AE16" s="68"/>
    </row>
    <row r="17" spans="1:31" x14ac:dyDescent="0.25">
      <c r="A17" s="18" t="s">
        <v>24</v>
      </c>
      <c r="B17" s="61">
        <v>1</v>
      </c>
      <c r="C17" s="61" t="s">
        <v>53</v>
      </c>
      <c r="D17" s="61">
        <v>1</v>
      </c>
      <c r="E17" s="19" t="s">
        <v>26</v>
      </c>
      <c r="H17" s="16">
        <v>10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68"/>
      <c r="X17" s="68"/>
      <c r="Y17" s="68"/>
      <c r="AC17" s="68"/>
      <c r="AD17" s="68"/>
      <c r="AE17" s="68"/>
    </row>
    <row r="18" spans="1:31" x14ac:dyDescent="0.25">
      <c r="A18" s="18" t="s">
        <v>26</v>
      </c>
      <c r="B18" s="61">
        <v>2</v>
      </c>
      <c r="C18" s="61" t="s">
        <v>53</v>
      </c>
      <c r="D18" s="61">
        <v>0</v>
      </c>
      <c r="E18" s="19" t="s">
        <v>55</v>
      </c>
      <c r="H18" s="16">
        <v>25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W18" s="68"/>
      <c r="X18" s="68"/>
      <c r="Y18" s="68"/>
      <c r="AC18" s="68"/>
      <c r="AD18" s="68"/>
      <c r="AE18" s="68"/>
    </row>
    <row r="19" spans="1:31" x14ac:dyDescent="0.25">
      <c r="A19" s="18" t="s">
        <v>5</v>
      </c>
      <c r="B19" s="61">
        <v>2</v>
      </c>
      <c r="C19" s="61" t="s">
        <v>53</v>
      </c>
      <c r="D19" s="61">
        <v>1</v>
      </c>
      <c r="E19" s="19" t="s">
        <v>24</v>
      </c>
      <c r="H19" s="16">
        <v>15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W19" s="68"/>
      <c r="X19" s="68"/>
      <c r="Y19" s="68"/>
      <c r="AC19" s="68"/>
      <c r="AD19" s="68"/>
      <c r="AE19" s="68"/>
    </row>
    <row r="20" spans="1:31" x14ac:dyDescent="0.25">
      <c r="A20" s="18" t="s">
        <v>26</v>
      </c>
      <c r="B20" s="61">
        <v>1</v>
      </c>
      <c r="C20" s="61" t="s">
        <v>53</v>
      </c>
      <c r="D20" s="61">
        <v>2</v>
      </c>
      <c r="E20" s="19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68"/>
      <c r="X20" s="68"/>
      <c r="Y20" s="68"/>
      <c r="AC20" s="68"/>
      <c r="AD20" s="68"/>
      <c r="AE20" s="68"/>
    </row>
    <row r="21" spans="1:31" x14ac:dyDescent="0.25">
      <c r="A21" s="18" t="s">
        <v>55</v>
      </c>
      <c r="B21" s="61">
        <v>0</v>
      </c>
      <c r="C21" s="61" t="s">
        <v>53</v>
      </c>
      <c r="D21" s="61">
        <v>1</v>
      </c>
      <c r="E21" s="19" t="s">
        <v>24</v>
      </c>
      <c r="H21" s="16">
        <v>10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W21" s="68"/>
      <c r="X21" s="68"/>
      <c r="Y21" s="68"/>
      <c r="AC21" s="68"/>
      <c r="AD21" s="68"/>
      <c r="AE21" s="68"/>
    </row>
    <row r="22" spans="1:31" x14ac:dyDescent="0.25">
      <c r="A22" s="127" t="s">
        <v>63</v>
      </c>
      <c r="B22" s="127"/>
      <c r="C22" s="127"/>
      <c r="D22" s="127"/>
      <c r="E22" s="127"/>
      <c r="J22" s="17" t="str">
        <f>IF(Tabela!F23="","",Tabela!F23)</f>
        <v/>
      </c>
      <c r="K22" s="128" t="s">
        <v>63</v>
      </c>
      <c r="L22" s="128"/>
      <c r="M22" s="128"/>
      <c r="N22" s="128"/>
      <c r="O22" s="128"/>
      <c r="W22" s="68"/>
      <c r="X22" s="68"/>
      <c r="Y22" s="68"/>
      <c r="AC22" s="68"/>
      <c r="AD22" s="68"/>
      <c r="AE22" s="68"/>
    </row>
    <row r="23" spans="1:31" x14ac:dyDescent="0.25">
      <c r="A23" s="18" t="s">
        <v>13</v>
      </c>
      <c r="B23" s="61">
        <v>1</v>
      </c>
      <c r="C23" s="61" t="s">
        <v>53</v>
      </c>
      <c r="D23" s="61">
        <v>1</v>
      </c>
      <c r="E23" s="19" t="s">
        <v>31</v>
      </c>
      <c r="H23" s="16">
        <v>10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68"/>
      <c r="X23" s="68"/>
      <c r="Y23" s="68"/>
      <c r="AC23" s="68"/>
      <c r="AD23" s="68"/>
      <c r="AE23" s="68"/>
    </row>
    <row r="24" spans="1:31" x14ac:dyDescent="0.25">
      <c r="A24" s="18" t="s">
        <v>17</v>
      </c>
      <c r="B24" s="61">
        <v>2</v>
      </c>
      <c r="C24" s="61" t="s">
        <v>53</v>
      </c>
      <c r="D24" s="61">
        <v>1</v>
      </c>
      <c r="E24" s="19" t="s">
        <v>6</v>
      </c>
      <c r="H24" s="16">
        <v>15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Q24" s="17">
        <v>25</v>
      </c>
      <c r="R24" s="17">
        <v>15</v>
      </c>
      <c r="S24" s="17">
        <v>10</v>
      </c>
      <c r="T24" s="17">
        <v>5</v>
      </c>
      <c r="U24" s="17">
        <v>0</v>
      </c>
      <c r="W24" s="68"/>
      <c r="X24" s="68"/>
      <c r="Y24" s="68"/>
      <c r="AC24" s="68"/>
      <c r="AD24" s="68"/>
      <c r="AE24" s="68"/>
    </row>
    <row r="25" spans="1:31" x14ac:dyDescent="0.25">
      <c r="A25" s="18" t="s">
        <v>31</v>
      </c>
      <c r="B25" s="61">
        <v>0</v>
      </c>
      <c r="C25" s="61" t="s">
        <v>53</v>
      </c>
      <c r="D25" s="61">
        <v>0</v>
      </c>
      <c r="E25" s="19" t="s">
        <v>6</v>
      </c>
      <c r="H25" s="16">
        <v>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Q25" s="42">
        <v>6</v>
      </c>
      <c r="R25" s="42">
        <v>11</v>
      </c>
      <c r="S25" s="42">
        <v>12</v>
      </c>
      <c r="T25" s="42">
        <v>9</v>
      </c>
      <c r="U25" s="42">
        <v>11</v>
      </c>
      <c r="W25" s="68"/>
      <c r="X25" s="68"/>
      <c r="Y25" s="68"/>
      <c r="AC25" s="68"/>
      <c r="AD25" s="68"/>
      <c r="AE25" s="68"/>
    </row>
    <row r="26" spans="1:31" x14ac:dyDescent="0.25">
      <c r="A26" s="18" t="s">
        <v>17</v>
      </c>
      <c r="B26" s="61">
        <v>2</v>
      </c>
      <c r="C26" s="61" t="s">
        <v>53</v>
      </c>
      <c r="D26" s="61">
        <v>0</v>
      </c>
      <c r="E26" s="19" t="s">
        <v>13</v>
      </c>
      <c r="H26" s="16">
        <v>15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68"/>
      <c r="X26" s="68"/>
      <c r="Y26" s="68"/>
      <c r="AC26" s="68"/>
      <c r="AD26" s="68"/>
      <c r="AE26" s="68"/>
    </row>
    <row r="27" spans="1:31" x14ac:dyDescent="0.25">
      <c r="A27" s="18" t="s">
        <v>31</v>
      </c>
      <c r="B27" s="61">
        <v>0</v>
      </c>
      <c r="C27" s="61" t="s">
        <v>53</v>
      </c>
      <c r="D27" s="61">
        <v>3</v>
      </c>
      <c r="E27" s="19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Q27" s="124" t="s">
        <v>42</v>
      </c>
      <c r="R27" s="124"/>
      <c r="S27" s="125" t="s">
        <v>8</v>
      </c>
      <c r="T27" s="125"/>
      <c r="U27" s="125" t="s">
        <v>7</v>
      </c>
      <c r="V27" s="125"/>
      <c r="W27" s="68"/>
      <c r="X27" s="68"/>
      <c r="Y27" s="68"/>
      <c r="Z27" s="59"/>
      <c r="AC27" s="68"/>
      <c r="AD27" s="68"/>
      <c r="AE27" s="68"/>
    </row>
    <row r="28" spans="1:31" x14ac:dyDescent="0.25">
      <c r="A28" s="18" t="s">
        <v>6</v>
      </c>
      <c r="B28" s="61">
        <v>1</v>
      </c>
      <c r="C28" s="61" t="s">
        <v>53</v>
      </c>
      <c r="D28" s="61">
        <v>0</v>
      </c>
      <c r="E28" s="19" t="s">
        <v>13</v>
      </c>
      <c r="H28" s="16">
        <v>25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Q28" s="124" t="s">
        <v>41</v>
      </c>
      <c r="R28" s="124"/>
      <c r="S28" s="126" t="s">
        <v>127</v>
      </c>
      <c r="T28" s="126"/>
      <c r="U28" s="126" t="s">
        <v>128</v>
      </c>
      <c r="V28" s="126"/>
      <c r="W28" s="68"/>
      <c r="X28" s="68"/>
      <c r="Y28" s="68"/>
      <c r="AC28" s="68"/>
      <c r="AD28" s="68"/>
      <c r="AE28" s="68"/>
    </row>
    <row r="29" spans="1:31" x14ac:dyDescent="0.25">
      <c r="A29" s="127" t="s">
        <v>62</v>
      </c>
      <c r="B29" s="127"/>
      <c r="C29" s="127"/>
      <c r="D29" s="127"/>
      <c r="E29" s="127"/>
      <c r="K29" s="128" t="s">
        <v>62</v>
      </c>
      <c r="L29" s="128"/>
      <c r="M29" s="128"/>
      <c r="N29" s="128"/>
      <c r="O29" s="128"/>
      <c r="W29" s="68"/>
      <c r="X29" s="68"/>
      <c r="Y29" s="68"/>
      <c r="AC29" s="68"/>
      <c r="AD29" s="68"/>
      <c r="AE29" s="68"/>
    </row>
    <row r="30" spans="1:31" x14ac:dyDescent="0.25">
      <c r="A30" s="18" t="s">
        <v>4</v>
      </c>
      <c r="B30" s="61">
        <v>2</v>
      </c>
      <c r="C30" s="61" t="s">
        <v>53</v>
      </c>
      <c r="D30" s="61">
        <v>0</v>
      </c>
      <c r="E30" s="19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Q30" s="60"/>
      <c r="R30" s="60"/>
      <c r="W30" s="68"/>
      <c r="X30" s="68"/>
      <c r="Y30" s="68"/>
      <c r="AC30" s="68"/>
      <c r="AD30" s="68"/>
      <c r="AE30" s="68"/>
    </row>
    <row r="31" spans="1:31" x14ac:dyDescent="0.25">
      <c r="A31" s="18" t="s">
        <v>15</v>
      </c>
      <c r="B31" s="61">
        <v>2</v>
      </c>
      <c r="C31" s="61" t="s">
        <v>53</v>
      </c>
      <c r="D31" s="61">
        <v>1</v>
      </c>
      <c r="E31" s="19" t="s">
        <v>56</v>
      </c>
      <c r="H31" s="16">
        <v>10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  <c r="Q31" s="60"/>
      <c r="R31" s="60"/>
    </row>
    <row r="32" spans="1:31" x14ac:dyDescent="0.25">
      <c r="A32" s="18" t="s">
        <v>22</v>
      </c>
      <c r="B32" s="61">
        <v>1</v>
      </c>
      <c r="C32" s="61" t="s">
        <v>53</v>
      </c>
      <c r="D32" s="61">
        <v>0</v>
      </c>
      <c r="E32" s="19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61">
        <v>2</v>
      </c>
      <c r="C33" s="61" t="s">
        <v>53</v>
      </c>
      <c r="D33" s="61">
        <v>3</v>
      </c>
      <c r="E33" s="19" t="s">
        <v>4</v>
      </c>
      <c r="H33" s="16">
        <v>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61">
        <v>2</v>
      </c>
      <c r="C34" s="61" t="s">
        <v>53</v>
      </c>
      <c r="D34" s="61">
        <v>2</v>
      </c>
      <c r="E34" s="19" t="s">
        <v>15</v>
      </c>
      <c r="H34" s="16">
        <v>5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61">
        <v>0</v>
      </c>
      <c r="C35" s="61" t="s">
        <v>53</v>
      </c>
      <c r="D35" s="61">
        <v>4</v>
      </c>
      <c r="E35" s="19" t="s">
        <v>4</v>
      </c>
      <c r="H35" s="16">
        <v>15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27" t="s">
        <v>61</v>
      </c>
      <c r="B36" s="127"/>
      <c r="C36" s="127"/>
      <c r="D36" s="127"/>
      <c r="E36" s="127"/>
      <c r="J36" s="17" t="str">
        <f>IF(Tabela!L9="","",Tabela!L9)</f>
        <v/>
      </c>
      <c r="K36" s="128" t="s">
        <v>61</v>
      </c>
      <c r="L36" s="128"/>
      <c r="M36" s="128"/>
      <c r="N36" s="128"/>
      <c r="O36" s="128"/>
    </row>
    <row r="37" spans="1:15" x14ac:dyDescent="0.25">
      <c r="A37" s="18" t="s">
        <v>23</v>
      </c>
      <c r="B37" s="61">
        <v>1</v>
      </c>
      <c r="C37" s="61" t="s">
        <v>53</v>
      </c>
      <c r="D37" s="61">
        <v>3</v>
      </c>
      <c r="E37" s="19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61">
        <v>2</v>
      </c>
      <c r="C38" s="61" t="s">
        <v>53</v>
      </c>
      <c r="D38" s="61">
        <v>1</v>
      </c>
      <c r="E38" s="19" t="s">
        <v>10</v>
      </c>
      <c r="H38" s="16">
        <v>10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61">
        <v>2</v>
      </c>
      <c r="C39" s="61" t="s">
        <v>53</v>
      </c>
      <c r="D39" s="61">
        <v>0</v>
      </c>
      <c r="E39" s="19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61">
        <v>2</v>
      </c>
      <c r="C40" s="61" t="s">
        <v>53</v>
      </c>
      <c r="D40" s="61">
        <v>1</v>
      </c>
      <c r="E40" s="19" t="s">
        <v>10</v>
      </c>
      <c r="H40" s="16">
        <v>15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61">
        <v>1</v>
      </c>
      <c r="C41" s="61" t="s">
        <v>53</v>
      </c>
      <c r="D41" s="61">
        <v>1</v>
      </c>
      <c r="E41" s="19" t="s">
        <v>7</v>
      </c>
      <c r="H41" s="16">
        <v>10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61">
        <v>1</v>
      </c>
      <c r="C42" s="61" t="s">
        <v>53</v>
      </c>
      <c r="D42" s="61">
        <v>0</v>
      </c>
      <c r="E42" s="19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27" t="s">
        <v>60</v>
      </c>
      <c r="B43" s="127"/>
      <c r="C43" s="127"/>
      <c r="D43" s="127"/>
      <c r="E43" s="127"/>
      <c r="J43" s="17" t="str">
        <f>IF(Tabela!L16="","",Tabela!L16)</f>
        <v/>
      </c>
      <c r="K43" s="128" t="s">
        <v>60</v>
      </c>
      <c r="L43" s="128"/>
      <c r="M43" s="128"/>
      <c r="N43" s="128"/>
      <c r="O43" s="128"/>
    </row>
    <row r="44" spans="1:15" x14ac:dyDescent="0.25">
      <c r="A44" s="18" t="s">
        <v>30</v>
      </c>
      <c r="B44" s="61">
        <v>2</v>
      </c>
      <c r="C44" s="61" t="s">
        <v>53</v>
      </c>
      <c r="D44" s="61">
        <v>1</v>
      </c>
      <c r="E44" s="19" t="s">
        <v>9</v>
      </c>
      <c r="H44" s="16">
        <v>10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61">
        <v>2</v>
      </c>
      <c r="C45" s="61" t="s">
        <v>53</v>
      </c>
      <c r="D45" s="61">
        <v>0</v>
      </c>
      <c r="E45" s="19" t="s">
        <v>29</v>
      </c>
      <c r="H45" s="16">
        <v>25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61">
        <v>1</v>
      </c>
      <c r="C46" s="61" t="s">
        <v>53</v>
      </c>
      <c r="D46" s="61">
        <v>1</v>
      </c>
      <c r="E46" s="19" t="s">
        <v>29</v>
      </c>
      <c r="H46" s="16">
        <v>10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61">
        <v>2</v>
      </c>
      <c r="C47" s="61" t="s">
        <v>53</v>
      </c>
      <c r="D47" s="61">
        <v>1</v>
      </c>
      <c r="E47" s="19" t="s">
        <v>30</v>
      </c>
      <c r="H47" s="16">
        <v>10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61">
        <v>0</v>
      </c>
      <c r="C48" s="61" t="s">
        <v>53</v>
      </c>
      <c r="D48" s="61">
        <v>4</v>
      </c>
      <c r="E48" s="19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61">
        <v>1</v>
      </c>
      <c r="C49" s="61" t="s">
        <v>53</v>
      </c>
      <c r="D49" s="61">
        <v>2</v>
      </c>
      <c r="E49" s="19" t="s">
        <v>30</v>
      </c>
      <c r="H49" s="16">
        <v>10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27" t="s">
        <v>59</v>
      </c>
      <c r="B50" s="127"/>
      <c r="C50" s="127"/>
      <c r="D50" s="127"/>
      <c r="E50" s="127"/>
      <c r="J50" s="17" t="str">
        <f>IF(Tabela!L23="","",Tabela!L23)</f>
        <v/>
      </c>
      <c r="K50" s="128" t="s">
        <v>59</v>
      </c>
      <c r="L50" s="128"/>
      <c r="M50" s="128"/>
      <c r="N50" s="128"/>
      <c r="O50" s="128"/>
    </row>
    <row r="51" spans="1:15" x14ac:dyDescent="0.25">
      <c r="A51" s="18" t="s">
        <v>32</v>
      </c>
      <c r="B51" s="61">
        <v>2</v>
      </c>
      <c r="C51" s="61" t="s">
        <v>53</v>
      </c>
      <c r="D51" s="61">
        <v>1</v>
      </c>
      <c r="E51" s="19" t="s">
        <v>57</v>
      </c>
      <c r="H51" s="16">
        <v>0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61">
        <v>1</v>
      </c>
      <c r="C52" s="61" t="s">
        <v>53</v>
      </c>
      <c r="D52" s="61">
        <v>0</v>
      </c>
      <c r="E52" s="19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57</v>
      </c>
      <c r="B53" s="61">
        <v>2</v>
      </c>
      <c r="C53" s="61" t="s">
        <v>53</v>
      </c>
      <c r="D53" s="61">
        <v>1</v>
      </c>
      <c r="E53" s="19" t="s">
        <v>18</v>
      </c>
      <c r="H53" s="16">
        <v>5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61">
        <v>2</v>
      </c>
      <c r="C54" s="61" t="s">
        <v>53</v>
      </c>
      <c r="D54" s="61">
        <v>2</v>
      </c>
      <c r="E54" s="19" t="s">
        <v>32</v>
      </c>
      <c r="H54" s="16">
        <v>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57</v>
      </c>
      <c r="B55" s="61">
        <v>1</v>
      </c>
      <c r="C55" s="61" t="s">
        <v>53</v>
      </c>
      <c r="D55" s="61">
        <v>1</v>
      </c>
      <c r="E55" s="19" t="s">
        <v>27</v>
      </c>
      <c r="H55" s="16">
        <v>5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61">
        <v>1</v>
      </c>
      <c r="C56" s="61" t="s">
        <v>53</v>
      </c>
      <c r="D56" s="61">
        <v>2</v>
      </c>
      <c r="E56" s="19" t="s">
        <v>32</v>
      </c>
      <c r="H56" s="16">
        <v>15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145" t="s">
        <v>173</v>
      </c>
    </row>
    <row r="58" spans="1:15" x14ac:dyDescent="0.25">
      <c r="A58" s="135" t="str">
        <f>_xlfn.CONCAT(W2,A57)</f>
        <v>Ivan Alex_1 - Oitavas de Final</v>
      </c>
      <c r="B58" s="135"/>
      <c r="C58" s="135"/>
      <c r="D58" s="135"/>
      <c r="E58" s="135"/>
      <c r="K58" s="136" t="s">
        <v>171</v>
      </c>
      <c r="L58" s="136"/>
      <c r="M58" s="136"/>
      <c r="N58" s="136"/>
      <c r="O58" s="136"/>
    </row>
    <row r="59" spans="1:15" x14ac:dyDescent="0.25">
      <c r="A59" s="66" t="s">
        <v>19</v>
      </c>
      <c r="B59" s="2">
        <v>2</v>
      </c>
      <c r="C59" s="2" t="s">
        <v>53</v>
      </c>
      <c r="D59" s="2">
        <v>1</v>
      </c>
      <c r="E59" s="65" t="s">
        <v>166</v>
      </c>
      <c r="H59" s="16">
        <v>15</v>
      </c>
      <c r="J59" s="17" t="str">
        <f>IF(Tabela!F32="","",Tabela!F32)</f>
        <v/>
      </c>
      <c r="K59" s="67" t="str">
        <f>Tabela!A32</f>
        <v>Holanda</v>
      </c>
      <c r="L59" s="67">
        <f>Tabela!B32</f>
        <v>3</v>
      </c>
      <c r="M59" s="67" t="str">
        <f>Tabela!C32</f>
        <v>X</v>
      </c>
      <c r="N59" s="67">
        <f>Tabela!D32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1</v>
      </c>
      <c r="E60" s="65" t="s">
        <v>6</v>
      </c>
      <c r="J60" s="17" t="str">
        <f>IF(Tabela!F33="","",Tabela!F33)</f>
        <v>N</v>
      </c>
      <c r="K60" s="67" t="str">
        <f>Tabela!A33</f>
        <v>Argentina</v>
      </c>
      <c r="L60" s="67">
        <f>Tabela!B33</f>
        <v>0</v>
      </c>
      <c r="M60" s="67" t="str">
        <f>Tabela!C33</f>
        <v>X</v>
      </c>
      <c r="N60" s="67">
        <f>Tabela!D33</f>
        <v>0</v>
      </c>
      <c r="O60" s="67" t="str">
        <f>Tabela!E33</f>
        <v>Austrália</v>
      </c>
    </row>
    <row r="61" spans="1:15" x14ac:dyDescent="0.25">
      <c r="A61" s="66" t="s">
        <v>22</v>
      </c>
      <c r="B61" s="2">
        <v>1</v>
      </c>
      <c r="C61" s="2" t="s">
        <v>53</v>
      </c>
      <c r="D61" s="2">
        <v>2</v>
      </c>
      <c r="E61" s="65" t="s">
        <v>12</v>
      </c>
      <c r="J61" s="17" t="str">
        <f>IF(Tabela!F34="","",Tabela!F34)</f>
        <v>N</v>
      </c>
      <c r="K61" s="67" t="str">
        <f>Tabela!A34</f>
        <v>Japão</v>
      </c>
      <c r="L61" s="67">
        <f>Tabela!B34</f>
        <v>0</v>
      </c>
      <c r="M61" s="67" t="str">
        <f>Tabela!C34</f>
        <v>X</v>
      </c>
      <c r="N61" s="67">
        <f>Tabela!D34</f>
        <v>0</v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0</v>
      </c>
      <c r="E62" s="65" t="s">
        <v>167</v>
      </c>
      <c r="J62" s="17" t="str">
        <f>IF(Tabela!F35="","",Tabela!F35)</f>
        <v>N</v>
      </c>
      <c r="K62" s="67" t="str">
        <f>Tabela!A35</f>
        <v>Brasil</v>
      </c>
      <c r="L62" s="67">
        <f>Tabela!B35</f>
        <v>0</v>
      </c>
      <c r="M62" s="67" t="str">
        <f>Tabela!C35</f>
        <v>X</v>
      </c>
      <c r="N62" s="67">
        <f>Tabela!D35</f>
        <v>0</v>
      </c>
      <c r="O62" s="67" t="str">
        <f>Tabela!E35</f>
        <v>Coréia</v>
      </c>
    </row>
    <row r="63" spans="1:15" x14ac:dyDescent="0.25">
      <c r="A63" s="66" t="s">
        <v>20</v>
      </c>
      <c r="B63" s="2">
        <v>2</v>
      </c>
      <c r="C63" s="2" t="s">
        <v>53</v>
      </c>
      <c r="D63" s="2">
        <v>0</v>
      </c>
      <c r="E63" s="65" t="s">
        <v>28</v>
      </c>
      <c r="J63" s="17" t="str">
        <f>IF(Tabela!F36="","",Tabela!F36)</f>
        <v>N</v>
      </c>
      <c r="K63" s="67" t="str">
        <f>Tabela!A36</f>
        <v>Inglaterra</v>
      </c>
      <c r="L63" s="67">
        <f>Tabela!B36</f>
        <v>0</v>
      </c>
      <c r="M63" s="67" t="str">
        <f>Tabela!C36</f>
        <v>X</v>
      </c>
      <c r="N63" s="67">
        <f>Tabela!D36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2</v>
      </c>
      <c r="C64" s="2" t="s">
        <v>53</v>
      </c>
      <c r="D64" s="2">
        <v>1</v>
      </c>
      <c r="E64" s="65" t="s">
        <v>26</v>
      </c>
      <c r="J64" s="17" t="str">
        <f>IF(Tabela!F37="","",Tabela!F37)</f>
        <v>N</v>
      </c>
      <c r="K64" s="67" t="str">
        <f>Tabela!A37</f>
        <v>França</v>
      </c>
      <c r="L64" s="67">
        <f>Tabela!B37</f>
        <v>0</v>
      </c>
      <c r="M64" s="67" t="str">
        <f>Tabela!C37</f>
        <v>X</v>
      </c>
      <c r="N64" s="67">
        <f>Tabela!D37</f>
        <v>0</v>
      </c>
      <c r="O64" s="67" t="str">
        <f>Tabela!E37</f>
        <v>Polônia</v>
      </c>
    </row>
    <row r="65" spans="1:15" x14ac:dyDescent="0.25">
      <c r="A65" s="66" t="s">
        <v>23</v>
      </c>
      <c r="B65" s="2">
        <v>2</v>
      </c>
      <c r="C65" s="2" t="s">
        <v>53</v>
      </c>
      <c r="D65" s="2">
        <v>1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7">
        <f>Tabela!B38</f>
        <v>0</v>
      </c>
      <c r="M65" s="67" t="str">
        <f>Tabela!C38</f>
        <v>X</v>
      </c>
      <c r="N65" s="67">
        <f>Tabela!D38</f>
        <v>0</v>
      </c>
      <c r="O65" s="67" t="str">
        <f>Tabela!E38</f>
        <v>Espanha</v>
      </c>
    </row>
    <row r="66" spans="1:15" x14ac:dyDescent="0.25">
      <c r="A66" s="66" t="s">
        <v>27</v>
      </c>
      <c r="B66" s="2">
        <v>2</v>
      </c>
      <c r="C66" s="2" t="s">
        <v>53</v>
      </c>
      <c r="D66" s="2">
        <v>2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7">
        <f>Tabela!B39</f>
        <v>0</v>
      </c>
      <c r="M66" s="67" t="str">
        <f>Tabela!C39</f>
        <v>X</v>
      </c>
      <c r="N66" s="67">
        <f>Tabela!D39</f>
        <v>0</v>
      </c>
      <c r="O66" s="67" t="str">
        <f>Tabela!E39</f>
        <v>Suíça</v>
      </c>
    </row>
  </sheetData>
  <mergeCells count="70">
    <mergeCell ref="A58:E58"/>
    <mergeCell ref="K58:O58"/>
    <mergeCell ref="U27:V27"/>
    <mergeCell ref="S27:T27"/>
    <mergeCell ref="S28:T28"/>
    <mergeCell ref="U28:V28"/>
    <mergeCell ref="Q27:R27"/>
    <mergeCell ref="Q28:R28"/>
    <mergeCell ref="W28:Y28"/>
    <mergeCell ref="AC28:AE28"/>
    <mergeCell ref="W29:Y29"/>
    <mergeCell ref="AC29:AE29"/>
    <mergeCell ref="W30:Y30"/>
    <mergeCell ref="AC30:AE30"/>
    <mergeCell ref="W25:Y25"/>
    <mergeCell ref="AC25:AE25"/>
    <mergeCell ref="W26:Y26"/>
    <mergeCell ref="AC26:AE26"/>
    <mergeCell ref="W27:Y27"/>
    <mergeCell ref="AC27:AE27"/>
    <mergeCell ref="W22:Y22"/>
    <mergeCell ref="AC22:AE22"/>
    <mergeCell ref="W23:Y23"/>
    <mergeCell ref="AC23:AE23"/>
    <mergeCell ref="W24:Y24"/>
    <mergeCell ref="AC24:AE24"/>
    <mergeCell ref="W19:Y19"/>
    <mergeCell ref="AC19:AE19"/>
    <mergeCell ref="W20:Y20"/>
    <mergeCell ref="AC20:AE20"/>
    <mergeCell ref="W21:Y21"/>
    <mergeCell ref="AC21:AE21"/>
    <mergeCell ref="W16:Y16"/>
    <mergeCell ref="AC16:AE16"/>
    <mergeCell ref="W17:Y17"/>
    <mergeCell ref="AC17:AE17"/>
    <mergeCell ref="W18:Y18"/>
    <mergeCell ref="AC18:AE18"/>
    <mergeCell ref="AC13:AE13"/>
    <mergeCell ref="W14:Y14"/>
    <mergeCell ref="AC14:AE14"/>
    <mergeCell ref="W15:Y15"/>
    <mergeCell ref="AC15:AE15"/>
    <mergeCell ref="W13:Y13"/>
    <mergeCell ref="W11:Y11"/>
    <mergeCell ref="AC11:AE11"/>
    <mergeCell ref="W12:Y12"/>
    <mergeCell ref="AC12:AE12"/>
    <mergeCell ref="W10:Y10"/>
    <mergeCell ref="A1:E1"/>
    <mergeCell ref="K1:O1"/>
    <mergeCell ref="A8:E8"/>
    <mergeCell ref="A15:E15"/>
    <mergeCell ref="K8:O8"/>
    <mergeCell ref="W2:AE6"/>
    <mergeCell ref="A36:E36"/>
    <mergeCell ref="A43:E43"/>
    <mergeCell ref="A50:E50"/>
    <mergeCell ref="K15:O15"/>
    <mergeCell ref="K22:O22"/>
    <mergeCell ref="K29:O29"/>
    <mergeCell ref="K36:O36"/>
    <mergeCell ref="K43:O43"/>
    <mergeCell ref="K50:O50"/>
    <mergeCell ref="A22:E22"/>
    <mergeCell ref="A29:E29"/>
    <mergeCell ref="Q11:U15"/>
    <mergeCell ref="Q9:U10"/>
    <mergeCell ref="W9:AE9"/>
    <mergeCell ref="AC10:AE10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6DFCCA-60D7-4B3E-A3EA-005CC8322C9C}">
  <sheetPr codeName="Planilha7">
    <tabColor theme="8" tint="-0.249977111117893"/>
  </sheetPr>
  <dimension ref="A1:AE66"/>
  <sheetViews>
    <sheetView zoomScale="85" zoomScaleNormal="85" workbookViewId="0">
      <pane xSplit="15" ySplit="16" topLeftCell="P56" activePane="bottomRight" state="frozen"/>
      <selection pane="topRight" activeCell="P1" sqref="P1"/>
      <selection pane="bottomLeft" activeCell="A17" sqref="A17"/>
      <selection pane="bottomRight" activeCell="Q25" sqref="Q25:U25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54" width="5.7109375" style="17" customWidth="1"/>
    <col min="55" max="16384" width="9.140625" style="17"/>
  </cols>
  <sheetData>
    <row r="1" spans="1:31" x14ac:dyDescent="0.25">
      <c r="A1" s="127" t="s">
        <v>58</v>
      </c>
      <c r="B1" s="127"/>
      <c r="C1" s="127"/>
      <c r="D1" s="127"/>
      <c r="E1" s="127"/>
      <c r="K1" s="128" t="s">
        <v>58</v>
      </c>
      <c r="L1" s="128"/>
      <c r="M1" s="128"/>
      <c r="N1" s="128"/>
      <c r="O1" s="128"/>
    </row>
    <row r="2" spans="1:31" x14ac:dyDescent="0.25">
      <c r="A2" s="18" t="s">
        <v>11</v>
      </c>
      <c r="B2" s="16">
        <v>0</v>
      </c>
      <c r="C2" s="16" t="s">
        <v>53</v>
      </c>
      <c r="D2" s="16">
        <v>2</v>
      </c>
      <c r="E2" s="19" t="s">
        <v>14</v>
      </c>
      <c r="H2" s="16">
        <v>25</v>
      </c>
      <c r="J2" s="17" t="str">
        <f>IF(Tabela!F3="","",Tabela!F3)</f>
        <v/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31" t="s">
        <v>92</v>
      </c>
      <c r="X2" s="131"/>
      <c r="Y2" s="131"/>
      <c r="Z2" s="131"/>
      <c r="AA2" s="131"/>
      <c r="AB2" s="131"/>
      <c r="AC2" s="131"/>
      <c r="AD2" s="131"/>
      <c r="AE2" s="131"/>
    </row>
    <row r="3" spans="1:31" x14ac:dyDescent="0.25">
      <c r="A3" s="18" t="s">
        <v>28</v>
      </c>
      <c r="B3" s="16">
        <v>0</v>
      </c>
      <c r="C3" s="16" t="s">
        <v>53</v>
      </c>
      <c r="D3" s="16">
        <v>2</v>
      </c>
      <c r="E3" s="19" t="s">
        <v>19</v>
      </c>
      <c r="H3" s="16">
        <v>25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31"/>
      <c r="X3" s="131"/>
      <c r="Y3" s="131"/>
      <c r="Z3" s="131"/>
      <c r="AA3" s="131"/>
      <c r="AB3" s="131"/>
      <c r="AC3" s="131"/>
      <c r="AD3" s="131"/>
      <c r="AE3" s="131"/>
    </row>
    <row r="4" spans="1:31" x14ac:dyDescent="0.25">
      <c r="A4" s="18" t="s">
        <v>11</v>
      </c>
      <c r="B4" s="16">
        <v>1</v>
      </c>
      <c r="C4" s="16" t="s">
        <v>53</v>
      </c>
      <c r="D4" s="16">
        <v>2</v>
      </c>
      <c r="E4" s="19" t="s">
        <v>28</v>
      </c>
      <c r="H4" s="16">
        <v>15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31"/>
      <c r="X4" s="131"/>
      <c r="Y4" s="131"/>
      <c r="Z4" s="131"/>
      <c r="AA4" s="131"/>
      <c r="AB4" s="131"/>
      <c r="AC4" s="131"/>
      <c r="AD4" s="131"/>
      <c r="AE4" s="131"/>
    </row>
    <row r="5" spans="1:31" x14ac:dyDescent="0.25">
      <c r="A5" s="18" t="s">
        <v>19</v>
      </c>
      <c r="B5" s="16">
        <v>1</v>
      </c>
      <c r="C5" s="16" t="s">
        <v>53</v>
      </c>
      <c r="D5" s="16">
        <v>1</v>
      </c>
      <c r="E5" s="19" t="s">
        <v>14</v>
      </c>
      <c r="H5" s="16">
        <v>25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31"/>
      <c r="X5" s="131"/>
      <c r="Y5" s="131"/>
      <c r="Z5" s="131"/>
      <c r="AA5" s="131"/>
      <c r="AB5" s="131"/>
      <c r="AC5" s="131"/>
      <c r="AD5" s="131"/>
      <c r="AE5" s="131"/>
    </row>
    <row r="6" spans="1:31" x14ac:dyDescent="0.25">
      <c r="A6" s="18" t="s">
        <v>19</v>
      </c>
      <c r="B6" s="16">
        <v>2</v>
      </c>
      <c r="C6" s="16" t="s">
        <v>53</v>
      </c>
      <c r="D6" s="16">
        <v>0</v>
      </c>
      <c r="E6" s="19" t="s">
        <v>11</v>
      </c>
      <c r="H6" s="16">
        <v>25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31"/>
      <c r="X6" s="131"/>
      <c r="Y6" s="131"/>
      <c r="Z6" s="131"/>
      <c r="AA6" s="131"/>
      <c r="AB6" s="131"/>
      <c r="AC6" s="131"/>
      <c r="AD6" s="131"/>
      <c r="AE6" s="131"/>
    </row>
    <row r="7" spans="1:31" x14ac:dyDescent="0.25">
      <c r="A7" s="18" t="s">
        <v>14</v>
      </c>
      <c r="B7" s="16">
        <v>2</v>
      </c>
      <c r="C7" s="16" t="s">
        <v>53</v>
      </c>
      <c r="D7" s="16">
        <v>1</v>
      </c>
      <c r="E7" s="19" t="s">
        <v>28</v>
      </c>
      <c r="H7" s="16">
        <v>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32" t="s">
        <v>65</v>
      </c>
      <c r="B8" s="132"/>
      <c r="C8" s="132"/>
      <c r="D8" s="132"/>
      <c r="E8" s="132"/>
      <c r="J8" s="17" t="str">
        <f>IF(Tabela!F9="","",Tabela!F9)</f>
        <v/>
      </c>
      <c r="K8" s="128" t="s">
        <v>65</v>
      </c>
      <c r="L8" s="128"/>
      <c r="M8" s="128"/>
      <c r="N8" s="128"/>
      <c r="O8" s="128"/>
    </row>
    <row r="9" spans="1:31" x14ac:dyDescent="0.25">
      <c r="A9" s="18" t="s">
        <v>20</v>
      </c>
      <c r="B9" s="16">
        <v>2</v>
      </c>
      <c r="C9" s="16" t="s">
        <v>53</v>
      </c>
      <c r="D9" s="16">
        <v>0</v>
      </c>
      <c r="E9" s="19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29" t="s">
        <v>66</v>
      </c>
      <c r="R9" s="129"/>
      <c r="S9" s="129"/>
      <c r="T9" s="129"/>
      <c r="U9" s="129"/>
      <c r="W9" s="68" t="s">
        <v>124</v>
      </c>
      <c r="X9" s="68"/>
      <c r="Y9" s="68"/>
      <c r="Z9" s="68"/>
      <c r="AA9" s="68"/>
      <c r="AB9" s="68"/>
      <c r="AC9" s="68"/>
      <c r="AD9" s="68"/>
      <c r="AE9" s="68"/>
    </row>
    <row r="10" spans="1:31" x14ac:dyDescent="0.25">
      <c r="A10" s="18" t="s">
        <v>54</v>
      </c>
      <c r="B10" s="16">
        <v>1</v>
      </c>
      <c r="C10" s="16" t="s">
        <v>53</v>
      </c>
      <c r="D10" s="16">
        <v>0</v>
      </c>
      <c r="E10" s="19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29"/>
      <c r="R10" s="129"/>
      <c r="S10" s="129"/>
      <c r="T10" s="129"/>
      <c r="U10" s="129"/>
      <c r="W10" s="68" t="s">
        <v>11</v>
      </c>
      <c r="X10" s="68"/>
      <c r="Y10" s="68"/>
      <c r="Z10" s="54">
        <v>0</v>
      </c>
      <c r="AB10" s="54">
        <v>2</v>
      </c>
      <c r="AC10" s="68" t="s">
        <v>14</v>
      </c>
      <c r="AD10" s="68"/>
      <c r="AE10" s="68"/>
    </row>
    <row r="11" spans="1:31" x14ac:dyDescent="0.25">
      <c r="A11" s="18" t="s">
        <v>34</v>
      </c>
      <c r="B11" s="16">
        <v>0</v>
      </c>
      <c r="C11" s="16" t="s">
        <v>53</v>
      </c>
      <c r="D11" s="16">
        <v>1</v>
      </c>
      <c r="E11" s="19" t="s">
        <v>21</v>
      </c>
      <c r="H11" s="16">
        <v>15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30">
        <f>SUM(H2:H66)</f>
        <v>530</v>
      </c>
      <c r="R11" s="130"/>
      <c r="S11" s="130"/>
      <c r="T11" s="130"/>
      <c r="U11" s="130"/>
      <c r="W11" s="68" t="s">
        <v>28</v>
      </c>
      <c r="X11" s="68"/>
      <c r="Y11" s="68"/>
      <c r="Z11" s="54">
        <v>0</v>
      </c>
      <c r="AB11" s="54">
        <v>2</v>
      </c>
      <c r="AC11" s="68" t="s">
        <v>19</v>
      </c>
      <c r="AD11" s="68"/>
      <c r="AE11" s="68"/>
    </row>
    <row r="12" spans="1:31" x14ac:dyDescent="0.25">
      <c r="A12" s="18" t="s">
        <v>20</v>
      </c>
      <c r="B12" s="16">
        <v>2</v>
      </c>
      <c r="C12" s="16" t="s">
        <v>53</v>
      </c>
      <c r="D12" s="16">
        <v>1</v>
      </c>
      <c r="E12" s="19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30"/>
      <c r="R12" s="130"/>
      <c r="S12" s="130"/>
      <c r="T12" s="130"/>
      <c r="U12" s="130"/>
      <c r="W12" s="68" t="s">
        <v>19</v>
      </c>
      <c r="X12" s="68"/>
      <c r="Y12" s="68"/>
      <c r="Z12" s="54">
        <v>1</v>
      </c>
      <c r="AB12" s="54">
        <v>1</v>
      </c>
      <c r="AC12" s="68" t="s">
        <v>14</v>
      </c>
      <c r="AD12" s="68"/>
      <c r="AE12" s="68"/>
    </row>
    <row r="13" spans="1:31" x14ac:dyDescent="0.25">
      <c r="A13" s="18" t="s">
        <v>21</v>
      </c>
      <c r="B13" s="16">
        <v>0</v>
      </c>
      <c r="C13" s="16" t="s">
        <v>53</v>
      </c>
      <c r="D13" s="16">
        <v>1</v>
      </c>
      <c r="E13" s="19" t="s">
        <v>54</v>
      </c>
      <c r="H13" s="16">
        <v>25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30"/>
      <c r="R13" s="130"/>
      <c r="S13" s="130"/>
      <c r="T13" s="130"/>
      <c r="U13" s="130"/>
      <c r="W13" s="68" t="s">
        <v>19</v>
      </c>
      <c r="X13" s="68"/>
      <c r="Y13" s="68"/>
      <c r="Z13" s="54">
        <v>2</v>
      </c>
      <c r="AB13" s="54">
        <v>0</v>
      </c>
      <c r="AC13" s="68" t="s">
        <v>11</v>
      </c>
      <c r="AD13" s="68"/>
      <c r="AE13" s="68"/>
    </row>
    <row r="14" spans="1:31" x14ac:dyDescent="0.25">
      <c r="A14" s="18" t="s">
        <v>34</v>
      </c>
      <c r="B14" s="16">
        <v>0</v>
      </c>
      <c r="C14" s="16" t="s">
        <v>53</v>
      </c>
      <c r="D14" s="16">
        <v>3</v>
      </c>
      <c r="E14" s="19" t="s">
        <v>20</v>
      </c>
      <c r="H14" s="16">
        <v>25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30"/>
      <c r="R14" s="130"/>
      <c r="S14" s="130"/>
      <c r="T14" s="130"/>
      <c r="U14" s="130"/>
      <c r="W14" s="68" t="s">
        <v>21</v>
      </c>
      <c r="X14" s="68"/>
      <c r="Y14" s="68"/>
      <c r="Z14" s="54">
        <v>0</v>
      </c>
      <c r="AB14" s="54">
        <v>1</v>
      </c>
      <c r="AC14" s="68" t="s">
        <v>16</v>
      </c>
      <c r="AD14" s="68"/>
      <c r="AE14" s="68"/>
    </row>
    <row r="15" spans="1:31" x14ac:dyDescent="0.25">
      <c r="A15" s="132" t="s">
        <v>64</v>
      </c>
      <c r="B15" s="132"/>
      <c r="C15" s="132"/>
      <c r="D15" s="132"/>
      <c r="E15" s="132"/>
      <c r="J15" s="17" t="str">
        <f>IF(Tabela!F16="","",Tabela!F16)</f>
        <v/>
      </c>
      <c r="K15" s="128" t="s">
        <v>64</v>
      </c>
      <c r="L15" s="128"/>
      <c r="M15" s="128"/>
      <c r="N15" s="128"/>
      <c r="O15" s="128"/>
      <c r="Q15" s="130"/>
      <c r="R15" s="130"/>
      <c r="S15" s="130"/>
      <c r="T15" s="130"/>
      <c r="U15" s="130"/>
      <c r="W15" s="68" t="s">
        <v>34</v>
      </c>
      <c r="X15" s="68"/>
      <c r="Y15" s="68"/>
      <c r="Z15" s="54">
        <v>0</v>
      </c>
      <c r="AB15" s="54">
        <v>3</v>
      </c>
      <c r="AC15" s="68" t="s">
        <v>20</v>
      </c>
      <c r="AD15" s="68"/>
      <c r="AE15" s="68"/>
    </row>
    <row r="16" spans="1:31" x14ac:dyDescent="0.25">
      <c r="A16" s="18" t="s">
        <v>5</v>
      </c>
      <c r="B16" s="16">
        <v>2</v>
      </c>
      <c r="C16" s="16" t="s">
        <v>53</v>
      </c>
      <c r="D16" s="16">
        <v>0</v>
      </c>
      <c r="E16" s="19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68" t="s">
        <v>26</v>
      </c>
      <c r="X16" s="68"/>
      <c r="Y16" s="68"/>
      <c r="Z16" s="54">
        <v>2</v>
      </c>
      <c r="AB16" s="54">
        <v>0</v>
      </c>
      <c r="AC16" s="68" t="s">
        <v>55</v>
      </c>
      <c r="AD16" s="68"/>
      <c r="AE16" s="68"/>
    </row>
    <row r="17" spans="1:31" x14ac:dyDescent="0.25">
      <c r="A17" s="18" t="s">
        <v>24</v>
      </c>
      <c r="B17" s="16">
        <v>1</v>
      </c>
      <c r="C17" s="16" t="s">
        <v>53</v>
      </c>
      <c r="D17" s="16">
        <v>2</v>
      </c>
      <c r="E17" s="19" t="s">
        <v>26</v>
      </c>
      <c r="H17" s="16">
        <v>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68" t="s">
        <v>31</v>
      </c>
      <c r="X17" s="68"/>
      <c r="Y17" s="68"/>
      <c r="Z17" s="54">
        <v>0</v>
      </c>
      <c r="AB17" s="54">
        <v>1</v>
      </c>
      <c r="AC17" s="68" t="s">
        <v>6</v>
      </c>
      <c r="AD17" s="68"/>
      <c r="AE17" s="68"/>
    </row>
    <row r="18" spans="1:31" x14ac:dyDescent="0.25">
      <c r="A18" s="18" t="s">
        <v>26</v>
      </c>
      <c r="B18" s="16">
        <v>2</v>
      </c>
      <c r="C18" s="16" t="s">
        <v>53</v>
      </c>
      <c r="D18" s="16">
        <v>0</v>
      </c>
      <c r="E18" s="19" t="s">
        <v>55</v>
      </c>
      <c r="H18" s="16">
        <v>25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W18" s="68" t="s">
        <v>22</v>
      </c>
      <c r="X18" s="68"/>
      <c r="Y18" s="68"/>
      <c r="Z18" s="54">
        <v>0</v>
      </c>
      <c r="AB18" s="54">
        <v>1</v>
      </c>
      <c r="AC18" s="68" t="s">
        <v>56</v>
      </c>
      <c r="AD18" s="68"/>
      <c r="AE18" s="68"/>
    </row>
    <row r="19" spans="1:31" x14ac:dyDescent="0.25">
      <c r="A19" s="18" t="s">
        <v>5</v>
      </c>
      <c r="B19" s="16">
        <v>3</v>
      </c>
      <c r="C19" s="16" t="s">
        <v>53</v>
      </c>
      <c r="D19" s="16">
        <v>1</v>
      </c>
      <c r="E19" s="19" t="s">
        <v>24</v>
      </c>
      <c r="H19" s="16">
        <v>10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W19" s="68" t="s">
        <v>15</v>
      </c>
      <c r="X19" s="68"/>
      <c r="Y19" s="68"/>
      <c r="Z19" s="54">
        <v>1</v>
      </c>
      <c r="AB19" s="54">
        <v>1</v>
      </c>
      <c r="AC19" s="68" t="s">
        <v>4</v>
      </c>
      <c r="AD19" s="68"/>
      <c r="AE19" s="68"/>
    </row>
    <row r="20" spans="1:31" x14ac:dyDescent="0.25">
      <c r="A20" s="18" t="s">
        <v>26</v>
      </c>
      <c r="B20" s="16">
        <v>1</v>
      </c>
      <c r="C20" s="16" t="s">
        <v>53</v>
      </c>
      <c r="D20" s="16">
        <v>2</v>
      </c>
      <c r="E20" s="19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68" t="s">
        <v>30</v>
      </c>
      <c r="X20" s="68"/>
      <c r="Y20" s="68"/>
      <c r="Z20" s="54">
        <v>1</v>
      </c>
      <c r="AB20" s="54">
        <v>0</v>
      </c>
      <c r="AC20" s="68" t="s">
        <v>9</v>
      </c>
      <c r="AD20" s="68"/>
      <c r="AE20" s="68"/>
    </row>
    <row r="21" spans="1:31" x14ac:dyDescent="0.25">
      <c r="A21" s="18" t="s">
        <v>55</v>
      </c>
      <c r="B21" s="16">
        <v>0</v>
      </c>
      <c r="C21" s="16" t="s">
        <v>53</v>
      </c>
      <c r="D21" s="16">
        <v>1</v>
      </c>
      <c r="E21" s="19" t="s">
        <v>24</v>
      </c>
      <c r="H21" s="16">
        <v>10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W21" s="68" t="s">
        <v>8</v>
      </c>
      <c r="X21" s="68"/>
      <c r="Y21" s="68"/>
      <c r="Z21" s="54">
        <v>2</v>
      </c>
      <c r="AB21" s="54">
        <v>0</v>
      </c>
      <c r="AC21" s="68" t="s">
        <v>29</v>
      </c>
      <c r="AD21" s="68"/>
      <c r="AE21" s="68"/>
    </row>
    <row r="22" spans="1:31" x14ac:dyDescent="0.25">
      <c r="A22" s="132" t="s">
        <v>63</v>
      </c>
      <c r="B22" s="132"/>
      <c r="C22" s="132"/>
      <c r="D22" s="132"/>
      <c r="E22" s="132"/>
      <c r="J22" s="17" t="str">
        <f>IF(Tabela!F23="","",Tabela!F23)</f>
        <v/>
      </c>
      <c r="K22" s="128" t="s">
        <v>63</v>
      </c>
      <c r="L22" s="128"/>
      <c r="M22" s="128"/>
      <c r="N22" s="128"/>
      <c r="O22" s="128"/>
      <c r="W22" s="68"/>
      <c r="X22" s="68"/>
      <c r="Y22" s="68"/>
      <c r="AC22" s="68"/>
      <c r="AD22" s="68"/>
      <c r="AE22" s="68"/>
    </row>
    <row r="23" spans="1:31" x14ac:dyDescent="0.25">
      <c r="A23" s="18" t="s">
        <v>13</v>
      </c>
      <c r="B23" s="16">
        <v>2</v>
      </c>
      <c r="C23" s="16" t="s">
        <v>53</v>
      </c>
      <c r="D23" s="16">
        <v>0</v>
      </c>
      <c r="E23" s="19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68"/>
      <c r="X23" s="68"/>
      <c r="Y23" s="68"/>
      <c r="AC23" s="68"/>
      <c r="AD23" s="68"/>
      <c r="AE23" s="68"/>
    </row>
    <row r="24" spans="1:31" x14ac:dyDescent="0.25">
      <c r="A24" s="18" t="s">
        <v>17</v>
      </c>
      <c r="B24" s="16">
        <v>2</v>
      </c>
      <c r="C24" s="16" t="s">
        <v>53</v>
      </c>
      <c r="D24" s="16">
        <v>0</v>
      </c>
      <c r="E24" s="19" t="s">
        <v>6</v>
      </c>
      <c r="H24" s="16">
        <v>10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Q24" s="17">
        <v>25</v>
      </c>
      <c r="R24" s="17">
        <v>15</v>
      </c>
      <c r="S24" s="17">
        <v>10</v>
      </c>
      <c r="T24" s="17">
        <v>5</v>
      </c>
      <c r="U24" s="17">
        <v>0</v>
      </c>
      <c r="W24" s="68"/>
      <c r="X24" s="68"/>
      <c r="Y24" s="68"/>
      <c r="AC24" s="68"/>
      <c r="AD24" s="68"/>
      <c r="AE24" s="68"/>
    </row>
    <row r="25" spans="1:31" x14ac:dyDescent="0.25">
      <c r="A25" s="18" t="s">
        <v>31</v>
      </c>
      <c r="B25" s="16">
        <v>0</v>
      </c>
      <c r="C25" s="16" t="s">
        <v>53</v>
      </c>
      <c r="D25" s="16">
        <v>1</v>
      </c>
      <c r="E25" s="19" t="s">
        <v>6</v>
      </c>
      <c r="H25" s="16">
        <v>25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Q25" s="22">
        <v>12</v>
      </c>
      <c r="R25" s="22">
        <v>5</v>
      </c>
      <c r="S25" s="22">
        <v>12</v>
      </c>
      <c r="T25" s="22">
        <v>7</v>
      </c>
      <c r="U25" s="22">
        <v>13</v>
      </c>
      <c r="W25" s="68"/>
      <c r="X25" s="68"/>
      <c r="Y25" s="68"/>
      <c r="AC25" s="68"/>
      <c r="AD25" s="68"/>
      <c r="AE25" s="68"/>
    </row>
    <row r="26" spans="1:31" x14ac:dyDescent="0.25">
      <c r="A26" s="18" t="s">
        <v>17</v>
      </c>
      <c r="B26" s="16">
        <v>1</v>
      </c>
      <c r="C26" s="16" t="s">
        <v>53</v>
      </c>
      <c r="D26" s="16">
        <v>2</v>
      </c>
      <c r="E26" s="19" t="s">
        <v>13</v>
      </c>
      <c r="H26" s="16">
        <v>0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68"/>
      <c r="X26" s="68"/>
      <c r="Y26" s="68"/>
      <c r="AC26" s="68"/>
      <c r="AD26" s="68"/>
      <c r="AE26" s="68"/>
    </row>
    <row r="27" spans="1:31" x14ac:dyDescent="0.25">
      <c r="A27" s="18" t="s">
        <v>31</v>
      </c>
      <c r="B27" s="16">
        <v>0</v>
      </c>
      <c r="C27" s="16" t="s">
        <v>53</v>
      </c>
      <c r="D27" s="16">
        <v>2</v>
      </c>
      <c r="E27" s="19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Q27" s="124" t="s">
        <v>42</v>
      </c>
      <c r="R27" s="124"/>
      <c r="S27" s="125" t="s">
        <v>20</v>
      </c>
      <c r="T27" s="125"/>
      <c r="U27" s="125" t="s">
        <v>8</v>
      </c>
      <c r="V27" s="125"/>
      <c r="W27" s="68"/>
      <c r="X27" s="68"/>
      <c r="Y27" s="68"/>
      <c r="AC27" s="68"/>
      <c r="AD27" s="68"/>
      <c r="AE27" s="68"/>
    </row>
    <row r="28" spans="1:31" x14ac:dyDescent="0.25">
      <c r="A28" s="18" t="s">
        <v>6</v>
      </c>
      <c r="B28" s="16">
        <v>1</v>
      </c>
      <c r="C28" s="16" t="s">
        <v>53</v>
      </c>
      <c r="D28" s="16">
        <v>3</v>
      </c>
      <c r="E28" s="19" t="s">
        <v>13</v>
      </c>
      <c r="H28" s="16">
        <v>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Q28" s="124" t="s">
        <v>41</v>
      </c>
      <c r="R28" s="124"/>
      <c r="S28" s="126" t="s">
        <v>137</v>
      </c>
      <c r="T28" s="126"/>
      <c r="U28" s="126" t="s">
        <v>127</v>
      </c>
      <c r="V28" s="126"/>
      <c r="W28" s="68"/>
      <c r="X28" s="68"/>
      <c r="Y28" s="68"/>
      <c r="AC28" s="68"/>
      <c r="AD28" s="68"/>
      <c r="AE28" s="68"/>
    </row>
    <row r="29" spans="1:31" x14ac:dyDescent="0.25">
      <c r="A29" s="132" t="s">
        <v>62</v>
      </c>
      <c r="B29" s="132"/>
      <c r="C29" s="132"/>
      <c r="D29" s="132"/>
      <c r="E29" s="132"/>
      <c r="K29" s="128" t="s">
        <v>62</v>
      </c>
      <c r="L29" s="128"/>
      <c r="M29" s="128"/>
      <c r="N29" s="128"/>
      <c r="O29" s="128"/>
      <c r="W29" s="68"/>
      <c r="X29" s="68"/>
      <c r="Y29" s="68"/>
      <c r="AC29" s="68"/>
      <c r="AD29" s="68"/>
      <c r="AE29" s="68"/>
    </row>
    <row r="30" spans="1:31" x14ac:dyDescent="0.25">
      <c r="A30" s="18" t="s">
        <v>4</v>
      </c>
      <c r="B30" s="16">
        <v>2</v>
      </c>
      <c r="C30" s="16" t="s">
        <v>53</v>
      </c>
      <c r="D30" s="16">
        <v>0</v>
      </c>
      <c r="E30" s="19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68"/>
      <c r="X30" s="68"/>
      <c r="Y30" s="68"/>
      <c r="AC30" s="68"/>
      <c r="AD30" s="68"/>
      <c r="AE30" s="68"/>
    </row>
    <row r="31" spans="1:31" x14ac:dyDescent="0.25">
      <c r="A31" s="18" t="s">
        <v>15</v>
      </c>
      <c r="B31" s="16">
        <v>3</v>
      </c>
      <c r="C31" s="16" t="s">
        <v>53</v>
      </c>
      <c r="D31" s="16">
        <v>1</v>
      </c>
      <c r="E31" s="19" t="s">
        <v>56</v>
      </c>
      <c r="H31" s="16">
        <v>10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0</v>
      </c>
      <c r="C32" s="16" t="s">
        <v>53</v>
      </c>
      <c r="D32" s="16">
        <v>1</v>
      </c>
      <c r="E32" s="19" t="s">
        <v>56</v>
      </c>
      <c r="H32" s="16">
        <v>25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1</v>
      </c>
      <c r="C33" s="16" t="s">
        <v>53</v>
      </c>
      <c r="D33" s="16">
        <v>1</v>
      </c>
      <c r="E33" s="19" t="s">
        <v>4</v>
      </c>
      <c r="H33" s="16">
        <v>25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0</v>
      </c>
      <c r="C34" s="16" t="s">
        <v>53</v>
      </c>
      <c r="D34" s="16">
        <v>2</v>
      </c>
      <c r="E34" s="19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0</v>
      </c>
      <c r="C35" s="16" t="s">
        <v>53</v>
      </c>
      <c r="D35" s="16">
        <v>2</v>
      </c>
      <c r="E35" s="19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32" t="s">
        <v>61</v>
      </c>
      <c r="B36" s="132"/>
      <c r="C36" s="132"/>
      <c r="D36" s="132"/>
      <c r="E36" s="132"/>
      <c r="J36" s="17" t="str">
        <f>IF(Tabela!L9="","",Tabela!L9)</f>
        <v/>
      </c>
      <c r="K36" s="128" t="s">
        <v>61</v>
      </c>
      <c r="L36" s="128"/>
      <c r="M36" s="128"/>
      <c r="N36" s="128"/>
      <c r="O36" s="128"/>
    </row>
    <row r="37" spans="1:15" x14ac:dyDescent="0.25">
      <c r="A37" s="18" t="s">
        <v>23</v>
      </c>
      <c r="B37" s="16">
        <v>0</v>
      </c>
      <c r="C37" s="16" t="s">
        <v>53</v>
      </c>
      <c r="D37" s="16">
        <v>1</v>
      </c>
      <c r="E37" s="19" t="s">
        <v>12</v>
      </c>
      <c r="H37" s="16">
        <v>5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2</v>
      </c>
      <c r="C38" s="16" t="s">
        <v>53</v>
      </c>
      <c r="D38" s="16">
        <v>0</v>
      </c>
      <c r="E38" s="19" t="s">
        <v>10</v>
      </c>
      <c r="H38" s="16">
        <v>15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2</v>
      </c>
      <c r="C39" s="16" t="s">
        <v>53</v>
      </c>
      <c r="D39" s="16">
        <v>0</v>
      </c>
      <c r="E39" s="19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1</v>
      </c>
      <c r="C40" s="16" t="s">
        <v>53</v>
      </c>
      <c r="D40" s="16">
        <v>0</v>
      </c>
      <c r="E40" s="19" t="s">
        <v>10</v>
      </c>
      <c r="H40" s="16">
        <v>10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1</v>
      </c>
      <c r="C41" s="16" t="s">
        <v>53</v>
      </c>
      <c r="D41" s="16">
        <v>2</v>
      </c>
      <c r="E41" s="19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1</v>
      </c>
      <c r="E42" s="19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32" t="s">
        <v>60</v>
      </c>
      <c r="B43" s="132"/>
      <c r="C43" s="132"/>
      <c r="D43" s="132"/>
      <c r="E43" s="132"/>
      <c r="J43" s="17" t="str">
        <f>IF(Tabela!L16="","",Tabela!L16)</f>
        <v/>
      </c>
      <c r="K43" s="128" t="s">
        <v>60</v>
      </c>
      <c r="L43" s="128"/>
      <c r="M43" s="128"/>
      <c r="N43" s="128"/>
      <c r="O43" s="128"/>
    </row>
    <row r="44" spans="1:15" x14ac:dyDescent="0.25">
      <c r="A44" s="18" t="s">
        <v>30</v>
      </c>
      <c r="B44" s="16">
        <v>1</v>
      </c>
      <c r="C44" s="16" t="s">
        <v>53</v>
      </c>
      <c r="D44" s="16">
        <v>0</v>
      </c>
      <c r="E44" s="19" t="s">
        <v>9</v>
      </c>
      <c r="H44" s="16">
        <v>25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2</v>
      </c>
      <c r="C45" s="16" t="s">
        <v>53</v>
      </c>
      <c r="D45" s="16">
        <v>0</v>
      </c>
      <c r="E45" s="19" t="s">
        <v>29</v>
      </c>
      <c r="H45" s="16">
        <v>25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0</v>
      </c>
      <c r="E46" s="19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1</v>
      </c>
      <c r="E47" s="19" t="s">
        <v>30</v>
      </c>
      <c r="H47" s="16">
        <v>10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2</v>
      </c>
      <c r="E48" s="19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2</v>
      </c>
      <c r="E49" s="19" t="s">
        <v>30</v>
      </c>
      <c r="H49" s="16">
        <v>10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32" t="s">
        <v>59</v>
      </c>
      <c r="B50" s="132"/>
      <c r="C50" s="132"/>
      <c r="D50" s="132"/>
      <c r="E50" s="132"/>
      <c r="J50" s="17" t="str">
        <f>IF(Tabela!L23="","",Tabela!L23)</f>
        <v/>
      </c>
      <c r="K50" s="128" t="s">
        <v>59</v>
      </c>
      <c r="L50" s="128"/>
      <c r="M50" s="128"/>
      <c r="N50" s="128"/>
      <c r="O50" s="128"/>
    </row>
    <row r="51" spans="1:15" x14ac:dyDescent="0.25">
      <c r="A51" s="18" t="s">
        <v>32</v>
      </c>
      <c r="B51" s="16">
        <v>2</v>
      </c>
      <c r="C51" s="16" t="s">
        <v>53</v>
      </c>
      <c r="D51" s="16">
        <v>0</v>
      </c>
      <c r="E51" s="19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2</v>
      </c>
      <c r="C52" s="16" t="s">
        <v>53</v>
      </c>
      <c r="D52" s="16">
        <v>1</v>
      </c>
      <c r="E52" s="19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0</v>
      </c>
      <c r="C53" s="16" t="s">
        <v>53</v>
      </c>
      <c r="D53" s="16">
        <v>1</v>
      </c>
      <c r="E53" s="19" t="s">
        <v>18</v>
      </c>
      <c r="H53" s="16">
        <v>10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1</v>
      </c>
      <c r="C54" s="16" t="s">
        <v>53</v>
      </c>
      <c r="D54" s="16">
        <v>2</v>
      </c>
      <c r="E54" s="19" t="s">
        <v>32</v>
      </c>
      <c r="H54" s="16">
        <v>0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0</v>
      </c>
      <c r="C55" s="16" t="s">
        <v>53</v>
      </c>
      <c r="D55" s="16">
        <v>1</v>
      </c>
      <c r="E55" s="19" t="s">
        <v>27</v>
      </c>
      <c r="H55" s="16">
        <v>5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3</v>
      </c>
      <c r="E56" s="19" t="s">
        <v>32</v>
      </c>
      <c r="H56" s="16">
        <v>10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145" t="s">
        <v>173</v>
      </c>
    </row>
    <row r="58" spans="1:15" x14ac:dyDescent="0.25">
      <c r="A58" s="135" t="str">
        <f>_xlfn.CONCAT(W2,A57)</f>
        <v>Bruno Flores - Oitavas de Final</v>
      </c>
      <c r="B58" s="135"/>
      <c r="C58" s="135"/>
      <c r="D58" s="135"/>
      <c r="E58" s="135"/>
      <c r="K58" s="136" t="s">
        <v>171</v>
      </c>
      <c r="L58" s="136"/>
      <c r="M58" s="136"/>
      <c r="N58" s="136"/>
      <c r="O58" s="136"/>
    </row>
    <row r="59" spans="1:15" x14ac:dyDescent="0.25">
      <c r="A59" s="66" t="s">
        <v>19</v>
      </c>
      <c r="B59" s="2">
        <v>2</v>
      </c>
      <c r="C59" s="2" t="s">
        <v>53</v>
      </c>
      <c r="D59" s="2">
        <v>1</v>
      </c>
      <c r="E59" s="65" t="s">
        <v>166</v>
      </c>
      <c r="H59" s="16">
        <v>15</v>
      </c>
      <c r="J59" s="17" t="str">
        <f>IF(Tabela!F32="","",Tabela!F32)</f>
        <v/>
      </c>
      <c r="K59" s="67" t="str">
        <f>Tabela!A32</f>
        <v>Holanda</v>
      </c>
      <c r="L59" s="67">
        <f>Tabela!B32</f>
        <v>3</v>
      </c>
      <c r="M59" s="67" t="str">
        <f>Tabela!C32</f>
        <v>X</v>
      </c>
      <c r="N59" s="67">
        <f>Tabela!D32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0</v>
      </c>
      <c r="E60" s="65" t="s">
        <v>6</v>
      </c>
      <c r="J60" s="17" t="str">
        <f>IF(Tabela!F33="","",Tabela!F33)</f>
        <v>N</v>
      </c>
      <c r="K60" s="67" t="str">
        <f>Tabela!A33</f>
        <v>Argentina</v>
      </c>
      <c r="L60" s="67">
        <f>Tabela!B33</f>
        <v>0</v>
      </c>
      <c r="M60" s="67" t="str">
        <f>Tabela!C33</f>
        <v>X</v>
      </c>
      <c r="N60" s="67">
        <f>Tabela!D33</f>
        <v>0</v>
      </c>
      <c r="O60" s="67" t="str">
        <f>Tabela!E33</f>
        <v>Austrália</v>
      </c>
    </row>
    <row r="61" spans="1:15" x14ac:dyDescent="0.25">
      <c r="A61" s="66" t="s">
        <v>22</v>
      </c>
      <c r="B61" s="2">
        <v>1</v>
      </c>
      <c r="C61" s="2" t="s">
        <v>53</v>
      </c>
      <c r="D61" s="2">
        <v>2</v>
      </c>
      <c r="E61" s="65" t="s">
        <v>12</v>
      </c>
      <c r="J61" s="17" t="str">
        <f>IF(Tabela!F34="","",Tabela!F34)</f>
        <v>N</v>
      </c>
      <c r="K61" s="67" t="str">
        <f>Tabela!A34</f>
        <v>Japão</v>
      </c>
      <c r="L61" s="67">
        <f>Tabela!B34</f>
        <v>0</v>
      </c>
      <c r="M61" s="67" t="str">
        <f>Tabela!C34</f>
        <v>X</v>
      </c>
      <c r="N61" s="67">
        <f>Tabela!D34</f>
        <v>0</v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0</v>
      </c>
      <c r="E62" s="65" t="s">
        <v>167</v>
      </c>
      <c r="J62" s="17" t="str">
        <f>IF(Tabela!F35="","",Tabela!F35)</f>
        <v>N</v>
      </c>
      <c r="K62" s="67" t="str">
        <f>Tabela!A35</f>
        <v>Brasil</v>
      </c>
      <c r="L62" s="67">
        <f>Tabela!B35</f>
        <v>0</v>
      </c>
      <c r="M62" s="67" t="str">
        <f>Tabela!C35</f>
        <v>X</v>
      </c>
      <c r="N62" s="67">
        <f>Tabela!D35</f>
        <v>0</v>
      </c>
      <c r="O62" s="67" t="str">
        <f>Tabela!E35</f>
        <v>Coréia</v>
      </c>
    </row>
    <row r="63" spans="1:15" x14ac:dyDescent="0.25">
      <c r="A63" s="66" t="s">
        <v>20</v>
      </c>
      <c r="B63" s="2">
        <v>1</v>
      </c>
      <c r="C63" s="2" t="s">
        <v>53</v>
      </c>
      <c r="D63" s="2">
        <v>2</v>
      </c>
      <c r="E63" s="65" t="s">
        <v>28</v>
      </c>
      <c r="J63" s="17" t="str">
        <f>IF(Tabela!F36="","",Tabela!F36)</f>
        <v>N</v>
      </c>
      <c r="K63" s="67" t="str">
        <f>Tabela!A36</f>
        <v>Inglaterra</v>
      </c>
      <c r="L63" s="67">
        <f>Tabela!B36</f>
        <v>0</v>
      </c>
      <c r="M63" s="67" t="str">
        <f>Tabela!C36</f>
        <v>X</v>
      </c>
      <c r="N63" s="67">
        <f>Tabela!D36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2</v>
      </c>
      <c r="C64" s="2" t="s">
        <v>53</v>
      </c>
      <c r="D64" s="2">
        <v>0</v>
      </c>
      <c r="E64" s="65" t="s">
        <v>26</v>
      </c>
      <c r="J64" s="17" t="str">
        <f>IF(Tabela!F37="","",Tabela!F37)</f>
        <v>N</v>
      </c>
      <c r="K64" s="67" t="str">
        <f>Tabela!A37</f>
        <v>França</v>
      </c>
      <c r="L64" s="67">
        <f>Tabela!B37</f>
        <v>0</v>
      </c>
      <c r="M64" s="67" t="str">
        <f>Tabela!C37</f>
        <v>X</v>
      </c>
      <c r="N64" s="67">
        <f>Tabela!D37</f>
        <v>0</v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3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7">
        <f>Tabela!B38</f>
        <v>0</v>
      </c>
      <c r="M65" s="67" t="str">
        <f>Tabela!C38</f>
        <v>X</v>
      </c>
      <c r="N65" s="67">
        <f>Tabela!D38</f>
        <v>0</v>
      </c>
      <c r="O65" s="67" t="str">
        <f>Tabela!E38</f>
        <v>Espanha</v>
      </c>
    </row>
    <row r="66" spans="1:15" x14ac:dyDescent="0.25">
      <c r="A66" s="66" t="s">
        <v>27</v>
      </c>
      <c r="B66" s="2">
        <v>1</v>
      </c>
      <c r="C66" s="2" t="s">
        <v>53</v>
      </c>
      <c r="D66" s="2">
        <v>0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7">
        <f>Tabela!B39</f>
        <v>0</v>
      </c>
      <c r="M66" s="67" t="str">
        <f>Tabela!C39</f>
        <v>X</v>
      </c>
      <c r="N66" s="67">
        <f>Tabela!D39</f>
        <v>0</v>
      </c>
      <c r="O66" s="67" t="str">
        <f>Tabela!E39</f>
        <v>Suíça</v>
      </c>
    </row>
  </sheetData>
  <mergeCells count="70">
    <mergeCell ref="A58:E58"/>
    <mergeCell ref="K58:O58"/>
    <mergeCell ref="W28:Y28"/>
    <mergeCell ref="AC28:AE28"/>
    <mergeCell ref="W29:Y29"/>
    <mergeCell ref="AC29:AE29"/>
    <mergeCell ref="W30:Y30"/>
    <mergeCell ref="AC30:AE30"/>
    <mergeCell ref="W25:Y25"/>
    <mergeCell ref="AC25:AE25"/>
    <mergeCell ref="W26:Y26"/>
    <mergeCell ref="AC26:AE26"/>
    <mergeCell ref="W27:Y27"/>
    <mergeCell ref="AC27:AE27"/>
    <mergeCell ref="W22:Y22"/>
    <mergeCell ref="AC22:AE22"/>
    <mergeCell ref="W23:Y23"/>
    <mergeCell ref="AC23:AE23"/>
    <mergeCell ref="W24:Y24"/>
    <mergeCell ref="AC24:AE24"/>
    <mergeCell ref="W19:Y19"/>
    <mergeCell ref="AC19:AE19"/>
    <mergeCell ref="W20:Y20"/>
    <mergeCell ref="AC20:AE20"/>
    <mergeCell ref="W21:Y21"/>
    <mergeCell ref="AC21:AE21"/>
    <mergeCell ref="W16:Y16"/>
    <mergeCell ref="AC16:AE16"/>
    <mergeCell ref="W17:Y17"/>
    <mergeCell ref="AC17:AE17"/>
    <mergeCell ref="W18:Y18"/>
    <mergeCell ref="AC18:AE18"/>
    <mergeCell ref="W13:Y13"/>
    <mergeCell ref="AC13:AE13"/>
    <mergeCell ref="W14:Y14"/>
    <mergeCell ref="AC14:AE14"/>
    <mergeCell ref="W15:Y15"/>
    <mergeCell ref="AC15:AE15"/>
    <mergeCell ref="K1:O1"/>
    <mergeCell ref="K8:O8"/>
    <mergeCell ref="Q9:U10"/>
    <mergeCell ref="Q11:U15"/>
    <mergeCell ref="K50:O50"/>
    <mergeCell ref="Q27:R27"/>
    <mergeCell ref="S27:T27"/>
    <mergeCell ref="U27:V27"/>
    <mergeCell ref="Q28:R28"/>
    <mergeCell ref="S28:T28"/>
    <mergeCell ref="U28:V28"/>
    <mergeCell ref="A1:E1"/>
    <mergeCell ref="A8:E8"/>
    <mergeCell ref="A15:E15"/>
    <mergeCell ref="A22:E22"/>
    <mergeCell ref="A29:E29"/>
    <mergeCell ref="W2:AE6"/>
    <mergeCell ref="A36:E36"/>
    <mergeCell ref="A43:E43"/>
    <mergeCell ref="A50:E50"/>
    <mergeCell ref="K15:O15"/>
    <mergeCell ref="K22:O22"/>
    <mergeCell ref="K29:O29"/>
    <mergeCell ref="K36:O36"/>
    <mergeCell ref="K43:O43"/>
    <mergeCell ref="W9:AE9"/>
    <mergeCell ref="W10:Y10"/>
    <mergeCell ref="AC10:AE10"/>
    <mergeCell ref="W11:Y11"/>
    <mergeCell ref="AC11:AE11"/>
    <mergeCell ref="W12:Y12"/>
    <mergeCell ref="AC12:AE12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52F94-6767-4C3D-BA33-534BADE255F3}">
  <sheetPr codeName="Planilha5">
    <tabColor theme="8" tint="-0.249977111117893"/>
  </sheetPr>
  <dimension ref="A1:AE66"/>
  <sheetViews>
    <sheetView zoomScale="85" zoomScaleNormal="85" workbookViewId="0">
      <pane xSplit="15" ySplit="16" topLeftCell="P57" activePane="bottomRight" state="frozen"/>
      <selection pane="topRight" activeCell="P1" sqref="P1"/>
      <selection pane="bottomLeft" activeCell="A17" sqref="A17"/>
      <selection pane="bottomRight" activeCell="Q25" sqref="Q25:U25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56" width="5.7109375" style="17" customWidth="1"/>
    <col min="57" max="16384" width="9.140625" style="17"/>
  </cols>
  <sheetData>
    <row r="1" spans="1:31" x14ac:dyDescent="0.25">
      <c r="A1" s="127" t="s">
        <v>58</v>
      </c>
      <c r="B1" s="127"/>
      <c r="C1" s="127"/>
      <c r="D1" s="127"/>
      <c r="E1" s="127"/>
      <c r="K1" s="128" t="s">
        <v>58</v>
      </c>
      <c r="L1" s="128"/>
      <c r="M1" s="128"/>
      <c r="N1" s="128"/>
      <c r="O1" s="128"/>
    </row>
    <row r="2" spans="1:31" x14ac:dyDescent="0.25">
      <c r="A2" s="18" t="s">
        <v>11</v>
      </c>
      <c r="B2" s="16">
        <v>1</v>
      </c>
      <c r="C2" s="16" t="s">
        <v>53</v>
      </c>
      <c r="D2" s="16">
        <v>1</v>
      </c>
      <c r="E2" s="17" t="s">
        <v>14</v>
      </c>
      <c r="H2" s="16">
        <v>0</v>
      </c>
      <c r="J2" s="17" t="str">
        <f>IF(Tabela!F3="","",Tabela!F3)</f>
        <v/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31" t="s">
        <v>69</v>
      </c>
      <c r="X2" s="131"/>
      <c r="Y2" s="131"/>
      <c r="Z2" s="131"/>
      <c r="AA2" s="131"/>
      <c r="AB2" s="131"/>
      <c r="AC2" s="131"/>
      <c r="AD2" s="131"/>
      <c r="AE2" s="131"/>
    </row>
    <row r="3" spans="1:31" x14ac:dyDescent="0.25">
      <c r="A3" s="18" t="s">
        <v>28</v>
      </c>
      <c r="B3" s="16">
        <v>1</v>
      </c>
      <c r="C3" s="16" t="s">
        <v>53</v>
      </c>
      <c r="D3" s="16">
        <v>2</v>
      </c>
      <c r="E3" s="17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31"/>
      <c r="X3" s="131"/>
      <c r="Y3" s="131"/>
      <c r="Z3" s="131"/>
      <c r="AA3" s="131"/>
      <c r="AB3" s="131"/>
      <c r="AC3" s="131"/>
      <c r="AD3" s="131"/>
      <c r="AE3" s="131"/>
    </row>
    <row r="4" spans="1:31" x14ac:dyDescent="0.25">
      <c r="A4" s="18" t="s">
        <v>11</v>
      </c>
      <c r="B4" s="16">
        <v>1</v>
      </c>
      <c r="C4" s="16" t="s">
        <v>53</v>
      </c>
      <c r="D4" s="16">
        <v>1</v>
      </c>
      <c r="E4" s="17" t="s">
        <v>28</v>
      </c>
      <c r="H4" s="16">
        <v>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31"/>
      <c r="X4" s="131"/>
      <c r="Y4" s="131"/>
      <c r="Z4" s="131"/>
      <c r="AA4" s="131"/>
      <c r="AB4" s="131"/>
      <c r="AC4" s="131"/>
      <c r="AD4" s="131"/>
      <c r="AE4" s="131"/>
    </row>
    <row r="5" spans="1:31" x14ac:dyDescent="0.25">
      <c r="A5" s="18" t="s">
        <v>19</v>
      </c>
      <c r="B5" s="16">
        <v>1</v>
      </c>
      <c r="C5" s="16" t="s">
        <v>53</v>
      </c>
      <c r="D5" s="16">
        <v>1</v>
      </c>
      <c r="E5" s="17" t="s">
        <v>14</v>
      </c>
      <c r="H5" s="16">
        <v>25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31"/>
      <c r="X5" s="131"/>
      <c r="Y5" s="131"/>
      <c r="Z5" s="131"/>
      <c r="AA5" s="131"/>
      <c r="AB5" s="131"/>
      <c r="AC5" s="131"/>
      <c r="AD5" s="131"/>
      <c r="AE5" s="131"/>
    </row>
    <row r="6" spans="1:31" x14ac:dyDescent="0.25">
      <c r="A6" s="18" t="s">
        <v>19</v>
      </c>
      <c r="B6" s="16">
        <v>2</v>
      </c>
      <c r="C6" s="16" t="s">
        <v>53</v>
      </c>
      <c r="D6" s="16">
        <v>0</v>
      </c>
      <c r="E6" s="17" t="s">
        <v>11</v>
      </c>
      <c r="H6" s="16">
        <v>25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31"/>
      <c r="X6" s="131"/>
      <c r="Y6" s="131"/>
      <c r="Z6" s="131"/>
      <c r="AA6" s="131"/>
      <c r="AB6" s="131"/>
      <c r="AC6" s="131"/>
      <c r="AD6" s="131"/>
      <c r="AE6" s="131"/>
    </row>
    <row r="7" spans="1:31" x14ac:dyDescent="0.25">
      <c r="A7" s="18" t="s">
        <v>14</v>
      </c>
      <c r="B7" s="16">
        <v>2</v>
      </c>
      <c r="C7" s="16" t="s">
        <v>53</v>
      </c>
      <c r="D7" s="16">
        <v>1</v>
      </c>
      <c r="E7" s="17" t="s">
        <v>28</v>
      </c>
      <c r="H7" s="16">
        <v>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27" t="s">
        <v>65</v>
      </c>
      <c r="B8" s="127"/>
      <c r="C8" s="127"/>
      <c r="D8" s="127"/>
      <c r="E8" s="127"/>
      <c r="J8" s="17" t="str">
        <f>IF(Tabela!F9="","",Tabela!F9)</f>
        <v/>
      </c>
      <c r="K8" s="128" t="s">
        <v>65</v>
      </c>
      <c r="L8" s="128"/>
      <c r="M8" s="128"/>
      <c r="N8" s="128"/>
      <c r="O8" s="128"/>
    </row>
    <row r="9" spans="1:31" x14ac:dyDescent="0.25">
      <c r="A9" s="18" t="s">
        <v>20</v>
      </c>
      <c r="B9" s="16">
        <v>1</v>
      </c>
      <c r="C9" s="16" t="s">
        <v>53</v>
      </c>
      <c r="D9" s="16">
        <v>0</v>
      </c>
      <c r="E9" s="17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29" t="s">
        <v>66</v>
      </c>
      <c r="R9" s="129"/>
      <c r="S9" s="129"/>
      <c r="T9" s="129"/>
      <c r="U9" s="129"/>
      <c r="W9" s="68" t="s">
        <v>124</v>
      </c>
      <c r="X9" s="68"/>
      <c r="Y9" s="68"/>
      <c r="Z9" s="68"/>
      <c r="AA9" s="68"/>
      <c r="AB9" s="68"/>
      <c r="AC9" s="68"/>
      <c r="AD9" s="68"/>
      <c r="AE9" s="68"/>
    </row>
    <row r="10" spans="1:31" x14ac:dyDescent="0.25">
      <c r="A10" s="18" t="s">
        <v>54</v>
      </c>
      <c r="B10" s="16">
        <v>1</v>
      </c>
      <c r="C10" s="16" t="s">
        <v>53</v>
      </c>
      <c r="D10" s="16">
        <v>0</v>
      </c>
      <c r="E10" s="17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29"/>
      <c r="R10" s="129"/>
      <c r="S10" s="129"/>
      <c r="T10" s="129"/>
      <c r="U10" s="129"/>
      <c r="W10" s="68" t="s">
        <v>19</v>
      </c>
      <c r="X10" s="68"/>
      <c r="Y10" s="68"/>
      <c r="Z10" s="54">
        <v>1</v>
      </c>
      <c r="AB10" s="54">
        <v>1</v>
      </c>
      <c r="AC10" s="68" t="s">
        <v>14</v>
      </c>
      <c r="AD10" s="68"/>
      <c r="AE10" s="68"/>
    </row>
    <row r="11" spans="1:31" x14ac:dyDescent="0.25">
      <c r="A11" s="18" t="s">
        <v>34</v>
      </c>
      <c r="B11" s="16">
        <v>1</v>
      </c>
      <c r="C11" s="16" t="s">
        <v>53</v>
      </c>
      <c r="D11" s="16">
        <v>1</v>
      </c>
      <c r="E11" s="17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30">
        <f>SUM(H2:H66)</f>
        <v>380</v>
      </c>
      <c r="R11" s="130"/>
      <c r="S11" s="130"/>
      <c r="T11" s="130"/>
      <c r="U11" s="130"/>
      <c r="W11" s="68" t="s">
        <v>19</v>
      </c>
      <c r="X11" s="68"/>
      <c r="Y11" s="68"/>
      <c r="Z11" s="54">
        <v>2</v>
      </c>
      <c r="AB11" s="54">
        <v>0</v>
      </c>
      <c r="AC11" s="68" t="s">
        <v>11</v>
      </c>
      <c r="AD11" s="68"/>
      <c r="AE11" s="68"/>
    </row>
    <row r="12" spans="1:31" x14ac:dyDescent="0.25">
      <c r="A12" s="18" t="s">
        <v>20</v>
      </c>
      <c r="B12" s="16">
        <v>2</v>
      </c>
      <c r="C12" s="16" t="s">
        <v>53</v>
      </c>
      <c r="D12" s="16">
        <v>1</v>
      </c>
      <c r="E12" s="17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30"/>
      <c r="R12" s="130"/>
      <c r="S12" s="130"/>
      <c r="T12" s="130"/>
      <c r="U12" s="130"/>
      <c r="W12" s="68"/>
      <c r="X12" s="68"/>
      <c r="Y12" s="68"/>
      <c r="AC12" s="68"/>
      <c r="AD12" s="68"/>
      <c r="AE12" s="68"/>
    </row>
    <row r="13" spans="1:31" x14ac:dyDescent="0.25">
      <c r="A13" s="18" t="s">
        <v>21</v>
      </c>
      <c r="B13" s="16">
        <v>0</v>
      </c>
      <c r="C13" s="16" t="s">
        <v>53</v>
      </c>
      <c r="D13" s="16">
        <v>0</v>
      </c>
      <c r="E13" s="17" t="s">
        <v>54</v>
      </c>
      <c r="H13" s="16">
        <v>5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30"/>
      <c r="R13" s="130"/>
      <c r="S13" s="130"/>
      <c r="T13" s="130"/>
      <c r="U13" s="130"/>
      <c r="W13" s="68"/>
      <c r="X13" s="68"/>
      <c r="Y13" s="68"/>
      <c r="AC13" s="68"/>
      <c r="AD13" s="68"/>
      <c r="AE13" s="68"/>
    </row>
    <row r="14" spans="1:31" x14ac:dyDescent="0.25">
      <c r="A14" s="18" t="s">
        <v>34</v>
      </c>
      <c r="B14" s="16">
        <v>0</v>
      </c>
      <c r="C14" s="16" t="s">
        <v>53</v>
      </c>
      <c r="D14" s="16">
        <v>2</v>
      </c>
      <c r="E14" s="17" t="s">
        <v>20</v>
      </c>
      <c r="H14" s="16">
        <v>15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30"/>
      <c r="R14" s="130"/>
      <c r="S14" s="130"/>
      <c r="T14" s="130"/>
      <c r="U14" s="130"/>
      <c r="W14" s="68"/>
      <c r="X14" s="68"/>
      <c r="Y14" s="68"/>
      <c r="AC14" s="68"/>
      <c r="AD14" s="68"/>
      <c r="AE14" s="68"/>
    </row>
    <row r="15" spans="1:31" x14ac:dyDescent="0.25">
      <c r="A15" s="127" t="s">
        <v>64</v>
      </c>
      <c r="B15" s="127"/>
      <c r="C15" s="127"/>
      <c r="D15" s="127"/>
      <c r="E15" s="127"/>
      <c r="J15" s="17" t="str">
        <f>IF(Tabela!F16="","",Tabela!F16)</f>
        <v/>
      </c>
      <c r="K15" s="128" t="s">
        <v>64</v>
      </c>
      <c r="L15" s="128"/>
      <c r="M15" s="128"/>
      <c r="N15" s="128"/>
      <c r="O15" s="128"/>
      <c r="Q15" s="130"/>
      <c r="R15" s="130"/>
      <c r="S15" s="130"/>
      <c r="T15" s="130"/>
      <c r="U15" s="130"/>
      <c r="W15" s="68"/>
      <c r="X15" s="68"/>
      <c r="Y15" s="68"/>
      <c r="AC15" s="68"/>
      <c r="AD15" s="68"/>
      <c r="AE15" s="68"/>
    </row>
    <row r="16" spans="1:31" x14ac:dyDescent="0.25">
      <c r="A16" s="18" t="s">
        <v>5</v>
      </c>
      <c r="B16" s="16">
        <v>2</v>
      </c>
      <c r="C16" s="16" t="s">
        <v>53</v>
      </c>
      <c r="D16" s="16">
        <v>0</v>
      </c>
      <c r="E16" s="17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68"/>
      <c r="X16" s="68"/>
      <c r="Y16" s="68"/>
      <c r="AC16" s="68"/>
      <c r="AD16" s="68"/>
      <c r="AE16" s="68"/>
    </row>
    <row r="17" spans="1:31" x14ac:dyDescent="0.25">
      <c r="A17" s="18" t="s">
        <v>24</v>
      </c>
      <c r="B17" s="16">
        <v>1</v>
      </c>
      <c r="C17" s="16" t="s">
        <v>53</v>
      </c>
      <c r="D17" s="16">
        <v>1</v>
      </c>
      <c r="E17" s="17" t="s">
        <v>26</v>
      </c>
      <c r="H17" s="16">
        <v>10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68"/>
      <c r="X17" s="68"/>
      <c r="Y17" s="68"/>
      <c r="AC17" s="68"/>
      <c r="AD17" s="68"/>
      <c r="AE17" s="68"/>
    </row>
    <row r="18" spans="1:31" x14ac:dyDescent="0.25">
      <c r="A18" s="18" t="s">
        <v>26</v>
      </c>
      <c r="B18" s="16">
        <v>1</v>
      </c>
      <c r="C18" s="16" t="s">
        <v>53</v>
      </c>
      <c r="D18" s="16">
        <v>0</v>
      </c>
      <c r="E18" s="17" t="s">
        <v>55</v>
      </c>
      <c r="H18" s="16">
        <v>15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W18" s="68"/>
      <c r="X18" s="68"/>
      <c r="Y18" s="68"/>
      <c r="AC18" s="68"/>
      <c r="AD18" s="68"/>
      <c r="AE18" s="68"/>
    </row>
    <row r="19" spans="1:31" x14ac:dyDescent="0.25">
      <c r="A19" s="18" t="s">
        <v>5</v>
      </c>
      <c r="B19" s="16">
        <v>3</v>
      </c>
      <c r="C19" s="16" t="s">
        <v>53</v>
      </c>
      <c r="D19" s="16">
        <v>1</v>
      </c>
      <c r="E19" s="17" t="s">
        <v>24</v>
      </c>
      <c r="H19" s="16">
        <v>10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W19" s="68"/>
      <c r="X19" s="68"/>
      <c r="Y19" s="68"/>
      <c r="AC19" s="68"/>
      <c r="AD19" s="68"/>
      <c r="AE19" s="68"/>
    </row>
    <row r="20" spans="1:31" x14ac:dyDescent="0.25">
      <c r="A20" s="18" t="s">
        <v>26</v>
      </c>
      <c r="B20" s="16">
        <v>1</v>
      </c>
      <c r="C20" s="16" t="s">
        <v>53</v>
      </c>
      <c r="D20" s="16">
        <v>2</v>
      </c>
      <c r="E20" s="17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68"/>
      <c r="X20" s="68"/>
      <c r="Y20" s="68"/>
      <c r="AC20" s="68"/>
      <c r="AD20" s="68"/>
      <c r="AE20" s="68"/>
    </row>
    <row r="21" spans="1:31" x14ac:dyDescent="0.25">
      <c r="A21" s="18" t="s">
        <v>55</v>
      </c>
      <c r="B21" s="16">
        <v>0</v>
      </c>
      <c r="C21" s="16" t="s">
        <v>53</v>
      </c>
      <c r="D21" s="16">
        <v>1</v>
      </c>
      <c r="E21" s="17" t="s">
        <v>24</v>
      </c>
      <c r="H21" s="16">
        <v>10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W21" s="68"/>
      <c r="X21" s="68"/>
      <c r="Y21" s="68"/>
      <c r="AC21" s="68"/>
      <c r="AD21" s="68"/>
      <c r="AE21" s="68"/>
    </row>
    <row r="22" spans="1:31" x14ac:dyDescent="0.25">
      <c r="A22" s="127" t="s">
        <v>63</v>
      </c>
      <c r="B22" s="127"/>
      <c r="C22" s="127"/>
      <c r="D22" s="127"/>
      <c r="E22" s="127"/>
      <c r="J22" s="17" t="str">
        <f>IF(Tabela!F23="","",Tabela!F23)</f>
        <v/>
      </c>
      <c r="K22" s="128" t="s">
        <v>63</v>
      </c>
      <c r="L22" s="128"/>
      <c r="M22" s="128"/>
      <c r="N22" s="128"/>
      <c r="O22" s="128"/>
      <c r="W22" s="68"/>
      <c r="X22" s="68"/>
      <c r="Y22" s="68"/>
      <c r="AC22" s="68"/>
      <c r="AD22" s="68"/>
      <c r="AE22" s="68"/>
    </row>
    <row r="23" spans="1:31" x14ac:dyDescent="0.25">
      <c r="A23" s="18" t="s">
        <v>13</v>
      </c>
      <c r="B23" s="16">
        <v>1</v>
      </c>
      <c r="C23" s="16" t="s">
        <v>53</v>
      </c>
      <c r="D23" s="16">
        <v>1</v>
      </c>
      <c r="E23" s="17" t="s">
        <v>31</v>
      </c>
      <c r="H23" s="16">
        <v>10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68"/>
      <c r="X23" s="68"/>
      <c r="Y23" s="68"/>
      <c r="AC23" s="68"/>
      <c r="AD23" s="68"/>
      <c r="AE23" s="68"/>
    </row>
    <row r="24" spans="1:31" x14ac:dyDescent="0.25">
      <c r="A24" s="18" t="s">
        <v>17</v>
      </c>
      <c r="B24" s="16">
        <v>2</v>
      </c>
      <c r="C24" s="16" t="s">
        <v>53</v>
      </c>
      <c r="D24" s="16">
        <v>1</v>
      </c>
      <c r="E24" s="17" t="s">
        <v>6</v>
      </c>
      <c r="H24" s="16">
        <v>15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Q24" s="17">
        <v>25</v>
      </c>
      <c r="R24" s="17">
        <v>15</v>
      </c>
      <c r="S24" s="17">
        <v>10</v>
      </c>
      <c r="T24" s="17">
        <v>5</v>
      </c>
      <c r="U24" s="17">
        <v>0</v>
      </c>
      <c r="W24" s="68"/>
      <c r="X24" s="68"/>
      <c r="Y24" s="68"/>
      <c r="AC24" s="68"/>
      <c r="AD24" s="68"/>
      <c r="AE24" s="68"/>
    </row>
    <row r="25" spans="1:31" x14ac:dyDescent="0.25">
      <c r="A25" s="18" t="s">
        <v>31</v>
      </c>
      <c r="B25" s="16">
        <v>1</v>
      </c>
      <c r="C25" s="16" t="s">
        <v>53</v>
      </c>
      <c r="D25" s="16">
        <v>1</v>
      </c>
      <c r="E25" s="17" t="s">
        <v>6</v>
      </c>
      <c r="H25" s="16">
        <v>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Q25" s="22">
        <v>2</v>
      </c>
      <c r="R25" s="22">
        <v>9</v>
      </c>
      <c r="S25" s="22">
        <v>14</v>
      </c>
      <c r="T25" s="22">
        <v>11</v>
      </c>
      <c r="U25" s="22">
        <v>13</v>
      </c>
      <c r="W25" s="68"/>
      <c r="X25" s="68"/>
      <c r="Y25" s="68"/>
      <c r="AC25" s="68"/>
      <c r="AD25" s="68"/>
      <c r="AE25" s="68"/>
    </row>
    <row r="26" spans="1:31" x14ac:dyDescent="0.25">
      <c r="A26" s="18" t="s">
        <v>17</v>
      </c>
      <c r="B26" s="16">
        <v>1</v>
      </c>
      <c r="C26" s="16" t="s">
        <v>53</v>
      </c>
      <c r="D26" s="16">
        <v>0</v>
      </c>
      <c r="E26" s="17" t="s">
        <v>13</v>
      </c>
      <c r="H26" s="16">
        <v>10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68"/>
      <c r="X26" s="68"/>
      <c r="Y26" s="68"/>
      <c r="AC26" s="68"/>
      <c r="AD26" s="68"/>
      <c r="AE26" s="68"/>
    </row>
    <row r="27" spans="1:31" x14ac:dyDescent="0.25">
      <c r="A27" s="18" t="s">
        <v>31</v>
      </c>
      <c r="B27" s="16">
        <v>0</v>
      </c>
      <c r="C27" s="16" t="s">
        <v>53</v>
      </c>
      <c r="D27" s="16">
        <v>2</v>
      </c>
      <c r="E27" s="17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Q27" s="124" t="s">
        <v>42</v>
      </c>
      <c r="R27" s="124"/>
      <c r="S27" s="125" t="s">
        <v>17</v>
      </c>
      <c r="T27" s="125"/>
      <c r="U27" s="125" t="s">
        <v>7</v>
      </c>
      <c r="V27" s="125"/>
      <c r="W27" s="68"/>
      <c r="X27" s="68"/>
      <c r="Y27" s="68"/>
      <c r="AC27" s="68"/>
      <c r="AD27" s="68"/>
      <c r="AE27" s="68"/>
    </row>
    <row r="28" spans="1:31" x14ac:dyDescent="0.25">
      <c r="A28" s="18" t="s">
        <v>6</v>
      </c>
      <c r="B28" s="16">
        <v>1</v>
      </c>
      <c r="C28" s="16" t="s">
        <v>53</v>
      </c>
      <c r="D28" s="16">
        <v>1</v>
      </c>
      <c r="E28" s="17" t="s">
        <v>13</v>
      </c>
      <c r="H28" s="16">
        <v>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Q28" s="124" t="s">
        <v>41</v>
      </c>
      <c r="R28" s="124"/>
      <c r="S28" s="126" t="s">
        <v>128</v>
      </c>
      <c r="T28" s="126"/>
      <c r="U28" s="126" t="s">
        <v>130</v>
      </c>
      <c r="V28" s="126"/>
      <c r="W28" s="68"/>
      <c r="X28" s="68"/>
      <c r="Y28" s="68"/>
      <c r="AC28" s="68"/>
      <c r="AD28" s="68"/>
      <c r="AE28" s="68"/>
    </row>
    <row r="29" spans="1:31" x14ac:dyDescent="0.25">
      <c r="A29" s="127" t="s">
        <v>62</v>
      </c>
      <c r="B29" s="127"/>
      <c r="C29" s="127"/>
      <c r="D29" s="127"/>
      <c r="E29" s="127"/>
      <c r="K29" s="128" t="s">
        <v>62</v>
      </c>
      <c r="L29" s="128"/>
      <c r="M29" s="128"/>
      <c r="N29" s="128"/>
      <c r="O29" s="128"/>
      <c r="W29" s="68"/>
      <c r="X29" s="68"/>
      <c r="Y29" s="68"/>
      <c r="AC29" s="68"/>
      <c r="AD29" s="68"/>
      <c r="AE29" s="68"/>
    </row>
    <row r="30" spans="1:31" x14ac:dyDescent="0.25">
      <c r="A30" s="18" t="s">
        <v>4</v>
      </c>
      <c r="B30" s="16">
        <v>2</v>
      </c>
      <c r="C30" s="16" t="s">
        <v>53</v>
      </c>
      <c r="D30" s="16">
        <v>1</v>
      </c>
      <c r="E30" s="17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68"/>
      <c r="X30" s="68"/>
      <c r="Y30" s="68"/>
      <c r="AC30" s="68"/>
      <c r="AD30" s="68"/>
      <c r="AE30" s="68"/>
    </row>
    <row r="31" spans="1:31" x14ac:dyDescent="0.25">
      <c r="A31" s="18" t="s">
        <v>15</v>
      </c>
      <c r="B31" s="16">
        <v>2</v>
      </c>
      <c r="C31" s="16" t="s">
        <v>53</v>
      </c>
      <c r="D31" s="16">
        <v>0</v>
      </c>
      <c r="E31" s="17" t="s">
        <v>56</v>
      </c>
      <c r="H31" s="16">
        <v>15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3</v>
      </c>
      <c r="C32" s="16" t="s">
        <v>53</v>
      </c>
      <c r="D32" s="16">
        <v>1</v>
      </c>
      <c r="E32" s="17" t="s">
        <v>56</v>
      </c>
      <c r="H32" s="16">
        <v>5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2</v>
      </c>
      <c r="C33" s="16" t="s">
        <v>53</v>
      </c>
      <c r="D33" s="16">
        <v>3</v>
      </c>
      <c r="E33" s="17" t="s">
        <v>4</v>
      </c>
      <c r="H33" s="16">
        <v>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2</v>
      </c>
      <c r="C34" s="16" t="s">
        <v>53</v>
      </c>
      <c r="D34" s="16">
        <v>2</v>
      </c>
      <c r="E34" s="17" t="s">
        <v>15</v>
      </c>
      <c r="H34" s="16">
        <v>5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1</v>
      </c>
      <c r="C35" s="16" t="s">
        <v>53</v>
      </c>
      <c r="D35" s="16">
        <v>4</v>
      </c>
      <c r="E35" s="17" t="s">
        <v>4</v>
      </c>
      <c r="H35" s="16">
        <v>15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27" t="s">
        <v>61</v>
      </c>
      <c r="B36" s="127"/>
      <c r="C36" s="127"/>
      <c r="D36" s="127"/>
      <c r="E36" s="127"/>
      <c r="J36" s="17" t="str">
        <f>IF(Tabela!L9="","",Tabela!L9)</f>
        <v/>
      </c>
      <c r="K36" s="128" t="s">
        <v>61</v>
      </c>
      <c r="L36" s="128"/>
      <c r="M36" s="128"/>
      <c r="N36" s="128"/>
      <c r="O36" s="128"/>
    </row>
    <row r="37" spans="1:15" x14ac:dyDescent="0.25">
      <c r="A37" s="18" t="s">
        <v>23</v>
      </c>
      <c r="B37" s="16">
        <v>0</v>
      </c>
      <c r="C37" s="16" t="s">
        <v>53</v>
      </c>
      <c r="D37" s="16">
        <v>2</v>
      </c>
      <c r="E37" s="17" t="s">
        <v>12</v>
      </c>
      <c r="H37" s="16">
        <v>5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3</v>
      </c>
      <c r="C38" s="16" t="s">
        <v>53</v>
      </c>
      <c r="D38" s="16">
        <v>1</v>
      </c>
      <c r="E38" s="17" t="s">
        <v>10</v>
      </c>
      <c r="H38" s="16">
        <v>10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3</v>
      </c>
      <c r="C39" s="16" t="s">
        <v>53</v>
      </c>
      <c r="D39" s="16">
        <v>0</v>
      </c>
      <c r="E39" s="17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2</v>
      </c>
      <c r="C40" s="16" t="s">
        <v>53</v>
      </c>
      <c r="D40" s="16">
        <v>1</v>
      </c>
      <c r="E40" s="17" t="s">
        <v>10</v>
      </c>
      <c r="H40" s="16">
        <v>15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1</v>
      </c>
      <c r="C41" s="16" t="s">
        <v>53</v>
      </c>
      <c r="D41" s="16">
        <v>2</v>
      </c>
      <c r="E41" s="17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0</v>
      </c>
      <c r="E42" s="17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27" t="s">
        <v>60</v>
      </c>
      <c r="B43" s="127"/>
      <c r="C43" s="127"/>
      <c r="D43" s="127"/>
      <c r="E43" s="127"/>
      <c r="J43" s="17" t="str">
        <f>IF(Tabela!L16="","",Tabela!L16)</f>
        <v/>
      </c>
      <c r="K43" s="128" t="s">
        <v>60</v>
      </c>
      <c r="L43" s="128"/>
      <c r="M43" s="128"/>
      <c r="N43" s="128"/>
      <c r="O43" s="128"/>
    </row>
    <row r="44" spans="1:15" x14ac:dyDescent="0.25">
      <c r="A44" s="18" t="s">
        <v>30</v>
      </c>
      <c r="B44" s="16">
        <v>2</v>
      </c>
      <c r="C44" s="16" t="s">
        <v>53</v>
      </c>
      <c r="D44" s="16">
        <v>1</v>
      </c>
      <c r="E44" s="17" t="s">
        <v>9</v>
      </c>
      <c r="H44" s="16">
        <v>10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3</v>
      </c>
      <c r="C45" s="16" t="s">
        <v>53</v>
      </c>
      <c r="D45" s="16">
        <v>0</v>
      </c>
      <c r="E45" s="17" t="s">
        <v>29</v>
      </c>
      <c r="H45" s="16">
        <v>15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1</v>
      </c>
      <c r="E46" s="17" t="s">
        <v>29</v>
      </c>
      <c r="H46" s="16">
        <v>10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1</v>
      </c>
      <c r="E47" s="17" t="s">
        <v>30</v>
      </c>
      <c r="H47" s="16">
        <v>10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4</v>
      </c>
      <c r="E48" s="17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0</v>
      </c>
      <c r="C49" s="16" t="s">
        <v>53</v>
      </c>
      <c r="D49" s="16">
        <v>2</v>
      </c>
      <c r="E49" s="17" t="s">
        <v>30</v>
      </c>
      <c r="H49" s="16">
        <v>10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27" t="s">
        <v>59</v>
      </c>
      <c r="B50" s="127"/>
      <c r="C50" s="127"/>
      <c r="D50" s="127"/>
      <c r="E50" s="127"/>
      <c r="J50" s="17" t="str">
        <f>IF(Tabela!L23="","",Tabela!L23)</f>
        <v/>
      </c>
      <c r="K50" s="128" t="s">
        <v>59</v>
      </c>
      <c r="L50" s="128"/>
      <c r="M50" s="128"/>
      <c r="N50" s="128"/>
      <c r="O50" s="128"/>
    </row>
    <row r="51" spans="1:15" x14ac:dyDescent="0.25">
      <c r="A51" s="18" t="s">
        <v>32</v>
      </c>
      <c r="B51" s="16">
        <v>1</v>
      </c>
      <c r="C51" s="16" t="s">
        <v>53</v>
      </c>
      <c r="D51" s="16">
        <v>1</v>
      </c>
      <c r="E51" s="17" t="s">
        <v>67</v>
      </c>
      <c r="H51" s="16">
        <v>10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2</v>
      </c>
      <c r="C52" s="16" t="s">
        <v>53</v>
      </c>
      <c r="D52" s="16">
        <v>0</v>
      </c>
      <c r="E52" s="17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2</v>
      </c>
      <c r="C53" s="16" t="s">
        <v>53</v>
      </c>
      <c r="D53" s="16">
        <v>0</v>
      </c>
      <c r="E53" s="17" t="s">
        <v>18</v>
      </c>
      <c r="H53" s="16">
        <v>5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1</v>
      </c>
      <c r="C54" s="16" t="s">
        <v>53</v>
      </c>
      <c r="D54" s="16">
        <v>2</v>
      </c>
      <c r="E54" s="17" t="s">
        <v>32</v>
      </c>
      <c r="H54" s="16">
        <v>0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2</v>
      </c>
      <c r="E55" s="17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3</v>
      </c>
      <c r="E56" s="17" t="s">
        <v>32</v>
      </c>
      <c r="H56" s="16">
        <v>10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145" t="s">
        <v>173</v>
      </c>
    </row>
    <row r="58" spans="1:15" x14ac:dyDescent="0.25">
      <c r="A58" s="135" t="str">
        <f>_xlfn.CONCAT(W2,A57)</f>
        <v>Ivan Alex_2 - Oitavas de Final</v>
      </c>
      <c r="B58" s="135"/>
      <c r="C58" s="135"/>
      <c r="D58" s="135"/>
      <c r="E58" s="135"/>
      <c r="K58" s="136" t="s">
        <v>171</v>
      </c>
      <c r="L58" s="136"/>
      <c r="M58" s="136"/>
      <c r="N58" s="136"/>
      <c r="O58" s="136"/>
    </row>
    <row r="59" spans="1:15" x14ac:dyDescent="0.25">
      <c r="A59" s="66" t="s">
        <v>19</v>
      </c>
      <c r="B59" s="2">
        <v>1</v>
      </c>
      <c r="C59" s="2" t="s">
        <v>53</v>
      </c>
      <c r="D59" s="2">
        <v>1</v>
      </c>
      <c r="E59" s="65" t="s">
        <v>166</v>
      </c>
      <c r="H59" s="16">
        <v>5</v>
      </c>
      <c r="J59" s="17" t="str">
        <f>IF(Tabela!F32="","",Tabela!F32)</f>
        <v/>
      </c>
      <c r="K59" s="67" t="str">
        <f>Tabela!A32</f>
        <v>Holanda</v>
      </c>
      <c r="L59" s="67">
        <f>Tabela!B32</f>
        <v>3</v>
      </c>
      <c r="M59" s="67" t="str">
        <f>Tabela!C32</f>
        <v>X</v>
      </c>
      <c r="N59" s="67">
        <f>Tabela!D32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1</v>
      </c>
      <c r="C60" s="2" t="s">
        <v>53</v>
      </c>
      <c r="D60" s="2">
        <v>1</v>
      </c>
      <c r="E60" s="65" t="s">
        <v>6</v>
      </c>
      <c r="J60" s="17" t="str">
        <f>IF(Tabela!F33="","",Tabela!F33)</f>
        <v>N</v>
      </c>
      <c r="K60" s="67" t="str">
        <f>Tabela!A33</f>
        <v>Argentina</v>
      </c>
      <c r="L60" s="67">
        <f>Tabela!B33</f>
        <v>0</v>
      </c>
      <c r="M60" s="67" t="str">
        <f>Tabela!C33</f>
        <v>X</v>
      </c>
      <c r="N60" s="67">
        <f>Tabela!D33</f>
        <v>0</v>
      </c>
      <c r="O60" s="67" t="str">
        <f>Tabela!E33</f>
        <v>Austrália</v>
      </c>
    </row>
    <row r="61" spans="1:15" x14ac:dyDescent="0.25">
      <c r="A61" s="66" t="s">
        <v>22</v>
      </c>
      <c r="B61" s="2">
        <v>1</v>
      </c>
      <c r="C61" s="2" t="s">
        <v>53</v>
      </c>
      <c r="D61" s="2">
        <v>1</v>
      </c>
      <c r="E61" s="65" t="s">
        <v>12</v>
      </c>
      <c r="J61" s="17" t="str">
        <f>IF(Tabela!F34="","",Tabela!F34)</f>
        <v>N</v>
      </c>
      <c r="K61" s="67" t="str">
        <f>Tabela!A34</f>
        <v>Japão</v>
      </c>
      <c r="L61" s="67">
        <f>Tabela!B34</f>
        <v>0</v>
      </c>
      <c r="M61" s="67" t="str">
        <f>Tabela!C34</f>
        <v>X</v>
      </c>
      <c r="N61" s="67">
        <f>Tabela!D34</f>
        <v>0</v>
      </c>
      <c r="O61" s="67" t="str">
        <f>Tabela!E34</f>
        <v>Croácia</v>
      </c>
    </row>
    <row r="62" spans="1:15" x14ac:dyDescent="0.25">
      <c r="A62" s="66" t="s">
        <v>8</v>
      </c>
      <c r="B62" s="2">
        <v>1</v>
      </c>
      <c r="C62" s="2" t="s">
        <v>53</v>
      </c>
      <c r="D62" s="2">
        <v>1</v>
      </c>
      <c r="E62" s="65" t="s">
        <v>167</v>
      </c>
      <c r="J62" s="17" t="str">
        <f>IF(Tabela!F35="","",Tabela!F35)</f>
        <v>N</v>
      </c>
      <c r="K62" s="67" t="str">
        <f>Tabela!A35</f>
        <v>Brasil</v>
      </c>
      <c r="L62" s="67">
        <f>Tabela!B35</f>
        <v>0</v>
      </c>
      <c r="M62" s="67" t="str">
        <f>Tabela!C35</f>
        <v>X</v>
      </c>
      <c r="N62" s="67">
        <f>Tabela!D35</f>
        <v>0</v>
      </c>
      <c r="O62" s="67" t="str">
        <f>Tabela!E35</f>
        <v>Coréia</v>
      </c>
    </row>
    <row r="63" spans="1:15" x14ac:dyDescent="0.25">
      <c r="A63" s="66" t="s">
        <v>20</v>
      </c>
      <c r="B63" s="2">
        <v>1</v>
      </c>
      <c r="C63" s="2" t="s">
        <v>53</v>
      </c>
      <c r="D63" s="2">
        <v>1</v>
      </c>
      <c r="E63" s="65" t="s">
        <v>28</v>
      </c>
      <c r="J63" s="17" t="str">
        <f>IF(Tabela!F36="","",Tabela!F36)</f>
        <v>N</v>
      </c>
      <c r="K63" s="67" t="str">
        <f>Tabela!A36</f>
        <v>Inglaterra</v>
      </c>
      <c r="L63" s="67">
        <f>Tabela!B36</f>
        <v>0</v>
      </c>
      <c r="M63" s="67" t="str">
        <f>Tabela!C36</f>
        <v>X</v>
      </c>
      <c r="N63" s="67">
        <f>Tabela!D36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1</v>
      </c>
      <c r="C64" s="2" t="s">
        <v>53</v>
      </c>
      <c r="D64" s="2">
        <v>1</v>
      </c>
      <c r="E64" s="65" t="s">
        <v>26</v>
      </c>
      <c r="J64" s="17" t="str">
        <f>IF(Tabela!F37="","",Tabela!F37)</f>
        <v>N</v>
      </c>
      <c r="K64" s="67" t="str">
        <f>Tabela!A37</f>
        <v>França</v>
      </c>
      <c r="L64" s="67">
        <f>Tabela!B37</f>
        <v>0</v>
      </c>
      <c r="M64" s="67" t="str">
        <f>Tabela!C37</f>
        <v>X</v>
      </c>
      <c r="N64" s="67">
        <f>Tabela!D37</f>
        <v>0</v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1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7">
        <f>Tabela!B38</f>
        <v>0</v>
      </c>
      <c r="M65" s="67" t="str">
        <f>Tabela!C38</f>
        <v>X</v>
      </c>
      <c r="N65" s="67">
        <f>Tabela!D38</f>
        <v>0</v>
      </c>
      <c r="O65" s="67" t="str">
        <f>Tabela!E38</f>
        <v>Espanha</v>
      </c>
    </row>
    <row r="66" spans="1:15" x14ac:dyDescent="0.25">
      <c r="A66" s="66" t="s">
        <v>27</v>
      </c>
      <c r="B66" s="2">
        <v>1</v>
      </c>
      <c r="C66" s="2" t="s">
        <v>53</v>
      </c>
      <c r="D66" s="2">
        <v>1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7">
        <f>Tabela!B39</f>
        <v>0</v>
      </c>
      <c r="M66" s="67" t="str">
        <f>Tabela!C39</f>
        <v>X</v>
      </c>
      <c r="N66" s="67">
        <f>Tabela!D39</f>
        <v>0</v>
      </c>
      <c r="O66" s="67" t="str">
        <f>Tabela!E39</f>
        <v>Suíça</v>
      </c>
    </row>
  </sheetData>
  <mergeCells count="70">
    <mergeCell ref="A58:E58"/>
    <mergeCell ref="K58:O58"/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W12:Y12"/>
    <mergeCell ref="AC12:AE12"/>
    <mergeCell ref="W13:Y13"/>
    <mergeCell ref="AC13:AE13"/>
    <mergeCell ref="W14:Y14"/>
    <mergeCell ref="AC14:AE14"/>
    <mergeCell ref="A50:E50"/>
    <mergeCell ref="K36:O36"/>
    <mergeCell ref="K43:O43"/>
    <mergeCell ref="K50:O50"/>
    <mergeCell ref="K29:O29"/>
    <mergeCell ref="A29:E29"/>
    <mergeCell ref="A36:E36"/>
    <mergeCell ref="A43:E43"/>
    <mergeCell ref="W2:AE6"/>
    <mergeCell ref="A1:E1"/>
    <mergeCell ref="A8:E8"/>
    <mergeCell ref="A15:E15"/>
    <mergeCell ref="A22:E22"/>
    <mergeCell ref="Q9:U10"/>
    <mergeCell ref="Q11:U15"/>
    <mergeCell ref="K1:O1"/>
    <mergeCell ref="K8:O8"/>
    <mergeCell ref="K15:O15"/>
    <mergeCell ref="K22:O22"/>
    <mergeCell ref="W9:AE9"/>
    <mergeCell ref="W10:Y10"/>
    <mergeCell ref="AC10:AE10"/>
    <mergeCell ref="W11:Y11"/>
    <mergeCell ref="AC11:AE11"/>
    <mergeCell ref="Q27:R27"/>
    <mergeCell ref="S27:T27"/>
    <mergeCell ref="U27:V27"/>
    <mergeCell ref="Q28:R28"/>
    <mergeCell ref="S28:T28"/>
    <mergeCell ref="U28:V2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BF9E27-DF2C-408C-93BB-EF966D4B5C7A}">
  <sheetPr codeName="Planilha23">
    <tabColor rgb="FF0070C0"/>
  </sheetPr>
  <dimension ref="A1:AE66"/>
  <sheetViews>
    <sheetView zoomScale="85" zoomScaleNormal="85" workbookViewId="0">
      <pane xSplit="15" ySplit="16" topLeftCell="P18" activePane="bottomRight" state="frozen"/>
      <selection pane="topRight" activeCell="P1" sqref="P1"/>
      <selection pane="bottomLeft" activeCell="A17" sqref="A17"/>
      <selection pane="bottomRight" activeCell="Q25" sqref="Q25:U25"/>
    </sheetView>
  </sheetViews>
  <sheetFormatPr defaultRowHeight="15" x14ac:dyDescent="0.25"/>
  <cols>
    <col min="1" max="1" width="17.7109375" style="17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0" width="5.7109375" style="54" customWidth="1"/>
    <col min="31" max="31" width="9.140625" style="54"/>
    <col min="32" max="16384" width="9.140625" style="17"/>
  </cols>
  <sheetData>
    <row r="1" spans="1:31" x14ac:dyDescent="0.25">
      <c r="A1" s="127" t="s">
        <v>58</v>
      </c>
      <c r="B1" s="127"/>
      <c r="C1" s="127"/>
      <c r="D1" s="127"/>
      <c r="E1" s="127"/>
      <c r="K1" s="128" t="s">
        <v>58</v>
      </c>
      <c r="L1" s="128"/>
      <c r="M1" s="128"/>
      <c r="N1" s="128"/>
      <c r="O1" s="128"/>
    </row>
    <row r="2" spans="1:31" x14ac:dyDescent="0.25">
      <c r="A2" s="133" t="s">
        <v>43</v>
      </c>
      <c r="B2" s="133"/>
      <c r="C2" s="133"/>
      <c r="D2" s="133"/>
      <c r="E2" s="133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31" t="s">
        <v>72</v>
      </c>
      <c r="X2" s="131"/>
      <c r="Y2" s="131"/>
      <c r="Z2" s="131"/>
      <c r="AA2" s="131"/>
      <c r="AB2" s="131"/>
      <c r="AC2" s="131"/>
      <c r="AD2" s="131"/>
      <c r="AE2" s="131"/>
    </row>
    <row r="3" spans="1:31" x14ac:dyDescent="0.25">
      <c r="A3" s="17" t="s">
        <v>28</v>
      </c>
      <c r="B3" s="16">
        <v>0</v>
      </c>
      <c r="C3" s="16" t="s">
        <v>53</v>
      </c>
      <c r="D3" s="16">
        <v>3</v>
      </c>
      <c r="E3" s="17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31"/>
      <c r="X3" s="131"/>
      <c r="Y3" s="131"/>
      <c r="Z3" s="131"/>
      <c r="AA3" s="131"/>
      <c r="AB3" s="131"/>
      <c r="AC3" s="131"/>
      <c r="AD3" s="131"/>
      <c r="AE3" s="131"/>
    </row>
    <row r="4" spans="1:31" x14ac:dyDescent="0.25">
      <c r="A4" s="17" t="s">
        <v>11</v>
      </c>
      <c r="B4" s="16">
        <v>0</v>
      </c>
      <c r="C4" s="16" t="s">
        <v>53</v>
      </c>
      <c r="D4" s="16">
        <v>2</v>
      </c>
      <c r="E4" s="17" t="s">
        <v>28</v>
      </c>
      <c r="H4" s="16">
        <v>10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31"/>
      <c r="X4" s="131"/>
      <c r="Y4" s="131"/>
      <c r="Z4" s="131"/>
      <c r="AA4" s="131"/>
      <c r="AB4" s="131"/>
      <c r="AC4" s="131"/>
      <c r="AD4" s="131"/>
      <c r="AE4" s="131"/>
    </row>
    <row r="5" spans="1:31" x14ac:dyDescent="0.25">
      <c r="A5" s="17" t="s">
        <v>19</v>
      </c>
      <c r="B5" s="16">
        <v>2</v>
      </c>
      <c r="C5" s="16" t="s">
        <v>53</v>
      </c>
      <c r="D5" s="16">
        <v>1</v>
      </c>
      <c r="E5" s="17" t="s">
        <v>14</v>
      </c>
      <c r="H5" s="16">
        <v>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31"/>
      <c r="X5" s="131"/>
      <c r="Y5" s="131"/>
      <c r="Z5" s="131"/>
      <c r="AA5" s="131"/>
      <c r="AB5" s="131"/>
      <c r="AC5" s="131"/>
      <c r="AD5" s="131"/>
      <c r="AE5" s="131"/>
    </row>
    <row r="6" spans="1:31" x14ac:dyDescent="0.25">
      <c r="A6" s="17" t="s">
        <v>19</v>
      </c>
      <c r="B6" s="16">
        <v>4</v>
      </c>
      <c r="C6" s="16" t="s">
        <v>53</v>
      </c>
      <c r="D6" s="16">
        <v>0</v>
      </c>
      <c r="E6" s="17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31"/>
      <c r="X6" s="131"/>
      <c r="Y6" s="131"/>
      <c r="Z6" s="131"/>
      <c r="AA6" s="131"/>
      <c r="AB6" s="131"/>
      <c r="AC6" s="131"/>
      <c r="AD6" s="131"/>
      <c r="AE6" s="131"/>
    </row>
    <row r="7" spans="1:31" x14ac:dyDescent="0.25">
      <c r="A7" s="17" t="s">
        <v>14</v>
      </c>
      <c r="B7" s="16">
        <v>2</v>
      </c>
      <c r="C7" s="16" t="s">
        <v>53</v>
      </c>
      <c r="D7" s="16">
        <v>1</v>
      </c>
      <c r="E7" s="17" t="s">
        <v>28</v>
      </c>
      <c r="H7" s="16">
        <v>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32" t="s">
        <v>65</v>
      </c>
      <c r="B8" s="132"/>
      <c r="C8" s="132"/>
      <c r="D8" s="132"/>
      <c r="E8" s="132"/>
      <c r="J8" s="17" t="str">
        <f>IF(Tabela!F9="","",Tabela!F9)</f>
        <v/>
      </c>
      <c r="K8" s="128" t="s">
        <v>65</v>
      </c>
      <c r="L8" s="128"/>
      <c r="M8" s="128"/>
      <c r="N8" s="128"/>
      <c r="O8" s="128"/>
    </row>
    <row r="9" spans="1:31" x14ac:dyDescent="0.25">
      <c r="A9" s="17" t="s">
        <v>20</v>
      </c>
      <c r="B9" s="16">
        <v>2</v>
      </c>
      <c r="C9" s="16" t="s">
        <v>53</v>
      </c>
      <c r="D9" s="16">
        <v>1</v>
      </c>
      <c r="E9" s="17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29" t="s">
        <v>66</v>
      </c>
      <c r="R9" s="129"/>
      <c r="S9" s="129"/>
      <c r="T9" s="129"/>
      <c r="U9" s="129"/>
      <c r="W9" s="68" t="s">
        <v>124</v>
      </c>
      <c r="X9" s="68"/>
      <c r="Y9" s="68"/>
      <c r="Z9" s="68"/>
      <c r="AA9" s="68"/>
      <c r="AB9" s="68"/>
      <c r="AC9" s="68"/>
      <c r="AD9" s="68"/>
      <c r="AE9" s="68"/>
    </row>
    <row r="10" spans="1:31" x14ac:dyDescent="0.25">
      <c r="A10" s="17" t="s">
        <v>54</v>
      </c>
      <c r="B10" s="16">
        <v>1</v>
      </c>
      <c r="C10" s="16" t="s">
        <v>53</v>
      </c>
      <c r="D10" s="16">
        <v>1</v>
      </c>
      <c r="E10" s="17" t="s">
        <v>34</v>
      </c>
      <c r="H10" s="16">
        <v>25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29"/>
      <c r="R10" s="129"/>
      <c r="S10" s="129"/>
      <c r="T10" s="129"/>
      <c r="U10" s="129"/>
      <c r="W10" s="68" t="s">
        <v>16</v>
      </c>
      <c r="X10" s="68"/>
      <c r="Y10" s="68"/>
      <c r="Z10" s="54">
        <v>1</v>
      </c>
      <c r="AB10" s="54">
        <v>1</v>
      </c>
      <c r="AC10" s="68" t="s">
        <v>34</v>
      </c>
      <c r="AD10" s="68"/>
      <c r="AE10" s="68"/>
    </row>
    <row r="11" spans="1:31" x14ac:dyDescent="0.25">
      <c r="A11" s="17" t="s">
        <v>34</v>
      </c>
      <c r="B11" s="16">
        <v>1</v>
      </c>
      <c r="C11" s="16" t="s">
        <v>53</v>
      </c>
      <c r="D11" s="16">
        <v>0</v>
      </c>
      <c r="E11" s="17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30">
        <f>SUM(H2:H66)</f>
        <v>355</v>
      </c>
      <c r="R11" s="130"/>
      <c r="S11" s="130"/>
      <c r="T11" s="130"/>
      <c r="U11" s="130"/>
      <c r="W11" s="68" t="s">
        <v>26</v>
      </c>
      <c r="X11" s="68"/>
      <c r="Y11" s="68"/>
      <c r="Z11" s="54">
        <v>2</v>
      </c>
      <c r="AB11" s="54">
        <v>0</v>
      </c>
      <c r="AC11" s="68" t="s">
        <v>55</v>
      </c>
      <c r="AD11" s="68"/>
      <c r="AE11" s="68"/>
    </row>
    <row r="12" spans="1:31" x14ac:dyDescent="0.25">
      <c r="A12" s="17" t="s">
        <v>20</v>
      </c>
      <c r="B12" s="16">
        <v>1</v>
      </c>
      <c r="C12" s="16" t="s">
        <v>53</v>
      </c>
      <c r="D12" s="16">
        <v>1</v>
      </c>
      <c r="E12" s="17" t="s">
        <v>54</v>
      </c>
      <c r="H12" s="16">
        <v>10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30"/>
      <c r="R12" s="130"/>
      <c r="S12" s="130"/>
      <c r="T12" s="130"/>
      <c r="U12" s="130"/>
      <c r="W12" s="68"/>
      <c r="X12" s="68"/>
      <c r="Y12" s="68"/>
      <c r="AC12" s="68"/>
      <c r="AD12" s="68"/>
      <c r="AE12" s="68"/>
    </row>
    <row r="13" spans="1:31" x14ac:dyDescent="0.25">
      <c r="A13" s="17" t="s">
        <v>21</v>
      </c>
      <c r="B13" s="16">
        <v>1</v>
      </c>
      <c r="C13" s="16" t="s">
        <v>53</v>
      </c>
      <c r="D13" s="16">
        <v>2</v>
      </c>
      <c r="E13" s="17" t="s">
        <v>54</v>
      </c>
      <c r="H13" s="16">
        <v>10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30"/>
      <c r="R13" s="130"/>
      <c r="S13" s="130"/>
      <c r="T13" s="130"/>
      <c r="U13" s="130"/>
      <c r="W13" s="68"/>
      <c r="X13" s="68"/>
      <c r="Y13" s="68"/>
      <c r="AC13" s="68"/>
      <c r="AD13" s="68"/>
      <c r="AE13" s="68"/>
    </row>
    <row r="14" spans="1:31" x14ac:dyDescent="0.25">
      <c r="A14" s="17" t="s">
        <v>34</v>
      </c>
      <c r="B14" s="16">
        <v>1</v>
      </c>
      <c r="C14" s="16" t="s">
        <v>53</v>
      </c>
      <c r="D14" s="16">
        <v>2</v>
      </c>
      <c r="E14" s="17" t="s">
        <v>20</v>
      </c>
      <c r="H14" s="16">
        <v>10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30"/>
      <c r="R14" s="130"/>
      <c r="S14" s="130"/>
      <c r="T14" s="130"/>
      <c r="U14" s="130"/>
      <c r="W14" s="68"/>
      <c r="X14" s="68"/>
      <c r="Y14" s="68"/>
      <c r="AC14" s="68"/>
      <c r="AD14" s="68"/>
      <c r="AE14" s="68"/>
    </row>
    <row r="15" spans="1:31" x14ac:dyDescent="0.25">
      <c r="A15" s="132" t="s">
        <v>64</v>
      </c>
      <c r="B15" s="132"/>
      <c r="C15" s="132"/>
      <c r="D15" s="132"/>
      <c r="E15" s="132"/>
      <c r="J15" s="17" t="str">
        <f>IF(Tabela!F16="","",Tabela!F16)</f>
        <v/>
      </c>
      <c r="K15" s="128" t="s">
        <v>64</v>
      </c>
      <c r="L15" s="128"/>
      <c r="M15" s="128"/>
      <c r="N15" s="128"/>
      <c r="O15" s="128"/>
      <c r="Q15" s="130"/>
      <c r="R15" s="130"/>
      <c r="S15" s="130"/>
      <c r="T15" s="130"/>
      <c r="U15" s="130"/>
      <c r="W15" s="68"/>
      <c r="X15" s="68"/>
      <c r="Y15" s="68"/>
      <c r="AC15" s="68"/>
      <c r="AD15" s="68"/>
      <c r="AE15" s="68"/>
    </row>
    <row r="16" spans="1:31" x14ac:dyDescent="0.25">
      <c r="A16" s="17" t="s">
        <v>5</v>
      </c>
      <c r="B16" s="16">
        <v>4</v>
      </c>
      <c r="C16" s="16" t="s">
        <v>53</v>
      </c>
      <c r="D16" s="16">
        <v>0</v>
      </c>
      <c r="E16" s="17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68"/>
      <c r="X16" s="68"/>
      <c r="Y16" s="68"/>
      <c r="AC16" s="68"/>
      <c r="AD16" s="68"/>
      <c r="AE16" s="68"/>
    </row>
    <row r="17" spans="1:31" x14ac:dyDescent="0.25">
      <c r="A17" s="17" t="s">
        <v>24</v>
      </c>
      <c r="B17" s="16">
        <v>2</v>
      </c>
      <c r="C17" s="16" t="s">
        <v>53</v>
      </c>
      <c r="D17" s="16">
        <v>1</v>
      </c>
      <c r="E17" s="17" t="s">
        <v>26</v>
      </c>
      <c r="H17" s="16">
        <v>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68"/>
      <c r="X17" s="68"/>
      <c r="Y17" s="68"/>
      <c r="AC17" s="68"/>
      <c r="AD17" s="68"/>
      <c r="AE17" s="68"/>
    </row>
    <row r="18" spans="1:31" x14ac:dyDescent="0.25">
      <c r="A18" s="17" t="s">
        <v>26</v>
      </c>
      <c r="B18" s="16">
        <v>2</v>
      </c>
      <c r="C18" s="16" t="s">
        <v>53</v>
      </c>
      <c r="D18" s="16">
        <v>0</v>
      </c>
      <c r="E18" s="17" t="s">
        <v>55</v>
      </c>
      <c r="H18" s="16">
        <v>25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W18" s="68"/>
      <c r="X18" s="68"/>
      <c r="Y18" s="68"/>
      <c r="AC18" s="68"/>
      <c r="AD18" s="68"/>
      <c r="AE18" s="68"/>
    </row>
    <row r="19" spans="1:31" x14ac:dyDescent="0.25">
      <c r="A19" s="17" t="s">
        <v>5</v>
      </c>
      <c r="B19" s="16">
        <v>1</v>
      </c>
      <c r="C19" s="16" t="s">
        <v>53</v>
      </c>
      <c r="D19" s="16">
        <v>1</v>
      </c>
      <c r="E19" s="17" t="s">
        <v>24</v>
      </c>
      <c r="H19" s="16">
        <v>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W19" s="68"/>
      <c r="X19" s="68"/>
      <c r="Y19" s="68"/>
      <c r="AC19" s="68"/>
      <c r="AD19" s="68"/>
      <c r="AE19" s="68"/>
    </row>
    <row r="20" spans="1:31" x14ac:dyDescent="0.25">
      <c r="A20" s="17" t="s">
        <v>26</v>
      </c>
      <c r="B20" s="16">
        <v>1</v>
      </c>
      <c r="C20" s="16" t="s">
        <v>53</v>
      </c>
      <c r="D20" s="16">
        <v>3</v>
      </c>
      <c r="E20" s="17" t="s">
        <v>5</v>
      </c>
      <c r="H20" s="16">
        <v>10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68"/>
      <c r="X20" s="68"/>
      <c r="Y20" s="68"/>
      <c r="AC20" s="68"/>
      <c r="AD20" s="68"/>
      <c r="AE20" s="68"/>
    </row>
    <row r="21" spans="1:31" x14ac:dyDescent="0.25">
      <c r="A21" s="17" t="s">
        <v>55</v>
      </c>
      <c r="B21" s="16">
        <v>0</v>
      </c>
      <c r="C21" s="16" t="s">
        <v>53</v>
      </c>
      <c r="D21" s="16">
        <v>2</v>
      </c>
      <c r="E21" s="17" t="s">
        <v>24</v>
      </c>
      <c r="H21" s="16">
        <v>15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W21" s="68"/>
      <c r="X21" s="68"/>
      <c r="Y21" s="68"/>
      <c r="AC21" s="68"/>
      <c r="AD21" s="68"/>
      <c r="AE21" s="68"/>
    </row>
    <row r="22" spans="1:31" x14ac:dyDescent="0.25">
      <c r="A22" s="132" t="s">
        <v>63</v>
      </c>
      <c r="B22" s="132"/>
      <c r="C22" s="132"/>
      <c r="D22" s="132"/>
      <c r="E22" s="132"/>
      <c r="J22" s="17" t="str">
        <f>IF(Tabela!F23="","",Tabela!F23)</f>
        <v/>
      </c>
      <c r="K22" s="128" t="s">
        <v>63</v>
      </c>
      <c r="L22" s="128"/>
      <c r="M22" s="128"/>
      <c r="N22" s="128"/>
      <c r="O22" s="128"/>
      <c r="W22" s="68"/>
      <c r="X22" s="68"/>
      <c r="Y22" s="68"/>
      <c r="AC22" s="68"/>
      <c r="AD22" s="68"/>
      <c r="AE22" s="68"/>
    </row>
    <row r="23" spans="1:31" x14ac:dyDescent="0.25">
      <c r="A23" s="17" t="s">
        <v>13</v>
      </c>
      <c r="B23" s="16">
        <v>2</v>
      </c>
      <c r="C23" s="16" t="s">
        <v>53</v>
      </c>
      <c r="D23" s="16">
        <v>0</v>
      </c>
      <c r="E23" s="17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68"/>
      <c r="X23" s="68"/>
      <c r="Y23" s="68"/>
      <c r="AC23" s="68"/>
      <c r="AD23" s="68"/>
      <c r="AE23" s="68"/>
    </row>
    <row r="24" spans="1:31" x14ac:dyDescent="0.25">
      <c r="A24" s="17" t="s">
        <v>17</v>
      </c>
      <c r="B24" s="16">
        <v>2</v>
      </c>
      <c r="C24" s="16" t="s">
        <v>53</v>
      </c>
      <c r="D24" s="16">
        <v>0</v>
      </c>
      <c r="E24" s="17" t="s">
        <v>6</v>
      </c>
      <c r="H24" s="16">
        <v>10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Q24" s="17">
        <v>25</v>
      </c>
      <c r="R24" s="17">
        <v>15</v>
      </c>
      <c r="S24" s="17">
        <v>10</v>
      </c>
      <c r="T24" s="17">
        <v>5</v>
      </c>
      <c r="U24" s="17">
        <v>0</v>
      </c>
      <c r="W24" s="68"/>
      <c r="X24" s="68"/>
      <c r="Y24" s="68"/>
      <c r="AC24" s="68"/>
      <c r="AD24" s="68"/>
      <c r="AE24" s="68"/>
    </row>
    <row r="25" spans="1:31" x14ac:dyDescent="0.25">
      <c r="A25" s="17" t="s">
        <v>31</v>
      </c>
      <c r="B25" s="16">
        <v>1</v>
      </c>
      <c r="C25" s="16" t="s">
        <v>53</v>
      </c>
      <c r="D25" s="16">
        <v>1</v>
      </c>
      <c r="E25" s="17" t="s">
        <v>6</v>
      </c>
      <c r="H25" s="16">
        <v>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Q25" s="22">
        <v>2</v>
      </c>
      <c r="R25" s="22">
        <v>8</v>
      </c>
      <c r="S25" s="22">
        <v>13</v>
      </c>
      <c r="T25" s="22">
        <v>11</v>
      </c>
      <c r="U25" s="22">
        <v>14</v>
      </c>
      <c r="W25" s="68"/>
      <c r="X25" s="68"/>
      <c r="Y25" s="68"/>
      <c r="AC25" s="68"/>
      <c r="AD25" s="68"/>
      <c r="AE25" s="68"/>
    </row>
    <row r="26" spans="1:31" x14ac:dyDescent="0.25">
      <c r="A26" s="17" t="s">
        <v>17</v>
      </c>
      <c r="B26" s="16">
        <v>3</v>
      </c>
      <c r="C26" s="16" t="s">
        <v>53</v>
      </c>
      <c r="D26" s="16">
        <v>2</v>
      </c>
      <c r="E26" s="17" t="s">
        <v>13</v>
      </c>
      <c r="H26" s="16">
        <v>10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68"/>
      <c r="X26" s="68"/>
      <c r="Y26" s="68"/>
      <c r="AC26" s="68"/>
      <c r="AD26" s="68"/>
      <c r="AE26" s="68"/>
    </row>
    <row r="27" spans="1:31" x14ac:dyDescent="0.25">
      <c r="A27" s="17" t="s">
        <v>31</v>
      </c>
      <c r="B27" s="16">
        <v>1</v>
      </c>
      <c r="C27" s="16" t="s">
        <v>53</v>
      </c>
      <c r="D27" s="16">
        <v>3</v>
      </c>
      <c r="E27" s="17" t="s">
        <v>17</v>
      </c>
      <c r="H27" s="16">
        <v>5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Q27" s="124" t="s">
        <v>42</v>
      </c>
      <c r="R27" s="124"/>
      <c r="S27" s="125" t="s">
        <v>8</v>
      </c>
      <c r="T27" s="125"/>
      <c r="U27" s="125" t="s">
        <v>5</v>
      </c>
      <c r="V27" s="125"/>
      <c r="W27" s="68"/>
      <c r="X27" s="68"/>
      <c r="Y27" s="68"/>
      <c r="AC27" s="68"/>
      <c r="AD27" s="68"/>
      <c r="AE27" s="68"/>
    </row>
    <row r="28" spans="1:31" x14ac:dyDescent="0.25">
      <c r="A28" s="17" t="s">
        <v>6</v>
      </c>
      <c r="B28" s="16">
        <v>0</v>
      </c>
      <c r="C28" s="16" t="s">
        <v>53</v>
      </c>
      <c r="D28" s="16">
        <v>1</v>
      </c>
      <c r="E28" s="17" t="s">
        <v>13</v>
      </c>
      <c r="H28" s="16">
        <v>0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Q28" s="124" t="s">
        <v>41</v>
      </c>
      <c r="R28" s="124"/>
      <c r="S28" s="126" t="s">
        <v>128</v>
      </c>
      <c r="T28" s="126"/>
      <c r="U28" s="126" t="s">
        <v>136</v>
      </c>
      <c r="V28" s="126"/>
      <c r="W28" s="68"/>
      <c r="X28" s="68"/>
      <c r="Y28" s="68"/>
      <c r="AC28" s="68"/>
      <c r="AD28" s="68"/>
      <c r="AE28" s="68"/>
    </row>
    <row r="29" spans="1:31" x14ac:dyDescent="0.25">
      <c r="A29" s="132" t="s">
        <v>62</v>
      </c>
      <c r="B29" s="132"/>
      <c r="C29" s="132"/>
      <c r="D29" s="132"/>
      <c r="E29" s="132"/>
      <c r="K29" s="128" t="s">
        <v>62</v>
      </c>
      <c r="L29" s="128"/>
      <c r="M29" s="128"/>
      <c r="N29" s="128"/>
      <c r="O29" s="128"/>
      <c r="W29" s="68"/>
      <c r="X29" s="68"/>
      <c r="Y29" s="68"/>
      <c r="AC29" s="68"/>
      <c r="AD29" s="68"/>
      <c r="AE29" s="68"/>
    </row>
    <row r="30" spans="1:31" x14ac:dyDescent="0.25">
      <c r="A30" s="17" t="s">
        <v>4</v>
      </c>
      <c r="B30" s="16">
        <v>3</v>
      </c>
      <c r="C30" s="16" t="s">
        <v>53</v>
      </c>
      <c r="D30" s="16">
        <v>1</v>
      </c>
      <c r="E30" s="17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68"/>
      <c r="X30" s="68"/>
      <c r="Y30" s="68"/>
      <c r="AC30" s="68"/>
      <c r="AD30" s="68"/>
      <c r="AE30" s="68"/>
    </row>
    <row r="31" spans="1:31" x14ac:dyDescent="0.25">
      <c r="A31" s="17" t="s">
        <v>15</v>
      </c>
      <c r="B31" s="16">
        <v>2</v>
      </c>
      <c r="C31" s="16" t="s">
        <v>53</v>
      </c>
      <c r="D31" s="16">
        <v>1</v>
      </c>
      <c r="E31" s="17" t="s">
        <v>56</v>
      </c>
      <c r="H31" s="16">
        <v>10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7" t="s">
        <v>22</v>
      </c>
      <c r="B32" s="16">
        <v>1</v>
      </c>
      <c r="C32" s="16" t="s">
        <v>53</v>
      </c>
      <c r="D32" s="16">
        <v>1</v>
      </c>
      <c r="E32" s="17" t="s">
        <v>56</v>
      </c>
      <c r="H32" s="16">
        <v>5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7" t="s">
        <v>15</v>
      </c>
      <c r="B33" s="16">
        <v>2</v>
      </c>
      <c r="C33" s="16" t="s">
        <v>53</v>
      </c>
      <c r="D33" s="16">
        <v>2</v>
      </c>
      <c r="E33" s="17" t="s">
        <v>4</v>
      </c>
      <c r="H33" s="16">
        <v>10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7" t="s">
        <v>22</v>
      </c>
      <c r="B34" s="16">
        <v>1</v>
      </c>
      <c r="C34" s="16" t="s">
        <v>53</v>
      </c>
      <c r="D34" s="16">
        <v>2</v>
      </c>
      <c r="E34" s="17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7" t="s">
        <v>56</v>
      </c>
      <c r="B35" s="16">
        <v>0</v>
      </c>
      <c r="C35" s="16" t="s">
        <v>53</v>
      </c>
      <c r="D35" s="16">
        <v>4</v>
      </c>
      <c r="E35" s="17" t="s">
        <v>4</v>
      </c>
      <c r="H35" s="16">
        <v>15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32" t="s">
        <v>61</v>
      </c>
      <c r="B36" s="132"/>
      <c r="C36" s="132"/>
      <c r="D36" s="132"/>
      <c r="E36" s="132"/>
      <c r="J36" s="17" t="str">
        <f>IF(Tabela!L9="","",Tabela!L9)</f>
        <v/>
      </c>
      <c r="K36" s="128" t="s">
        <v>61</v>
      </c>
      <c r="L36" s="128"/>
      <c r="M36" s="128"/>
      <c r="N36" s="128"/>
      <c r="O36" s="128"/>
    </row>
    <row r="37" spans="1:15" x14ac:dyDescent="0.25">
      <c r="A37" s="17" t="s">
        <v>23</v>
      </c>
      <c r="B37" s="16">
        <v>0</v>
      </c>
      <c r="C37" s="16" t="s">
        <v>53</v>
      </c>
      <c r="D37" s="16">
        <v>2</v>
      </c>
      <c r="E37" s="17" t="s">
        <v>12</v>
      </c>
      <c r="H37" s="16">
        <v>5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7" t="s">
        <v>7</v>
      </c>
      <c r="B38" s="16">
        <v>2</v>
      </c>
      <c r="C38" s="16" t="s">
        <v>53</v>
      </c>
      <c r="D38" s="16">
        <v>0</v>
      </c>
      <c r="E38" s="17" t="s">
        <v>10</v>
      </c>
      <c r="H38" s="16">
        <v>15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7" t="s">
        <v>7</v>
      </c>
      <c r="B39" s="16">
        <v>2</v>
      </c>
      <c r="C39" s="16" t="s">
        <v>53</v>
      </c>
      <c r="D39" s="16">
        <v>0</v>
      </c>
      <c r="E39" s="17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7" t="s">
        <v>12</v>
      </c>
      <c r="B40" s="16">
        <v>3</v>
      </c>
      <c r="C40" s="16" t="s">
        <v>53</v>
      </c>
      <c r="D40" s="16">
        <v>1</v>
      </c>
      <c r="E40" s="17" t="s">
        <v>10</v>
      </c>
      <c r="H40" s="16">
        <v>15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7" t="s">
        <v>12</v>
      </c>
      <c r="B41" s="16">
        <v>2</v>
      </c>
      <c r="C41" s="16" t="s">
        <v>53</v>
      </c>
      <c r="D41" s="16">
        <v>1</v>
      </c>
      <c r="E41" s="17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7" t="s">
        <v>10</v>
      </c>
      <c r="B42" s="16">
        <v>1</v>
      </c>
      <c r="C42" s="16" t="s">
        <v>53</v>
      </c>
      <c r="D42" s="16">
        <v>0</v>
      </c>
      <c r="E42" s="17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32" t="s">
        <v>60</v>
      </c>
      <c r="B43" s="132"/>
      <c r="C43" s="132"/>
      <c r="D43" s="132"/>
      <c r="E43" s="132"/>
      <c r="J43" s="17" t="str">
        <f>IF(Tabela!L16="","",Tabela!L16)</f>
        <v/>
      </c>
      <c r="K43" s="128" t="s">
        <v>60</v>
      </c>
      <c r="L43" s="128"/>
      <c r="M43" s="128"/>
      <c r="N43" s="128"/>
      <c r="O43" s="128"/>
    </row>
    <row r="44" spans="1:15" x14ac:dyDescent="0.25">
      <c r="A44" s="17" t="s">
        <v>30</v>
      </c>
      <c r="B44" s="16">
        <v>1</v>
      </c>
      <c r="C44" s="16" t="s">
        <v>53</v>
      </c>
      <c r="D44" s="16">
        <v>1</v>
      </c>
      <c r="E44" s="17" t="s">
        <v>9</v>
      </c>
      <c r="H44" s="16">
        <v>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7" t="s">
        <v>8</v>
      </c>
      <c r="B45" s="16">
        <v>3</v>
      </c>
      <c r="C45" s="16" t="s">
        <v>53</v>
      </c>
      <c r="D45" s="16">
        <v>1</v>
      </c>
      <c r="E45" s="17" t="s">
        <v>29</v>
      </c>
      <c r="H45" s="16">
        <v>10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7" t="s">
        <v>9</v>
      </c>
      <c r="B46" s="16">
        <v>1</v>
      </c>
      <c r="C46" s="16" t="s">
        <v>53</v>
      </c>
      <c r="D46" s="16">
        <v>2</v>
      </c>
      <c r="E46" s="17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7" t="s">
        <v>8</v>
      </c>
      <c r="B47" s="16">
        <v>2</v>
      </c>
      <c r="C47" s="16" t="s">
        <v>53</v>
      </c>
      <c r="D47" s="16">
        <v>0</v>
      </c>
      <c r="E47" s="17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7" t="s">
        <v>9</v>
      </c>
      <c r="B48" s="16">
        <v>1</v>
      </c>
      <c r="C48" s="16" t="s">
        <v>53</v>
      </c>
      <c r="D48" s="16">
        <v>3</v>
      </c>
      <c r="E48" s="17" t="s">
        <v>8</v>
      </c>
      <c r="H48" s="16">
        <v>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7" t="s">
        <v>29</v>
      </c>
      <c r="B49" s="16">
        <v>2</v>
      </c>
      <c r="C49" s="16" t="s">
        <v>53</v>
      </c>
      <c r="D49" s="16">
        <v>0</v>
      </c>
      <c r="E49" s="17" t="s">
        <v>30</v>
      </c>
      <c r="H49" s="16">
        <v>5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32" t="s">
        <v>59</v>
      </c>
      <c r="B50" s="132"/>
      <c r="C50" s="132"/>
      <c r="D50" s="132"/>
      <c r="E50" s="132"/>
      <c r="J50" s="17" t="str">
        <f>IF(Tabela!L23="","",Tabela!L23)</f>
        <v/>
      </c>
      <c r="K50" s="128" t="s">
        <v>59</v>
      </c>
      <c r="L50" s="128"/>
      <c r="M50" s="128"/>
      <c r="N50" s="128"/>
      <c r="O50" s="128"/>
    </row>
    <row r="51" spans="1:15" x14ac:dyDescent="0.25">
      <c r="A51" s="17" t="s">
        <v>32</v>
      </c>
      <c r="B51" s="16">
        <v>2</v>
      </c>
      <c r="C51" s="16" t="s">
        <v>53</v>
      </c>
      <c r="D51" s="16">
        <v>0</v>
      </c>
      <c r="E51" s="17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7" t="s">
        <v>27</v>
      </c>
      <c r="B52" s="16">
        <v>3</v>
      </c>
      <c r="C52" s="16" t="s">
        <v>53</v>
      </c>
      <c r="D52" s="16">
        <v>1</v>
      </c>
      <c r="E52" s="17" t="s">
        <v>18</v>
      </c>
      <c r="H52" s="16">
        <v>15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7" t="s">
        <v>67</v>
      </c>
      <c r="B53" s="16">
        <v>1</v>
      </c>
      <c r="C53" s="16" t="s">
        <v>53</v>
      </c>
      <c r="D53" s="16">
        <v>1</v>
      </c>
      <c r="E53" s="17" t="s">
        <v>18</v>
      </c>
      <c r="H53" s="16">
        <v>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7" t="s">
        <v>27</v>
      </c>
      <c r="B54" s="16">
        <v>3</v>
      </c>
      <c r="C54" s="16" t="s">
        <v>53</v>
      </c>
      <c r="D54" s="16">
        <v>3</v>
      </c>
      <c r="E54" s="17" t="s">
        <v>32</v>
      </c>
      <c r="H54" s="16">
        <v>0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7" t="s">
        <v>67</v>
      </c>
      <c r="B55" s="16">
        <v>0</v>
      </c>
      <c r="C55" s="16" t="s">
        <v>53</v>
      </c>
      <c r="D55" s="16">
        <v>2</v>
      </c>
      <c r="E55" s="17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7" t="s">
        <v>18</v>
      </c>
      <c r="B56" s="16">
        <v>1</v>
      </c>
      <c r="C56" s="16" t="s">
        <v>53</v>
      </c>
      <c r="D56" s="16">
        <v>3</v>
      </c>
      <c r="E56" s="17" t="s">
        <v>32</v>
      </c>
      <c r="H56" s="16">
        <v>10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60" t="s">
        <v>173</v>
      </c>
    </row>
    <row r="58" spans="1:15" x14ac:dyDescent="0.25">
      <c r="A58" s="134" t="str">
        <f>_xlfn.CONCAT(W2,A57)</f>
        <v>Gabriel - Oitavas de Final</v>
      </c>
      <c r="B58" s="134"/>
      <c r="C58" s="134"/>
      <c r="D58" s="134"/>
      <c r="E58" s="134"/>
      <c r="K58" s="137" t="s">
        <v>171</v>
      </c>
      <c r="L58" s="137"/>
      <c r="M58" s="137"/>
      <c r="N58" s="137"/>
      <c r="O58" s="137"/>
    </row>
    <row r="59" spans="1:15" x14ac:dyDescent="0.25">
      <c r="A59" s="66" t="s">
        <v>19</v>
      </c>
      <c r="B59" s="2">
        <v>1</v>
      </c>
      <c r="C59" s="2" t="s">
        <v>53</v>
      </c>
      <c r="D59" s="2">
        <v>0</v>
      </c>
      <c r="E59" s="65" t="s">
        <v>166</v>
      </c>
      <c r="H59" s="16">
        <v>10</v>
      </c>
      <c r="J59" s="17" t="str">
        <f>IF(Tabela!F32="","",Tabela!F32)</f>
        <v/>
      </c>
      <c r="K59" s="67" t="str">
        <f>Tabela!A32</f>
        <v>Holanda</v>
      </c>
      <c r="L59" s="67">
        <f>Tabela!B32</f>
        <v>3</v>
      </c>
      <c r="M59" s="67" t="str">
        <f>Tabela!C32</f>
        <v>X</v>
      </c>
      <c r="N59" s="67">
        <f>Tabela!D32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0</v>
      </c>
      <c r="E60" s="65" t="s">
        <v>6</v>
      </c>
      <c r="J60" s="17" t="str">
        <f>IF(Tabela!F33="","",Tabela!F33)</f>
        <v>N</v>
      </c>
      <c r="K60" s="67" t="str">
        <f>Tabela!A33</f>
        <v>Argentina</v>
      </c>
      <c r="L60" s="67">
        <f>Tabela!B33</f>
        <v>0</v>
      </c>
      <c r="M60" s="67" t="str">
        <f>Tabela!C33</f>
        <v>X</v>
      </c>
      <c r="N60" s="67">
        <f>Tabela!D33</f>
        <v>0</v>
      </c>
      <c r="O60" s="67" t="str">
        <f>Tabela!E33</f>
        <v>Austrália</v>
      </c>
    </row>
    <row r="61" spans="1:15" x14ac:dyDescent="0.25">
      <c r="A61" s="66" t="s">
        <v>22</v>
      </c>
      <c r="B61" s="2">
        <v>2</v>
      </c>
      <c r="C61" s="2" t="s">
        <v>53</v>
      </c>
      <c r="D61" s="2">
        <v>1</v>
      </c>
      <c r="E61" s="65" t="s">
        <v>12</v>
      </c>
      <c r="J61" s="17" t="str">
        <f>IF(Tabela!F34="","",Tabela!F34)</f>
        <v>N</v>
      </c>
      <c r="K61" s="67" t="str">
        <f>Tabela!A34</f>
        <v>Japão</v>
      </c>
      <c r="L61" s="67">
        <f>Tabela!B34</f>
        <v>0</v>
      </c>
      <c r="M61" s="67" t="str">
        <f>Tabela!C34</f>
        <v>X</v>
      </c>
      <c r="N61" s="67">
        <f>Tabela!D34</f>
        <v>0</v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1</v>
      </c>
      <c r="E62" s="65" t="s">
        <v>167</v>
      </c>
      <c r="J62" s="17" t="str">
        <f>IF(Tabela!F35="","",Tabela!F35)</f>
        <v>N</v>
      </c>
      <c r="K62" s="67" t="str">
        <f>Tabela!A35</f>
        <v>Brasil</v>
      </c>
      <c r="L62" s="67">
        <f>Tabela!B35</f>
        <v>0</v>
      </c>
      <c r="M62" s="67" t="str">
        <f>Tabela!C35</f>
        <v>X</v>
      </c>
      <c r="N62" s="67">
        <f>Tabela!D35</f>
        <v>0</v>
      </c>
      <c r="O62" s="67" t="str">
        <f>Tabela!E35</f>
        <v>Coréia</v>
      </c>
    </row>
    <row r="63" spans="1:15" x14ac:dyDescent="0.25">
      <c r="A63" s="66" t="s">
        <v>20</v>
      </c>
      <c r="B63" s="2">
        <v>1</v>
      </c>
      <c r="C63" s="2" t="s">
        <v>53</v>
      </c>
      <c r="D63" s="2">
        <v>1</v>
      </c>
      <c r="E63" s="65" t="s">
        <v>28</v>
      </c>
      <c r="J63" s="17" t="str">
        <f>IF(Tabela!F36="","",Tabela!F36)</f>
        <v>N</v>
      </c>
      <c r="K63" s="67" t="str">
        <f>Tabela!A36</f>
        <v>Inglaterra</v>
      </c>
      <c r="L63" s="67">
        <f>Tabela!B36</f>
        <v>0</v>
      </c>
      <c r="M63" s="67" t="str">
        <f>Tabela!C36</f>
        <v>X</v>
      </c>
      <c r="N63" s="67">
        <f>Tabela!D36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1</v>
      </c>
      <c r="C64" s="2" t="s">
        <v>53</v>
      </c>
      <c r="D64" s="2">
        <v>0</v>
      </c>
      <c r="E64" s="65" t="s">
        <v>26</v>
      </c>
      <c r="J64" s="17" t="str">
        <f>IF(Tabela!F37="","",Tabela!F37)</f>
        <v>N</v>
      </c>
      <c r="K64" s="67" t="str">
        <f>Tabela!A37</f>
        <v>França</v>
      </c>
      <c r="L64" s="67">
        <f>Tabela!B37</f>
        <v>0</v>
      </c>
      <c r="M64" s="67" t="str">
        <f>Tabela!C37</f>
        <v>X</v>
      </c>
      <c r="N64" s="67">
        <f>Tabela!D37</f>
        <v>0</v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1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7">
        <f>Tabela!B38</f>
        <v>0</v>
      </c>
      <c r="M65" s="67" t="str">
        <f>Tabela!C38</f>
        <v>X</v>
      </c>
      <c r="N65" s="67">
        <f>Tabela!D38</f>
        <v>0</v>
      </c>
      <c r="O65" s="67" t="str">
        <f>Tabela!E38</f>
        <v>Espanha</v>
      </c>
    </row>
    <row r="66" spans="1:15" x14ac:dyDescent="0.25">
      <c r="A66" s="66" t="s">
        <v>27</v>
      </c>
      <c r="B66" s="2">
        <v>2</v>
      </c>
      <c r="C66" s="2" t="s">
        <v>53</v>
      </c>
      <c r="D66" s="2">
        <v>2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7">
        <f>Tabela!B39</f>
        <v>0</v>
      </c>
      <c r="M66" s="67" t="str">
        <f>Tabela!C39</f>
        <v>X</v>
      </c>
      <c r="N66" s="67">
        <f>Tabela!D39</f>
        <v>0</v>
      </c>
      <c r="O66" s="67" t="str">
        <f>Tabela!E39</f>
        <v>Suíça</v>
      </c>
    </row>
  </sheetData>
  <mergeCells count="71">
    <mergeCell ref="A58:E58"/>
    <mergeCell ref="K58:O58"/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W12:Y12"/>
    <mergeCell ref="AC12:AE12"/>
    <mergeCell ref="W13:Y13"/>
    <mergeCell ref="AC13:AE13"/>
    <mergeCell ref="W14:Y14"/>
    <mergeCell ref="AC14:AE14"/>
    <mergeCell ref="W9:AE9"/>
    <mergeCell ref="W10:Y10"/>
    <mergeCell ref="AC10:AE10"/>
    <mergeCell ref="W11:Y11"/>
    <mergeCell ref="AC11:AE11"/>
    <mergeCell ref="K36:O36"/>
    <mergeCell ref="K43:O43"/>
    <mergeCell ref="K50:O50"/>
    <mergeCell ref="A8:E8"/>
    <mergeCell ref="A15:E15"/>
    <mergeCell ref="A22:E22"/>
    <mergeCell ref="A50:E50"/>
    <mergeCell ref="A43:E43"/>
    <mergeCell ref="A36:E36"/>
    <mergeCell ref="A29:E29"/>
    <mergeCell ref="Q9:U10"/>
    <mergeCell ref="Q11:U15"/>
    <mergeCell ref="K15:O15"/>
    <mergeCell ref="K22:O22"/>
    <mergeCell ref="K29:O29"/>
    <mergeCell ref="Q27:R27"/>
    <mergeCell ref="S27:T27"/>
    <mergeCell ref="U27:V27"/>
    <mergeCell ref="Q28:R28"/>
    <mergeCell ref="S28:T28"/>
    <mergeCell ref="U28:V28"/>
    <mergeCell ref="W2:AE6"/>
    <mergeCell ref="A1:E1"/>
    <mergeCell ref="A2:E2"/>
    <mergeCell ref="K1:O1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07B886-7CB1-462C-8A78-EE2D9FCECC8F}">
  <sheetPr codeName="Planilha25">
    <tabColor rgb="FF0070C0"/>
    <pageSetUpPr autoPageBreaks="0"/>
  </sheetPr>
  <dimension ref="A1:AE66"/>
  <sheetViews>
    <sheetView zoomScale="85" zoomScaleNormal="85" workbookViewId="0">
      <pane xSplit="15" ySplit="16" topLeftCell="P18" activePane="bottomRight" state="frozen"/>
      <selection pane="topRight" activeCell="P1" sqref="P1"/>
      <selection pane="bottomLeft" activeCell="A17" sqref="A17"/>
      <selection pane="bottomRight" activeCell="Q25" sqref="Q25:U25"/>
    </sheetView>
  </sheetViews>
  <sheetFormatPr defaultRowHeight="15" x14ac:dyDescent="0.25"/>
  <cols>
    <col min="1" max="1" width="17.7109375" style="17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56" width="5.7109375" style="17" customWidth="1"/>
    <col min="57" max="16384" width="9.140625" style="17"/>
  </cols>
  <sheetData>
    <row r="1" spans="1:31" x14ac:dyDescent="0.25">
      <c r="A1" s="127" t="s">
        <v>58</v>
      </c>
      <c r="B1" s="127"/>
      <c r="C1" s="127"/>
      <c r="D1" s="127"/>
      <c r="E1" s="127"/>
      <c r="K1" s="128" t="s">
        <v>58</v>
      </c>
      <c r="L1" s="128"/>
      <c r="M1" s="128"/>
      <c r="N1" s="128"/>
      <c r="O1" s="128"/>
    </row>
    <row r="2" spans="1:31" x14ac:dyDescent="0.25">
      <c r="A2" s="133" t="s">
        <v>43</v>
      </c>
      <c r="B2" s="133"/>
      <c r="C2" s="133"/>
      <c r="D2" s="133"/>
      <c r="E2" s="133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31" t="s">
        <v>71</v>
      </c>
      <c r="X2" s="131"/>
      <c r="Y2" s="131"/>
      <c r="Z2" s="131"/>
      <c r="AA2" s="131"/>
      <c r="AB2" s="131"/>
      <c r="AC2" s="131"/>
      <c r="AD2" s="131"/>
      <c r="AE2" s="131"/>
    </row>
    <row r="3" spans="1:31" x14ac:dyDescent="0.25">
      <c r="A3" s="17" t="s">
        <v>28</v>
      </c>
      <c r="B3" s="16">
        <v>1</v>
      </c>
      <c r="C3" s="16" t="s">
        <v>53</v>
      </c>
      <c r="D3" s="16">
        <v>0</v>
      </c>
      <c r="E3" s="17" t="s">
        <v>19</v>
      </c>
      <c r="H3" s="16">
        <v>0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31"/>
      <c r="X3" s="131"/>
      <c r="Y3" s="131"/>
      <c r="Z3" s="131"/>
      <c r="AA3" s="131"/>
      <c r="AB3" s="131"/>
      <c r="AC3" s="131"/>
      <c r="AD3" s="131"/>
      <c r="AE3" s="131"/>
    </row>
    <row r="4" spans="1:31" x14ac:dyDescent="0.25">
      <c r="A4" s="17" t="s">
        <v>11</v>
      </c>
      <c r="B4" s="16">
        <v>0</v>
      </c>
      <c r="C4" s="16" t="s">
        <v>53</v>
      </c>
      <c r="D4" s="16">
        <v>2</v>
      </c>
      <c r="E4" s="17" t="s">
        <v>28</v>
      </c>
      <c r="H4" s="16">
        <v>10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31"/>
      <c r="X4" s="131"/>
      <c r="Y4" s="131"/>
      <c r="Z4" s="131"/>
      <c r="AA4" s="131"/>
      <c r="AB4" s="131"/>
      <c r="AC4" s="131"/>
      <c r="AD4" s="131"/>
      <c r="AE4" s="131"/>
    </row>
    <row r="5" spans="1:31" x14ac:dyDescent="0.25">
      <c r="A5" s="17" t="s">
        <v>19</v>
      </c>
      <c r="B5" s="16">
        <v>1</v>
      </c>
      <c r="C5" s="16" t="s">
        <v>53</v>
      </c>
      <c r="D5" s="16">
        <v>0</v>
      </c>
      <c r="E5" s="17" t="s">
        <v>14</v>
      </c>
      <c r="H5" s="16">
        <v>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31"/>
      <c r="X5" s="131"/>
      <c r="Y5" s="131"/>
      <c r="Z5" s="131"/>
      <c r="AA5" s="131"/>
      <c r="AB5" s="131"/>
      <c r="AC5" s="131"/>
      <c r="AD5" s="131"/>
      <c r="AE5" s="131"/>
    </row>
    <row r="6" spans="1:31" x14ac:dyDescent="0.25">
      <c r="A6" s="17" t="s">
        <v>19</v>
      </c>
      <c r="B6" s="16">
        <v>2</v>
      </c>
      <c r="C6" s="16" t="s">
        <v>53</v>
      </c>
      <c r="D6" s="16">
        <v>0</v>
      </c>
      <c r="E6" s="17" t="s">
        <v>11</v>
      </c>
      <c r="H6" s="16">
        <v>25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31"/>
      <c r="X6" s="131"/>
      <c r="Y6" s="131"/>
      <c r="Z6" s="131"/>
      <c r="AA6" s="131"/>
      <c r="AB6" s="131"/>
      <c r="AC6" s="131"/>
      <c r="AD6" s="131"/>
      <c r="AE6" s="131"/>
    </row>
    <row r="7" spans="1:31" x14ac:dyDescent="0.25">
      <c r="A7" s="17" t="s">
        <v>14</v>
      </c>
      <c r="B7" s="16">
        <v>1</v>
      </c>
      <c r="C7" s="16" t="s">
        <v>53</v>
      </c>
      <c r="D7" s="16">
        <v>1</v>
      </c>
      <c r="E7" s="17" t="s">
        <v>28</v>
      </c>
      <c r="H7" s="16">
        <v>5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32" t="s">
        <v>65</v>
      </c>
      <c r="B8" s="132"/>
      <c r="C8" s="132"/>
      <c r="D8" s="132"/>
      <c r="E8" s="132"/>
      <c r="J8" s="17" t="str">
        <f>IF(Tabela!F9="","",Tabela!F9)</f>
        <v/>
      </c>
      <c r="K8" s="128" t="s">
        <v>65</v>
      </c>
      <c r="L8" s="128"/>
      <c r="M8" s="128"/>
      <c r="N8" s="128"/>
      <c r="O8" s="128"/>
    </row>
    <row r="9" spans="1:31" x14ac:dyDescent="0.25">
      <c r="A9" s="17" t="s">
        <v>20</v>
      </c>
      <c r="B9" s="16">
        <v>2</v>
      </c>
      <c r="C9" s="16" t="s">
        <v>53</v>
      </c>
      <c r="D9" s="16">
        <v>0</v>
      </c>
      <c r="E9" s="17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29" t="s">
        <v>66</v>
      </c>
      <c r="R9" s="129"/>
      <c r="S9" s="129"/>
      <c r="T9" s="129"/>
      <c r="U9" s="129"/>
      <c r="W9" s="68" t="s">
        <v>124</v>
      </c>
      <c r="X9" s="68"/>
      <c r="Y9" s="68"/>
      <c r="Z9" s="68"/>
      <c r="AA9" s="68"/>
      <c r="AB9" s="68"/>
      <c r="AC9" s="68"/>
      <c r="AD9" s="68"/>
      <c r="AE9" s="68"/>
    </row>
    <row r="10" spans="1:31" x14ac:dyDescent="0.25">
      <c r="A10" s="17" t="s">
        <v>54</v>
      </c>
      <c r="B10" s="16">
        <v>1</v>
      </c>
      <c r="C10" s="16" t="s">
        <v>53</v>
      </c>
      <c r="D10" s="16">
        <v>1</v>
      </c>
      <c r="E10" s="17" t="s">
        <v>34</v>
      </c>
      <c r="H10" s="16">
        <v>25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29"/>
      <c r="R10" s="129"/>
      <c r="S10" s="129"/>
      <c r="T10" s="129"/>
      <c r="U10" s="129"/>
      <c r="W10" s="68" t="s">
        <v>19</v>
      </c>
      <c r="X10" s="68"/>
      <c r="Y10" s="68"/>
      <c r="Z10" s="54">
        <v>2</v>
      </c>
      <c r="AB10" s="54">
        <v>0</v>
      </c>
      <c r="AC10" s="68" t="s">
        <v>11</v>
      </c>
      <c r="AD10" s="68"/>
      <c r="AE10" s="68"/>
    </row>
    <row r="11" spans="1:31" x14ac:dyDescent="0.25">
      <c r="A11" s="17" t="s">
        <v>34</v>
      </c>
      <c r="B11" s="16">
        <v>2</v>
      </c>
      <c r="C11" s="16" t="s">
        <v>53</v>
      </c>
      <c r="D11" s="16">
        <v>1</v>
      </c>
      <c r="E11" s="17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30">
        <f>SUM(H2:H66)</f>
        <v>360</v>
      </c>
      <c r="R11" s="130"/>
      <c r="S11" s="130"/>
      <c r="T11" s="130"/>
      <c r="U11" s="130"/>
      <c r="W11" s="68" t="s">
        <v>16</v>
      </c>
      <c r="X11" s="68"/>
      <c r="Y11" s="68"/>
      <c r="Z11" s="54">
        <v>1</v>
      </c>
      <c r="AB11" s="54">
        <v>1</v>
      </c>
      <c r="AC11" s="68" t="s">
        <v>34</v>
      </c>
      <c r="AD11" s="68"/>
      <c r="AE11" s="68"/>
    </row>
    <row r="12" spans="1:31" x14ac:dyDescent="0.25">
      <c r="A12" s="17" t="s">
        <v>20</v>
      </c>
      <c r="B12" s="16">
        <v>2</v>
      </c>
      <c r="C12" s="16" t="s">
        <v>53</v>
      </c>
      <c r="D12" s="16">
        <v>1</v>
      </c>
      <c r="E12" s="17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30"/>
      <c r="R12" s="130"/>
      <c r="S12" s="130"/>
      <c r="T12" s="130"/>
      <c r="U12" s="130"/>
      <c r="W12" s="68" t="s">
        <v>26</v>
      </c>
      <c r="X12" s="68"/>
      <c r="Y12" s="68"/>
      <c r="Z12" s="54">
        <v>2</v>
      </c>
      <c r="AB12" s="54">
        <v>0</v>
      </c>
      <c r="AC12" s="68" t="s">
        <v>55</v>
      </c>
      <c r="AD12" s="68"/>
      <c r="AE12" s="68"/>
    </row>
    <row r="13" spans="1:31" x14ac:dyDescent="0.25">
      <c r="A13" s="17" t="s">
        <v>21</v>
      </c>
      <c r="B13" s="16">
        <v>1</v>
      </c>
      <c r="C13" s="16" t="s">
        <v>53</v>
      </c>
      <c r="D13" s="16">
        <v>0</v>
      </c>
      <c r="E13" s="17" t="s">
        <v>54</v>
      </c>
      <c r="H13" s="16">
        <v>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30"/>
      <c r="R13" s="130"/>
      <c r="S13" s="130"/>
      <c r="T13" s="130"/>
      <c r="U13" s="130"/>
      <c r="W13" s="68" t="s">
        <v>55</v>
      </c>
      <c r="X13" s="68"/>
      <c r="Y13" s="68"/>
      <c r="Z13" s="54">
        <v>1</v>
      </c>
      <c r="AB13" s="54">
        <v>2</v>
      </c>
      <c r="AC13" s="68" t="s">
        <v>24</v>
      </c>
      <c r="AD13" s="68"/>
      <c r="AE13" s="68"/>
    </row>
    <row r="14" spans="1:31" x14ac:dyDescent="0.25">
      <c r="A14" s="17" t="s">
        <v>34</v>
      </c>
      <c r="B14" s="16">
        <v>1</v>
      </c>
      <c r="C14" s="16" t="s">
        <v>53</v>
      </c>
      <c r="D14" s="16">
        <v>2</v>
      </c>
      <c r="E14" s="17" t="s">
        <v>20</v>
      </c>
      <c r="H14" s="16">
        <v>10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30"/>
      <c r="R14" s="130"/>
      <c r="S14" s="130"/>
      <c r="T14" s="130"/>
      <c r="U14" s="130"/>
      <c r="W14" s="68" t="s">
        <v>6</v>
      </c>
      <c r="X14" s="68"/>
      <c r="Y14" s="68"/>
      <c r="Z14" s="54">
        <v>1</v>
      </c>
      <c r="AB14" s="54">
        <v>0</v>
      </c>
      <c r="AC14" s="68" t="s">
        <v>13</v>
      </c>
      <c r="AD14" s="68"/>
      <c r="AE14" s="68"/>
    </row>
    <row r="15" spans="1:31" x14ac:dyDescent="0.25">
      <c r="A15" s="132" t="s">
        <v>64</v>
      </c>
      <c r="B15" s="132"/>
      <c r="C15" s="132"/>
      <c r="D15" s="132"/>
      <c r="E15" s="132"/>
      <c r="J15" s="17" t="str">
        <f>IF(Tabela!F16="","",Tabela!F16)</f>
        <v/>
      </c>
      <c r="K15" s="128" t="s">
        <v>64</v>
      </c>
      <c r="L15" s="128"/>
      <c r="M15" s="128"/>
      <c r="N15" s="128"/>
      <c r="O15" s="128"/>
      <c r="Q15" s="130"/>
      <c r="R15" s="130"/>
      <c r="S15" s="130"/>
      <c r="T15" s="130"/>
      <c r="U15" s="130"/>
      <c r="W15" s="68" t="s">
        <v>8</v>
      </c>
      <c r="X15" s="68"/>
      <c r="Y15" s="68"/>
      <c r="Z15" s="54">
        <v>2</v>
      </c>
      <c r="AB15" s="54">
        <v>0</v>
      </c>
      <c r="AC15" s="68" t="s">
        <v>29</v>
      </c>
      <c r="AD15" s="68"/>
      <c r="AE15" s="68"/>
    </row>
    <row r="16" spans="1:31" x14ac:dyDescent="0.25">
      <c r="A16" s="17" t="s">
        <v>5</v>
      </c>
      <c r="B16" s="16">
        <v>2</v>
      </c>
      <c r="C16" s="16" t="s">
        <v>53</v>
      </c>
      <c r="D16" s="16">
        <v>0</v>
      </c>
      <c r="E16" s="17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68"/>
      <c r="X16" s="68"/>
      <c r="Y16" s="68"/>
      <c r="AC16" s="68"/>
      <c r="AD16" s="68"/>
      <c r="AE16" s="68"/>
    </row>
    <row r="17" spans="1:31" x14ac:dyDescent="0.25">
      <c r="A17" s="17" t="s">
        <v>24</v>
      </c>
      <c r="B17" s="16">
        <v>2</v>
      </c>
      <c r="C17" s="16" t="s">
        <v>53</v>
      </c>
      <c r="D17" s="16">
        <v>1</v>
      </c>
      <c r="E17" s="17" t="s">
        <v>26</v>
      </c>
      <c r="H17" s="16">
        <v>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68"/>
      <c r="X17" s="68"/>
      <c r="Y17" s="68"/>
      <c r="AC17" s="68"/>
      <c r="AD17" s="68"/>
      <c r="AE17" s="68"/>
    </row>
    <row r="18" spans="1:31" x14ac:dyDescent="0.25">
      <c r="A18" s="17" t="s">
        <v>26</v>
      </c>
      <c r="B18" s="16">
        <v>2</v>
      </c>
      <c r="C18" s="16" t="s">
        <v>53</v>
      </c>
      <c r="D18" s="16">
        <v>0</v>
      </c>
      <c r="E18" s="17" t="s">
        <v>55</v>
      </c>
      <c r="H18" s="16">
        <v>25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W18" s="68"/>
      <c r="X18" s="68"/>
      <c r="Y18" s="68"/>
      <c r="AC18" s="68"/>
      <c r="AD18" s="68"/>
      <c r="AE18" s="68"/>
    </row>
    <row r="19" spans="1:31" x14ac:dyDescent="0.25">
      <c r="A19" s="17" t="s">
        <v>5</v>
      </c>
      <c r="B19" s="16">
        <v>1</v>
      </c>
      <c r="C19" s="16" t="s">
        <v>53</v>
      </c>
      <c r="D19" s="16">
        <v>1</v>
      </c>
      <c r="E19" s="17" t="s">
        <v>24</v>
      </c>
      <c r="H19" s="16">
        <v>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W19" s="68"/>
      <c r="X19" s="68"/>
      <c r="Y19" s="68"/>
      <c r="AC19" s="68"/>
      <c r="AD19" s="68"/>
      <c r="AE19" s="68"/>
    </row>
    <row r="20" spans="1:31" x14ac:dyDescent="0.25">
      <c r="A20" s="17" t="s">
        <v>26</v>
      </c>
      <c r="B20" s="16">
        <v>2</v>
      </c>
      <c r="C20" s="16" t="s">
        <v>53</v>
      </c>
      <c r="D20" s="16">
        <v>1</v>
      </c>
      <c r="E20" s="17" t="s">
        <v>5</v>
      </c>
      <c r="H20" s="16">
        <v>0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68"/>
      <c r="X20" s="68"/>
      <c r="Y20" s="68"/>
      <c r="AC20" s="68"/>
      <c r="AD20" s="68"/>
      <c r="AE20" s="68"/>
    </row>
    <row r="21" spans="1:31" x14ac:dyDescent="0.25">
      <c r="A21" s="17" t="s">
        <v>55</v>
      </c>
      <c r="B21" s="16">
        <v>1</v>
      </c>
      <c r="C21" s="16" t="s">
        <v>53</v>
      </c>
      <c r="D21" s="16">
        <v>2</v>
      </c>
      <c r="E21" s="17" t="s">
        <v>24</v>
      </c>
      <c r="H21" s="16">
        <v>25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W21" s="68"/>
      <c r="X21" s="68"/>
      <c r="Y21" s="68"/>
      <c r="AC21" s="68"/>
      <c r="AD21" s="68"/>
      <c r="AE21" s="68"/>
    </row>
    <row r="22" spans="1:31" x14ac:dyDescent="0.25">
      <c r="A22" s="132" t="s">
        <v>63</v>
      </c>
      <c r="B22" s="132"/>
      <c r="C22" s="132"/>
      <c r="D22" s="132"/>
      <c r="E22" s="132"/>
      <c r="J22" s="17" t="str">
        <f>IF(Tabela!F23="","",Tabela!F23)</f>
        <v/>
      </c>
      <c r="K22" s="128" t="s">
        <v>63</v>
      </c>
      <c r="L22" s="128"/>
      <c r="M22" s="128"/>
      <c r="N22" s="128"/>
      <c r="O22" s="128"/>
      <c r="W22" s="68"/>
      <c r="X22" s="68"/>
      <c r="Y22" s="68"/>
      <c r="AC22" s="68"/>
      <c r="AD22" s="68"/>
      <c r="AE22" s="68"/>
    </row>
    <row r="23" spans="1:31" x14ac:dyDescent="0.25">
      <c r="A23" s="17" t="s">
        <v>13</v>
      </c>
      <c r="B23" s="16">
        <v>2</v>
      </c>
      <c r="C23" s="16" t="s">
        <v>53</v>
      </c>
      <c r="D23" s="16">
        <v>1</v>
      </c>
      <c r="E23" s="17" t="s">
        <v>31</v>
      </c>
      <c r="H23" s="16">
        <v>0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68"/>
      <c r="X23" s="68"/>
      <c r="Y23" s="68"/>
      <c r="AC23" s="68"/>
      <c r="AD23" s="68"/>
      <c r="AE23" s="68"/>
    </row>
    <row r="24" spans="1:31" x14ac:dyDescent="0.25">
      <c r="A24" s="17" t="s">
        <v>17</v>
      </c>
      <c r="B24" s="16">
        <v>2</v>
      </c>
      <c r="C24" s="16" t="s">
        <v>53</v>
      </c>
      <c r="D24" s="16">
        <v>0</v>
      </c>
      <c r="E24" s="17" t="s">
        <v>6</v>
      </c>
      <c r="H24" s="16">
        <v>10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Q24" s="17">
        <v>25</v>
      </c>
      <c r="R24" s="17">
        <v>15</v>
      </c>
      <c r="S24" s="17">
        <v>10</v>
      </c>
      <c r="T24" s="17">
        <v>5</v>
      </c>
      <c r="U24" s="17">
        <v>0</v>
      </c>
      <c r="W24" s="68"/>
      <c r="X24" s="68"/>
      <c r="Y24" s="68"/>
      <c r="AC24" s="68"/>
      <c r="AD24" s="68"/>
      <c r="AE24" s="68"/>
    </row>
    <row r="25" spans="1:31" x14ac:dyDescent="0.25">
      <c r="A25" s="17" t="s">
        <v>31</v>
      </c>
      <c r="B25" s="16">
        <v>2</v>
      </c>
      <c r="C25" s="16" t="s">
        <v>53</v>
      </c>
      <c r="D25" s="16">
        <v>1</v>
      </c>
      <c r="E25" s="17" t="s">
        <v>6</v>
      </c>
      <c r="H25" s="16">
        <v>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Q25" s="22">
        <v>6</v>
      </c>
      <c r="R25" s="22">
        <v>5</v>
      </c>
      <c r="S25" s="22">
        <v>9</v>
      </c>
      <c r="T25" s="22">
        <v>9</v>
      </c>
      <c r="U25" s="22">
        <v>19</v>
      </c>
      <c r="W25" s="68"/>
      <c r="X25" s="68"/>
      <c r="Y25" s="68"/>
      <c r="AC25" s="68"/>
      <c r="AD25" s="68"/>
      <c r="AE25" s="68"/>
    </row>
    <row r="26" spans="1:31" x14ac:dyDescent="0.25">
      <c r="A26" s="17" t="s">
        <v>17</v>
      </c>
      <c r="B26" s="16">
        <v>2</v>
      </c>
      <c r="C26" s="16" t="s">
        <v>53</v>
      </c>
      <c r="D26" s="16">
        <v>0</v>
      </c>
      <c r="E26" s="17" t="s">
        <v>13</v>
      </c>
      <c r="H26" s="16">
        <v>15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68"/>
      <c r="X26" s="68"/>
      <c r="Y26" s="68"/>
      <c r="AC26" s="68"/>
      <c r="AD26" s="68"/>
      <c r="AE26" s="68"/>
    </row>
    <row r="27" spans="1:31" x14ac:dyDescent="0.25">
      <c r="A27" s="17" t="s">
        <v>31</v>
      </c>
      <c r="B27" s="16">
        <v>0</v>
      </c>
      <c r="C27" s="16" t="s">
        <v>53</v>
      </c>
      <c r="D27" s="16">
        <v>2</v>
      </c>
      <c r="E27" s="17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Q27" s="124" t="s">
        <v>42</v>
      </c>
      <c r="R27" s="124"/>
      <c r="S27" s="125" t="s">
        <v>8</v>
      </c>
      <c r="T27" s="125"/>
      <c r="U27" s="125" t="s">
        <v>5</v>
      </c>
      <c r="V27" s="125"/>
      <c r="W27" s="68"/>
      <c r="X27" s="68"/>
      <c r="Y27" s="68"/>
      <c r="AC27" s="68"/>
      <c r="AD27" s="68"/>
      <c r="AE27" s="68"/>
    </row>
    <row r="28" spans="1:31" x14ac:dyDescent="0.25">
      <c r="A28" s="17" t="s">
        <v>6</v>
      </c>
      <c r="B28" s="16">
        <v>1</v>
      </c>
      <c r="C28" s="16" t="s">
        <v>53</v>
      </c>
      <c r="D28" s="16">
        <v>0</v>
      </c>
      <c r="E28" s="17" t="s">
        <v>13</v>
      </c>
      <c r="H28" s="16">
        <v>25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Q28" s="124" t="s">
        <v>41</v>
      </c>
      <c r="R28" s="124"/>
      <c r="S28" s="126" t="s">
        <v>127</v>
      </c>
      <c r="T28" s="126"/>
      <c r="U28" s="126" t="s">
        <v>128</v>
      </c>
      <c r="V28" s="126"/>
      <c r="W28" s="68"/>
      <c r="X28" s="68"/>
      <c r="Y28" s="68"/>
      <c r="AC28" s="68"/>
      <c r="AD28" s="68"/>
      <c r="AE28" s="68"/>
    </row>
    <row r="29" spans="1:31" x14ac:dyDescent="0.25">
      <c r="A29" s="132" t="s">
        <v>62</v>
      </c>
      <c r="B29" s="132"/>
      <c r="C29" s="132"/>
      <c r="D29" s="132"/>
      <c r="E29" s="132"/>
      <c r="K29" s="128" t="s">
        <v>62</v>
      </c>
      <c r="L29" s="128"/>
      <c r="M29" s="128"/>
      <c r="N29" s="128"/>
      <c r="O29" s="128"/>
      <c r="W29" s="68"/>
      <c r="X29" s="68"/>
      <c r="Y29" s="68"/>
      <c r="AC29" s="68"/>
      <c r="AD29" s="68"/>
      <c r="AE29" s="68"/>
    </row>
    <row r="30" spans="1:31" x14ac:dyDescent="0.25">
      <c r="A30" s="17" t="s">
        <v>4</v>
      </c>
      <c r="B30" s="16">
        <v>2</v>
      </c>
      <c r="C30" s="16" t="s">
        <v>53</v>
      </c>
      <c r="D30" s="16">
        <v>0</v>
      </c>
      <c r="E30" s="17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68"/>
      <c r="X30" s="68"/>
      <c r="Y30" s="68"/>
      <c r="AC30" s="68"/>
      <c r="AD30" s="68"/>
      <c r="AE30" s="68"/>
    </row>
    <row r="31" spans="1:31" x14ac:dyDescent="0.25">
      <c r="A31" s="17" t="s">
        <v>15</v>
      </c>
      <c r="B31" s="16">
        <v>2</v>
      </c>
      <c r="C31" s="16" t="s">
        <v>53</v>
      </c>
      <c r="D31" s="16">
        <v>0</v>
      </c>
      <c r="E31" s="17" t="s">
        <v>56</v>
      </c>
      <c r="H31" s="16">
        <v>15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7" t="s">
        <v>22</v>
      </c>
      <c r="B32" s="16">
        <v>1</v>
      </c>
      <c r="C32" s="16" t="s">
        <v>53</v>
      </c>
      <c r="D32" s="16">
        <v>0</v>
      </c>
      <c r="E32" s="17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7" t="s">
        <v>15</v>
      </c>
      <c r="B33" s="16">
        <v>2</v>
      </c>
      <c r="C33" s="16" t="s">
        <v>53</v>
      </c>
      <c r="D33" s="16">
        <v>1</v>
      </c>
      <c r="E33" s="17" t="s">
        <v>4</v>
      </c>
      <c r="H33" s="16">
        <v>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7" t="s">
        <v>22</v>
      </c>
      <c r="B34" s="16">
        <v>0</v>
      </c>
      <c r="C34" s="16" t="s">
        <v>53</v>
      </c>
      <c r="D34" s="16">
        <v>1</v>
      </c>
      <c r="E34" s="17" t="s">
        <v>15</v>
      </c>
      <c r="H34" s="16">
        <v>5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7" t="s">
        <v>56</v>
      </c>
      <c r="B35" s="16">
        <v>1</v>
      </c>
      <c r="C35" s="16" t="s">
        <v>53</v>
      </c>
      <c r="D35" s="16">
        <v>2</v>
      </c>
      <c r="E35" s="17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32" t="s">
        <v>61</v>
      </c>
      <c r="B36" s="132"/>
      <c r="C36" s="132"/>
      <c r="D36" s="132"/>
      <c r="E36" s="132"/>
      <c r="J36" s="17" t="str">
        <f>IF(Tabela!L9="","",Tabela!L9)</f>
        <v/>
      </c>
      <c r="K36" s="128" t="s">
        <v>61</v>
      </c>
      <c r="L36" s="128"/>
      <c r="M36" s="128"/>
      <c r="N36" s="128"/>
      <c r="O36" s="128"/>
    </row>
    <row r="37" spans="1:15" x14ac:dyDescent="0.25">
      <c r="A37" s="17" t="s">
        <v>23</v>
      </c>
      <c r="B37" s="16">
        <v>1</v>
      </c>
      <c r="C37" s="16" t="s">
        <v>53</v>
      </c>
      <c r="D37" s="16">
        <v>2</v>
      </c>
      <c r="E37" s="17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7" t="s">
        <v>7</v>
      </c>
      <c r="B38" s="16">
        <v>2</v>
      </c>
      <c r="C38" s="16" t="s">
        <v>53</v>
      </c>
      <c r="D38" s="16">
        <v>0</v>
      </c>
      <c r="E38" s="17" t="s">
        <v>10</v>
      </c>
      <c r="H38" s="16">
        <v>15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7" t="s">
        <v>7</v>
      </c>
      <c r="B39" s="16">
        <v>2</v>
      </c>
      <c r="C39" s="16" t="s">
        <v>53</v>
      </c>
      <c r="D39" s="16">
        <v>1</v>
      </c>
      <c r="E39" s="17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7" t="s">
        <v>12</v>
      </c>
      <c r="B40" s="16">
        <v>2</v>
      </c>
      <c r="C40" s="16" t="s">
        <v>53</v>
      </c>
      <c r="D40" s="16">
        <v>0</v>
      </c>
      <c r="E40" s="17" t="s">
        <v>10</v>
      </c>
      <c r="H40" s="16">
        <v>10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7" t="s">
        <v>12</v>
      </c>
      <c r="B41" s="16">
        <v>2</v>
      </c>
      <c r="C41" s="16" t="s">
        <v>53</v>
      </c>
      <c r="D41" s="16">
        <v>1</v>
      </c>
      <c r="E41" s="17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7" t="s">
        <v>10</v>
      </c>
      <c r="B42" s="16">
        <v>1</v>
      </c>
      <c r="C42" s="16" t="s">
        <v>53</v>
      </c>
      <c r="D42" s="16">
        <v>1</v>
      </c>
      <c r="E42" s="17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32" t="s">
        <v>60</v>
      </c>
      <c r="B43" s="132"/>
      <c r="C43" s="132"/>
      <c r="D43" s="132"/>
      <c r="E43" s="132"/>
      <c r="J43" s="17" t="str">
        <f>IF(Tabela!L16="","",Tabela!L16)</f>
        <v/>
      </c>
      <c r="K43" s="128" t="s">
        <v>60</v>
      </c>
      <c r="L43" s="128"/>
      <c r="M43" s="128"/>
      <c r="N43" s="128"/>
      <c r="O43" s="128"/>
    </row>
    <row r="44" spans="1:15" x14ac:dyDescent="0.25">
      <c r="A44" s="17" t="s">
        <v>30</v>
      </c>
      <c r="B44" s="16">
        <v>2</v>
      </c>
      <c r="C44" s="16" t="s">
        <v>53</v>
      </c>
      <c r="D44" s="16">
        <v>1</v>
      </c>
      <c r="E44" s="17" t="s">
        <v>9</v>
      </c>
      <c r="H44" s="16">
        <v>10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7" t="s">
        <v>8</v>
      </c>
      <c r="B45" s="16">
        <v>2</v>
      </c>
      <c r="C45" s="16" t="s">
        <v>53</v>
      </c>
      <c r="D45" s="16">
        <v>0</v>
      </c>
      <c r="E45" s="17" t="s">
        <v>29</v>
      </c>
      <c r="H45" s="16">
        <v>25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7" t="s">
        <v>9</v>
      </c>
      <c r="B46" s="16">
        <v>1</v>
      </c>
      <c r="C46" s="16" t="s">
        <v>53</v>
      </c>
      <c r="D46" s="16">
        <v>0</v>
      </c>
      <c r="E46" s="17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7" t="s">
        <v>8</v>
      </c>
      <c r="B47" s="16">
        <v>3</v>
      </c>
      <c r="C47" s="16" t="s">
        <v>53</v>
      </c>
      <c r="D47" s="16">
        <v>0</v>
      </c>
      <c r="E47" s="17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7" t="s">
        <v>9</v>
      </c>
      <c r="B48" s="16">
        <v>1</v>
      </c>
      <c r="C48" s="16" t="s">
        <v>53</v>
      </c>
      <c r="D48" s="16">
        <v>4</v>
      </c>
      <c r="E48" s="17" t="s">
        <v>8</v>
      </c>
      <c r="H48" s="16">
        <v>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7" t="s">
        <v>29</v>
      </c>
      <c r="B49" s="16">
        <v>2</v>
      </c>
      <c r="C49" s="16" t="s">
        <v>53</v>
      </c>
      <c r="D49" s="16">
        <v>1</v>
      </c>
      <c r="E49" s="17" t="s">
        <v>30</v>
      </c>
      <c r="H49" s="16">
        <v>5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32" t="s">
        <v>59</v>
      </c>
      <c r="B50" s="132"/>
      <c r="C50" s="132"/>
      <c r="D50" s="132"/>
      <c r="E50" s="132"/>
      <c r="J50" s="17" t="str">
        <f>IF(Tabela!L23="","",Tabela!L23)</f>
        <v/>
      </c>
      <c r="K50" s="128" t="s">
        <v>59</v>
      </c>
      <c r="L50" s="128"/>
      <c r="M50" s="128"/>
      <c r="N50" s="128"/>
      <c r="O50" s="128"/>
    </row>
    <row r="51" spans="1:15" x14ac:dyDescent="0.25">
      <c r="A51" s="17" t="s">
        <v>32</v>
      </c>
      <c r="B51" s="16">
        <v>2</v>
      </c>
      <c r="C51" s="16" t="s">
        <v>53</v>
      </c>
      <c r="D51" s="16">
        <v>0</v>
      </c>
      <c r="E51" s="17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7" t="s">
        <v>27</v>
      </c>
      <c r="B52" s="16">
        <v>2</v>
      </c>
      <c r="C52" s="16" t="s">
        <v>53</v>
      </c>
      <c r="D52" s="16">
        <v>1</v>
      </c>
      <c r="E52" s="17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7" t="s">
        <v>67</v>
      </c>
      <c r="B53" s="16">
        <v>0</v>
      </c>
      <c r="C53" s="16" t="s">
        <v>53</v>
      </c>
      <c r="D53" s="16">
        <v>1</v>
      </c>
      <c r="E53" s="17" t="s">
        <v>18</v>
      </c>
      <c r="H53" s="16">
        <v>10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7" t="s">
        <v>27</v>
      </c>
      <c r="B54" s="16">
        <v>1</v>
      </c>
      <c r="C54" s="16" t="s">
        <v>53</v>
      </c>
      <c r="D54" s="16">
        <v>2</v>
      </c>
      <c r="E54" s="17" t="s">
        <v>32</v>
      </c>
      <c r="H54" s="16">
        <v>0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7" t="s">
        <v>67</v>
      </c>
      <c r="B55" s="16">
        <v>0</v>
      </c>
      <c r="C55" s="16" t="s">
        <v>53</v>
      </c>
      <c r="D55" s="16">
        <v>2</v>
      </c>
      <c r="E55" s="17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7" t="s">
        <v>18</v>
      </c>
      <c r="B56" s="16">
        <v>1</v>
      </c>
      <c r="C56" s="16" t="s">
        <v>53</v>
      </c>
      <c r="D56" s="16">
        <v>0</v>
      </c>
      <c r="E56" s="17" t="s">
        <v>32</v>
      </c>
      <c r="H56" s="16">
        <v>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60" t="s">
        <v>173</v>
      </c>
    </row>
    <row r="58" spans="1:15" x14ac:dyDescent="0.25">
      <c r="A58" s="134" t="str">
        <f>_xlfn.CONCAT(W2,A57)</f>
        <v>Luis - Oitavas de Final</v>
      </c>
      <c r="B58" s="134"/>
      <c r="C58" s="134"/>
      <c r="D58" s="134"/>
      <c r="E58" s="134"/>
      <c r="K58" s="137" t="s">
        <v>171</v>
      </c>
      <c r="L58" s="137"/>
      <c r="M58" s="137"/>
      <c r="N58" s="137"/>
      <c r="O58" s="137"/>
    </row>
    <row r="59" spans="1:15" x14ac:dyDescent="0.25">
      <c r="A59" s="66" t="s">
        <v>19</v>
      </c>
      <c r="B59" s="2">
        <v>3</v>
      </c>
      <c r="C59" s="2" t="s">
        <v>53</v>
      </c>
      <c r="D59" s="2">
        <v>2</v>
      </c>
      <c r="E59" s="65" t="s">
        <v>166</v>
      </c>
      <c r="H59" s="16">
        <v>15</v>
      </c>
      <c r="J59" s="17" t="str">
        <f>IF(Tabela!F32="","",Tabela!F32)</f>
        <v/>
      </c>
      <c r="K59" s="67" t="str">
        <f>Tabela!A32</f>
        <v>Holanda</v>
      </c>
      <c r="L59" s="67">
        <f>Tabela!B32</f>
        <v>3</v>
      </c>
      <c r="M59" s="67" t="str">
        <f>Tabela!C32</f>
        <v>X</v>
      </c>
      <c r="N59" s="67">
        <f>Tabela!D32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3</v>
      </c>
      <c r="C60" s="2" t="s">
        <v>53</v>
      </c>
      <c r="D60" s="2">
        <v>1</v>
      </c>
      <c r="E60" s="65" t="s">
        <v>6</v>
      </c>
      <c r="J60" s="17" t="str">
        <f>IF(Tabela!F33="","",Tabela!F33)</f>
        <v>N</v>
      </c>
      <c r="K60" s="67" t="str">
        <f>Tabela!A33</f>
        <v>Argentina</v>
      </c>
      <c r="L60" s="67">
        <f>Tabela!B33</f>
        <v>0</v>
      </c>
      <c r="M60" s="67" t="str">
        <f>Tabela!C33</f>
        <v>X</v>
      </c>
      <c r="N60" s="67">
        <f>Tabela!D33</f>
        <v>0</v>
      </c>
      <c r="O60" s="67" t="str">
        <f>Tabela!E33</f>
        <v>Austrália</v>
      </c>
    </row>
    <row r="61" spans="1:15" x14ac:dyDescent="0.25">
      <c r="A61" s="66" t="s">
        <v>22</v>
      </c>
      <c r="B61" s="2">
        <v>2</v>
      </c>
      <c r="C61" s="2" t="s">
        <v>53</v>
      </c>
      <c r="D61" s="2">
        <v>3</v>
      </c>
      <c r="E61" s="65" t="s">
        <v>12</v>
      </c>
      <c r="J61" s="17" t="str">
        <f>IF(Tabela!F34="","",Tabela!F34)</f>
        <v>N</v>
      </c>
      <c r="K61" s="67" t="str">
        <f>Tabela!A34</f>
        <v>Japão</v>
      </c>
      <c r="L61" s="67">
        <f>Tabela!B34</f>
        <v>0</v>
      </c>
      <c r="M61" s="67" t="str">
        <f>Tabela!C34</f>
        <v>X</v>
      </c>
      <c r="N61" s="67">
        <f>Tabela!D34</f>
        <v>0</v>
      </c>
      <c r="O61" s="67" t="str">
        <f>Tabela!E34</f>
        <v>Croácia</v>
      </c>
    </row>
    <row r="62" spans="1:15" x14ac:dyDescent="0.25">
      <c r="A62" s="66" t="s">
        <v>8</v>
      </c>
      <c r="B62" s="2">
        <v>3</v>
      </c>
      <c r="C62" s="2" t="s">
        <v>53</v>
      </c>
      <c r="D62" s="2">
        <v>2</v>
      </c>
      <c r="E62" s="65" t="s">
        <v>167</v>
      </c>
      <c r="J62" s="17" t="str">
        <f>IF(Tabela!F35="","",Tabela!F35)</f>
        <v>N</v>
      </c>
      <c r="K62" s="67" t="str">
        <f>Tabela!A35</f>
        <v>Brasil</v>
      </c>
      <c r="L62" s="67">
        <f>Tabela!B35</f>
        <v>0</v>
      </c>
      <c r="M62" s="67" t="str">
        <f>Tabela!C35</f>
        <v>X</v>
      </c>
      <c r="N62" s="67">
        <f>Tabela!D35</f>
        <v>0</v>
      </c>
      <c r="O62" s="67" t="str">
        <f>Tabela!E35</f>
        <v>Coréia</v>
      </c>
    </row>
    <row r="63" spans="1:15" x14ac:dyDescent="0.25">
      <c r="A63" s="66" t="s">
        <v>20</v>
      </c>
      <c r="B63" s="2">
        <v>3</v>
      </c>
      <c r="C63" s="2" t="s">
        <v>53</v>
      </c>
      <c r="D63" s="2">
        <v>2</v>
      </c>
      <c r="E63" s="65" t="s">
        <v>28</v>
      </c>
      <c r="J63" s="17" t="str">
        <f>IF(Tabela!F36="","",Tabela!F36)</f>
        <v>N</v>
      </c>
      <c r="K63" s="67" t="str">
        <f>Tabela!A36</f>
        <v>Inglaterra</v>
      </c>
      <c r="L63" s="67">
        <f>Tabela!B36</f>
        <v>0</v>
      </c>
      <c r="M63" s="67" t="str">
        <f>Tabela!C36</f>
        <v>X</v>
      </c>
      <c r="N63" s="67">
        <f>Tabela!D36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3</v>
      </c>
      <c r="C64" s="2" t="s">
        <v>53</v>
      </c>
      <c r="D64" s="2">
        <v>2</v>
      </c>
      <c r="E64" s="65" t="s">
        <v>26</v>
      </c>
      <c r="J64" s="17" t="str">
        <f>IF(Tabela!F37="","",Tabela!F37)</f>
        <v>N</v>
      </c>
      <c r="K64" s="67" t="str">
        <f>Tabela!A37</f>
        <v>França</v>
      </c>
      <c r="L64" s="67">
        <f>Tabela!B37</f>
        <v>0</v>
      </c>
      <c r="M64" s="67" t="str">
        <f>Tabela!C37</f>
        <v>X</v>
      </c>
      <c r="N64" s="67">
        <f>Tabela!D37</f>
        <v>0</v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3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7">
        <f>Tabela!B38</f>
        <v>0</v>
      </c>
      <c r="M65" s="67" t="str">
        <f>Tabela!C38</f>
        <v>X</v>
      </c>
      <c r="N65" s="67">
        <f>Tabela!D38</f>
        <v>0</v>
      </c>
      <c r="O65" s="67" t="str">
        <f>Tabela!E38</f>
        <v>Espanha</v>
      </c>
    </row>
    <row r="66" spans="1:15" x14ac:dyDescent="0.25">
      <c r="A66" s="66" t="s">
        <v>27</v>
      </c>
      <c r="B66" s="2">
        <v>3</v>
      </c>
      <c r="C66" s="2" t="s">
        <v>53</v>
      </c>
      <c r="D66" s="2">
        <v>1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7">
        <f>Tabela!B39</f>
        <v>0</v>
      </c>
      <c r="M66" s="67" t="str">
        <f>Tabela!C39</f>
        <v>X</v>
      </c>
      <c r="N66" s="67">
        <f>Tabela!D39</f>
        <v>0</v>
      </c>
      <c r="O66" s="67" t="str">
        <f>Tabela!E39</f>
        <v>Suíça</v>
      </c>
    </row>
  </sheetData>
  <mergeCells count="71">
    <mergeCell ref="A58:E58"/>
    <mergeCell ref="K58:O58"/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AC12:AE12"/>
    <mergeCell ref="W13:Y13"/>
    <mergeCell ref="AC13:AE13"/>
    <mergeCell ref="W14:Y14"/>
    <mergeCell ref="AC14:AE14"/>
    <mergeCell ref="A22:E22"/>
    <mergeCell ref="A29:E29"/>
    <mergeCell ref="A36:E36"/>
    <mergeCell ref="A43:E43"/>
    <mergeCell ref="A50:E50"/>
    <mergeCell ref="K22:O22"/>
    <mergeCell ref="K29:O29"/>
    <mergeCell ref="K36:O36"/>
    <mergeCell ref="K43:O43"/>
    <mergeCell ref="K50:O50"/>
    <mergeCell ref="W2:AE6"/>
    <mergeCell ref="A1:E1"/>
    <mergeCell ref="A8:E8"/>
    <mergeCell ref="A2:E2"/>
    <mergeCell ref="A15:E15"/>
    <mergeCell ref="K1:O1"/>
    <mergeCell ref="K8:O8"/>
    <mergeCell ref="Q9:U10"/>
    <mergeCell ref="Q11:U15"/>
    <mergeCell ref="K15:O15"/>
    <mergeCell ref="W9:AE9"/>
    <mergeCell ref="W10:Y10"/>
    <mergeCell ref="AC10:AE10"/>
    <mergeCell ref="W11:Y11"/>
    <mergeCell ref="AC11:AE11"/>
    <mergeCell ref="W12:Y12"/>
    <mergeCell ref="Q27:R27"/>
    <mergeCell ref="S27:T27"/>
    <mergeCell ref="U27:V27"/>
    <mergeCell ref="Q28:R28"/>
    <mergeCell ref="S28:T28"/>
    <mergeCell ref="U28:V2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0C4445-4606-4FE5-852C-F657DED8F445}">
  <sheetPr codeName="Planilha8">
    <tabColor rgb="FF0070C0"/>
  </sheetPr>
  <dimension ref="A1:AE66"/>
  <sheetViews>
    <sheetView zoomScale="85" zoomScaleNormal="85" workbookViewId="0">
      <pane xSplit="15" ySplit="16" topLeftCell="P18" activePane="bottomRight" state="frozen"/>
      <selection pane="topRight" activeCell="P1" sqref="P1"/>
      <selection pane="bottomLeft" activeCell="A17" sqref="A17"/>
      <selection pane="bottomRight" activeCell="Q25" sqref="Q25:U25"/>
    </sheetView>
  </sheetViews>
  <sheetFormatPr defaultRowHeight="15" x14ac:dyDescent="0.25"/>
  <cols>
    <col min="1" max="1" width="17.7109375" style="17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0" width="5.7109375" style="54" customWidth="1"/>
    <col min="31" max="31" width="9.140625" style="54"/>
    <col min="32" max="16384" width="9.140625" style="17"/>
  </cols>
  <sheetData>
    <row r="1" spans="1:31" x14ac:dyDescent="0.25">
      <c r="A1" s="127" t="s">
        <v>58</v>
      </c>
      <c r="B1" s="127"/>
      <c r="C1" s="127"/>
      <c r="D1" s="127"/>
      <c r="E1" s="127"/>
      <c r="K1" s="128" t="s">
        <v>58</v>
      </c>
      <c r="L1" s="128"/>
      <c r="M1" s="128"/>
      <c r="N1" s="128"/>
      <c r="O1" s="128"/>
    </row>
    <row r="2" spans="1:31" x14ac:dyDescent="0.25">
      <c r="A2" s="17" t="s">
        <v>11</v>
      </c>
      <c r="B2" s="16">
        <v>1</v>
      </c>
      <c r="C2" s="16" t="s">
        <v>53</v>
      </c>
      <c r="D2" s="16">
        <v>2</v>
      </c>
      <c r="E2" s="17" t="s">
        <v>14</v>
      </c>
      <c r="H2" s="16">
        <v>15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31" t="s">
        <v>73</v>
      </c>
      <c r="X2" s="131"/>
      <c r="Y2" s="131"/>
      <c r="Z2" s="131"/>
      <c r="AA2" s="131"/>
      <c r="AB2" s="131"/>
      <c r="AC2" s="131"/>
      <c r="AD2" s="131"/>
      <c r="AE2" s="131"/>
    </row>
    <row r="3" spans="1:31" x14ac:dyDescent="0.25">
      <c r="A3" s="17" t="s">
        <v>28</v>
      </c>
      <c r="B3" s="16">
        <v>0</v>
      </c>
      <c r="C3" s="16" t="s">
        <v>53</v>
      </c>
      <c r="D3" s="16">
        <v>2</v>
      </c>
      <c r="E3" s="17" t="s">
        <v>19</v>
      </c>
      <c r="H3" s="16">
        <v>25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31"/>
      <c r="X3" s="131"/>
      <c r="Y3" s="131"/>
      <c r="Z3" s="131"/>
      <c r="AA3" s="131"/>
      <c r="AB3" s="131"/>
      <c r="AC3" s="131"/>
      <c r="AD3" s="131"/>
      <c r="AE3" s="131"/>
    </row>
    <row r="4" spans="1:31" x14ac:dyDescent="0.25">
      <c r="A4" s="17" t="s">
        <v>11</v>
      </c>
      <c r="B4" s="16">
        <v>1</v>
      </c>
      <c r="C4" s="16" t="s">
        <v>53</v>
      </c>
      <c r="D4" s="16">
        <v>0</v>
      </c>
      <c r="E4" s="17" t="s">
        <v>28</v>
      </c>
      <c r="H4" s="16">
        <v>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31"/>
      <c r="X4" s="131"/>
      <c r="Y4" s="131"/>
      <c r="Z4" s="131"/>
      <c r="AA4" s="131"/>
      <c r="AB4" s="131"/>
      <c r="AC4" s="131"/>
      <c r="AD4" s="131"/>
      <c r="AE4" s="131"/>
    </row>
    <row r="5" spans="1:31" x14ac:dyDescent="0.25">
      <c r="A5" s="17" t="s">
        <v>19</v>
      </c>
      <c r="B5" s="16">
        <v>2</v>
      </c>
      <c r="C5" s="16" t="s">
        <v>53</v>
      </c>
      <c r="D5" s="16">
        <v>0</v>
      </c>
      <c r="E5" s="17" t="s">
        <v>14</v>
      </c>
      <c r="H5" s="16">
        <v>0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31"/>
      <c r="X5" s="131"/>
      <c r="Y5" s="131"/>
      <c r="Z5" s="131"/>
      <c r="AA5" s="131"/>
      <c r="AB5" s="131"/>
      <c r="AC5" s="131"/>
      <c r="AD5" s="131"/>
      <c r="AE5" s="131"/>
    </row>
    <row r="6" spans="1:31" x14ac:dyDescent="0.25">
      <c r="A6" s="17" t="s">
        <v>19</v>
      </c>
      <c r="B6" s="16">
        <v>3</v>
      </c>
      <c r="C6" s="16" t="s">
        <v>53</v>
      </c>
      <c r="D6" s="16">
        <v>0</v>
      </c>
      <c r="E6" s="17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31"/>
      <c r="X6" s="131"/>
      <c r="Y6" s="131"/>
      <c r="Z6" s="131"/>
      <c r="AA6" s="131"/>
      <c r="AB6" s="131"/>
      <c r="AC6" s="131"/>
      <c r="AD6" s="131"/>
      <c r="AE6" s="131"/>
    </row>
    <row r="7" spans="1:31" x14ac:dyDescent="0.25">
      <c r="A7" s="17" t="s">
        <v>14</v>
      </c>
      <c r="B7" s="16">
        <v>1</v>
      </c>
      <c r="C7" s="16" t="s">
        <v>53</v>
      </c>
      <c r="D7" s="16">
        <v>1</v>
      </c>
      <c r="E7" s="17" t="s">
        <v>28</v>
      </c>
      <c r="H7" s="16">
        <v>5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27" t="s">
        <v>65</v>
      </c>
      <c r="B8" s="127"/>
      <c r="C8" s="127"/>
      <c r="D8" s="127"/>
      <c r="E8" s="127"/>
      <c r="J8" s="17" t="str">
        <f>IF(Tabela!F9="","",Tabela!F9)</f>
        <v/>
      </c>
      <c r="K8" s="128" t="s">
        <v>65</v>
      </c>
      <c r="L8" s="128"/>
      <c r="M8" s="128"/>
      <c r="N8" s="128"/>
      <c r="O8" s="128"/>
    </row>
    <row r="9" spans="1:31" x14ac:dyDescent="0.25">
      <c r="A9" s="17" t="s">
        <v>20</v>
      </c>
      <c r="B9" s="16">
        <v>2</v>
      </c>
      <c r="C9" s="16" t="s">
        <v>53</v>
      </c>
      <c r="D9" s="16">
        <v>0</v>
      </c>
      <c r="E9" s="17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29" t="s">
        <v>66</v>
      </c>
      <c r="R9" s="129"/>
      <c r="S9" s="129"/>
      <c r="T9" s="129"/>
      <c r="U9" s="129"/>
      <c r="W9" s="68" t="s">
        <v>124</v>
      </c>
      <c r="X9" s="68"/>
      <c r="Y9" s="68"/>
      <c r="Z9" s="68"/>
      <c r="AA9" s="68"/>
      <c r="AB9" s="68"/>
      <c r="AC9" s="68"/>
      <c r="AD9" s="68"/>
      <c r="AE9" s="68"/>
    </row>
    <row r="10" spans="1:31" x14ac:dyDescent="0.25">
      <c r="A10" s="17" t="s">
        <v>54</v>
      </c>
      <c r="B10" s="16">
        <v>2</v>
      </c>
      <c r="C10" s="16" t="s">
        <v>53</v>
      </c>
      <c r="D10" s="16">
        <v>0</v>
      </c>
      <c r="E10" s="17" t="s">
        <v>34</v>
      </c>
      <c r="H10" s="16">
        <v>0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29"/>
      <c r="R10" s="129"/>
      <c r="S10" s="129"/>
      <c r="T10" s="129"/>
      <c r="U10" s="129"/>
      <c r="W10" s="68" t="s">
        <v>28</v>
      </c>
      <c r="X10" s="68"/>
      <c r="Y10" s="68"/>
      <c r="Z10" s="54">
        <v>0</v>
      </c>
      <c r="AB10" s="54">
        <v>2</v>
      </c>
      <c r="AC10" s="68" t="s">
        <v>19</v>
      </c>
      <c r="AD10" s="68"/>
      <c r="AE10" s="68"/>
    </row>
    <row r="11" spans="1:31" x14ac:dyDescent="0.25">
      <c r="A11" s="17" t="s">
        <v>34</v>
      </c>
      <c r="B11" s="16">
        <v>0</v>
      </c>
      <c r="C11" s="16" t="s">
        <v>53</v>
      </c>
      <c r="D11" s="16">
        <v>0</v>
      </c>
      <c r="E11" s="17" t="s">
        <v>21</v>
      </c>
      <c r="H11" s="16">
        <v>5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30">
        <f>SUM(H2:H66)</f>
        <v>400</v>
      </c>
      <c r="R11" s="130"/>
      <c r="S11" s="130"/>
      <c r="T11" s="130"/>
      <c r="U11" s="130"/>
      <c r="W11" s="68" t="s">
        <v>34</v>
      </c>
      <c r="X11" s="68"/>
      <c r="Y11" s="68"/>
      <c r="Z11" s="54">
        <v>0</v>
      </c>
      <c r="AB11" s="54">
        <v>3</v>
      </c>
      <c r="AC11" s="68" t="s">
        <v>20</v>
      </c>
      <c r="AD11" s="68"/>
      <c r="AE11" s="68"/>
    </row>
    <row r="12" spans="1:31" x14ac:dyDescent="0.25">
      <c r="A12" s="17" t="s">
        <v>20</v>
      </c>
      <c r="B12" s="16">
        <v>1</v>
      </c>
      <c r="C12" s="16" t="s">
        <v>53</v>
      </c>
      <c r="D12" s="16">
        <v>0</v>
      </c>
      <c r="E12" s="17" t="s">
        <v>54</v>
      </c>
      <c r="H12" s="16">
        <v>5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30"/>
      <c r="R12" s="130"/>
      <c r="S12" s="130"/>
      <c r="T12" s="130"/>
      <c r="U12" s="130"/>
      <c r="W12" s="68" t="s">
        <v>17</v>
      </c>
      <c r="X12" s="68"/>
      <c r="Y12" s="68"/>
      <c r="Z12" s="54">
        <v>2</v>
      </c>
      <c r="AB12" s="54">
        <v>1</v>
      </c>
      <c r="AC12" s="68" t="s">
        <v>13</v>
      </c>
      <c r="AD12" s="68"/>
      <c r="AE12" s="68"/>
    </row>
    <row r="13" spans="1:31" x14ac:dyDescent="0.25">
      <c r="A13" s="17" t="s">
        <v>21</v>
      </c>
      <c r="B13" s="16">
        <v>1</v>
      </c>
      <c r="C13" s="16" t="s">
        <v>53</v>
      </c>
      <c r="D13" s="16">
        <v>3</v>
      </c>
      <c r="E13" s="17" t="s">
        <v>54</v>
      </c>
      <c r="H13" s="16">
        <v>10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30"/>
      <c r="R13" s="130"/>
      <c r="S13" s="130"/>
      <c r="T13" s="130"/>
      <c r="U13" s="130"/>
      <c r="W13" s="68" t="s">
        <v>7</v>
      </c>
      <c r="X13" s="68"/>
      <c r="Y13" s="68"/>
      <c r="Z13" s="54">
        <v>1</v>
      </c>
      <c r="AB13" s="54">
        <v>0</v>
      </c>
      <c r="AC13" s="68" t="s">
        <v>10</v>
      </c>
      <c r="AD13" s="68"/>
      <c r="AE13" s="68"/>
    </row>
    <row r="14" spans="1:31" x14ac:dyDescent="0.25">
      <c r="A14" s="17" t="s">
        <v>34</v>
      </c>
      <c r="B14" s="16">
        <v>0</v>
      </c>
      <c r="C14" s="16" t="s">
        <v>53</v>
      </c>
      <c r="D14" s="16">
        <v>3</v>
      </c>
      <c r="E14" s="17" t="s">
        <v>20</v>
      </c>
      <c r="H14" s="16">
        <v>25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30"/>
      <c r="R14" s="130"/>
      <c r="S14" s="130"/>
      <c r="T14" s="130"/>
      <c r="U14" s="130"/>
      <c r="W14" s="68" t="s">
        <v>8</v>
      </c>
      <c r="X14" s="68"/>
      <c r="Y14" s="68"/>
      <c r="Z14" s="54">
        <v>2</v>
      </c>
      <c r="AB14" s="54">
        <v>0</v>
      </c>
      <c r="AC14" s="68" t="s">
        <v>29</v>
      </c>
      <c r="AD14" s="68"/>
      <c r="AE14" s="68"/>
    </row>
    <row r="15" spans="1:31" x14ac:dyDescent="0.25">
      <c r="A15" s="127" t="s">
        <v>64</v>
      </c>
      <c r="B15" s="127"/>
      <c r="C15" s="127"/>
      <c r="D15" s="127"/>
      <c r="E15" s="127"/>
      <c r="J15" s="17" t="str">
        <f>IF(Tabela!F16="","",Tabela!F16)</f>
        <v/>
      </c>
      <c r="K15" s="128" t="s">
        <v>64</v>
      </c>
      <c r="L15" s="128"/>
      <c r="M15" s="128"/>
      <c r="N15" s="128"/>
      <c r="O15" s="128"/>
      <c r="Q15" s="130"/>
      <c r="R15" s="130"/>
      <c r="S15" s="130"/>
      <c r="T15" s="130"/>
      <c r="U15" s="130"/>
      <c r="W15" s="68"/>
      <c r="X15" s="68"/>
      <c r="Y15" s="68"/>
      <c r="AC15" s="68"/>
      <c r="AD15" s="68"/>
      <c r="AE15" s="68"/>
    </row>
    <row r="16" spans="1:31" x14ac:dyDescent="0.25">
      <c r="A16" s="17" t="s">
        <v>5</v>
      </c>
      <c r="B16" s="16">
        <v>2</v>
      </c>
      <c r="C16" s="16" t="s">
        <v>53</v>
      </c>
      <c r="D16" s="16">
        <v>0</v>
      </c>
      <c r="E16" s="17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68"/>
      <c r="X16" s="68"/>
      <c r="Y16" s="68"/>
      <c r="AC16" s="68"/>
      <c r="AD16" s="68"/>
      <c r="AE16" s="68"/>
    </row>
    <row r="17" spans="1:31" x14ac:dyDescent="0.25">
      <c r="A17" s="17" t="s">
        <v>24</v>
      </c>
      <c r="B17" s="16">
        <v>1</v>
      </c>
      <c r="C17" s="16" t="s">
        <v>53</v>
      </c>
      <c r="D17" s="16">
        <v>0</v>
      </c>
      <c r="E17" s="17" t="s">
        <v>26</v>
      </c>
      <c r="H17" s="16">
        <v>5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68"/>
      <c r="X17" s="68"/>
      <c r="Y17" s="68"/>
      <c r="AC17" s="68"/>
      <c r="AD17" s="68"/>
      <c r="AE17" s="68"/>
    </row>
    <row r="18" spans="1:31" x14ac:dyDescent="0.25">
      <c r="A18" s="17" t="s">
        <v>26</v>
      </c>
      <c r="B18" s="16">
        <v>1</v>
      </c>
      <c r="C18" s="16" t="s">
        <v>53</v>
      </c>
      <c r="D18" s="16">
        <v>1</v>
      </c>
      <c r="E18" s="17" t="s">
        <v>55</v>
      </c>
      <c r="H18" s="16">
        <v>0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W18" s="68"/>
      <c r="X18" s="68"/>
      <c r="Y18" s="68"/>
      <c r="AC18" s="68"/>
      <c r="AD18" s="68"/>
      <c r="AE18" s="68"/>
    </row>
    <row r="19" spans="1:31" x14ac:dyDescent="0.25">
      <c r="A19" s="17" t="s">
        <v>5</v>
      </c>
      <c r="B19" s="16">
        <v>2</v>
      </c>
      <c r="C19" s="16" t="s">
        <v>53</v>
      </c>
      <c r="D19" s="16">
        <v>1</v>
      </c>
      <c r="E19" s="17" t="s">
        <v>24</v>
      </c>
      <c r="H19" s="16">
        <v>15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W19" s="68"/>
      <c r="X19" s="68"/>
      <c r="Y19" s="68"/>
      <c r="AC19" s="68"/>
      <c r="AD19" s="68"/>
      <c r="AE19" s="68"/>
    </row>
    <row r="20" spans="1:31" x14ac:dyDescent="0.25">
      <c r="A20" s="17" t="s">
        <v>26</v>
      </c>
      <c r="B20" s="16">
        <v>1</v>
      </c>
      <c r="C20" s="16" t="s">
        <v>53</v>
      </c>
      <c r="D20" s="16">
        <v>3</v>
      </c>
      <c r="E20" s="17" t="s">
        <v>5</v>
      </c>
      <c r="H20" s="16">
        <v>10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68"/>
      <c r="X20" s="68"/>
      <c r="Y20" s="68"/>
      <c r="AC20" s="68"/>
      <c r="AD20" s="68"/>
      <c r="AE20" s="68"/>
    </row>
    <row r="21" spans="1:31" x14ac:dyDescent="0.25">
      <c r="A21" s="17" t="s">
        <v>55</v>
      </c>
      <c r="B21" s="16">
        <v>1</v>
      </c>
      <c r="C21" s="16" t="s">
        <v>53</v>
      </c>
      <c r="D21" s="16">
        <v>4</v>
      </c>
      <c r="E21" s="17" t="s">
        <v>24</v>
      </c>
      <c r="H21" s="16">
        <v>15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W21" s="68"/>
      <c r="X21" s="68"/>
      <c r="Y21" s="68"/>
      <c r="AC21" s="68"/>
      <c r="AD21" s="68"/>
      <c r="AE21" s="68"/>
    </row>
    <row r="22" spans="1:31" x14ac:dyDescent="0.25">
      <c r="A22" s="127" t="s">
        <v>63</v>
      </c>
      <c r="B22" s="127"/>
      <c r="C22" s="127"/>
      <c r="D22" s="127"/>
      <c r="E22" s="127"/>
      <c r="J22" s="17" t="str">
        <f>IF(Tabela!F23="","",Tabela!F23)</f>
        <v/>
      </c>
      <c r="K22" s="128" t="s">
        <v>63</v>
      </c>
      <c r="L22" s="128"/>
      <c r="M22" s="128"/>
      <c r="N22" s="128"/>
      <c r="O22" s="128"/>
      <c r="W22" s="68"/>
      <c r="X22" s="68"/>
      <c r="Y22" s="68"/>
      <c r="AC22" s="68"/>
      <c r="AD22" s="68"/>
      <c r="AE22" s="68"/>
    </row>
    <row r="23" spans="1:31" x14ac:dyDescent="0.25">
      <c r="A23" s="17" t="s">
        <v>13</v>
      </c>
      <c r="B23" s="16">
        <v>1</v>
      </c>
      <c r="C23" s="16" t="s">
        <v>53</v>
      </c>
      <c r="D23" s="16">
        <v>0</v>
      </c>
      <c r="E23" s="17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68"/>
      <c r="X23" s="68"/>
      <c r="Y23" s="68"/>
      <c r="AC23" s="68"/>
      <c r="AD23" s="68"/>
      <c r="AE23" s="68"/>
    </row>
    <row r="24" spans="1:31" x14ac:dyDescent="0.25">
      <c r="A24" s="17" t="s">
        <v>17</v>
      </c>
      <c r="B24" s="16">
        <v>2</v>
      </c>
      <c r="C24" s="16" t="s">
        <v>53</v>
      </c>
      <c r="D24" s="16">
        <v>0</v>
      </c>
      <c r="E24" s="17" t="s">
        <v>6</v>
      </c>
      <c r="H24" s="16">
        <v>10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Q24" s="17">
        <v>25</v>
      </c>
      <c r="R24" s="17">
        <v>15</v>
      </c>
      <c r="S24" s="17">
        <v>10</v>
      </c>
      <c r="T24" s="17">
        <v>5</v>
      </c>
      <c r="U24" s="17">
        <v>0</v>
      </c>
      <c r="W24" s="68"/>
      <c r="X24" s="68"/>
      <c r="Y24" s="68"/>
      <c r="AC24" s="68"/>
      <c r="AD24" s="68"/>
      <c r="AE24" s="68"/>
    </row>
    <row r="25" spans="1:31" x14ac:dyDescent="0.25">
      <c r="A25" s="17" t="s">
        <v>31</v>
      </c>
      <c r="B25" s="16">
        <v>1</v>
      </c>
      <c r="C25" s="16" t="s">
        <v>53</v>
      </c>
      <c r="D25" s="16">
        <v>1</v>
      </c>
      <c r="E25" s="17" t="s">
        <v>6</v>
      </c>
      <c r="H25" s="16">
        <v>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Q25" s="22">
        <v>5</v>
      </c>
      <c r="R25" s="22">
        <v>6</v>
      </c>
      <c r="S25" s="22">
        <v>12</v>
      </c>
      <c r="T25" s="22">
        <v>13</v>
      </c>
      <c r="U25" s="22">
        <v>13</v>
      </c>
      <c r="W25" s="68"/>
      <c r="X25" s="68"/>
      <c r="Y25" s="68"/>
      <c r="AC25" s="68"/>
      <c r="AD25" s="68"/>
      <c r="AE25" s="68"/>
    </row>
    <row r="26" spans="1:31" x14ac:dyDescent="0.25">
      <c r="A26" s="17" t="s">
        <v>17</v>
      </c>
      <c r="B26" s="16">
        <v>2</v>
      </c>
      <c r="C26" s="16" t="s">
        <v>53</v>
      </c>
      <c r="D26" s="16">
        <v>1</v>
      </c>
      <c r="E26" s="17" t="s">
        <v>13</v>
      </c>
      <c r="H26" s="16">
        <v>25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68"/>
      <c r="X26" s="68"/>
      <c r="Y26" s="68"/>
      <c r="AC26" s="68"/>
      <c r="AD26" s="68"/>
      <c r="AE26" s="68"/>
    </row>
    <row r="27" spans="1:31" x14ac:dyDescent="0.25">
      <c r="A27" s="17" t="s">
        <v>31</v>
      </c>
      <c r="B27" s="16">
        <v>1</v>
      </c>
      <c r="C27" s="16" t="s">
        <v>53</v>
      </c>
      <c r="D27" s="16">
        <v>3</v>
      </c>
      <c r="E27" s="17" t="s">
        <v>17</v>
      </c>
      <c r="H27" s="16">
        <v>5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Q27" s="124" t="s">
        <v>42</v>
      </c>
      <c r="R27" s="124"/>
      <c r="S27" s="125" t="s">
        <v>8</v>
      </c>
      <c r="T27" s="125"/>
      <c r="U27" s="125" t="s">
        <v>17</v>
      </c>
      <c r="V27" s="125"/>
      <c r="W27" s="68"/>
      <c r="X27" s="68"/>
      <c r="Y27" s="68"/>
      <c r="AC27" s="68"/>
      <c r="AD27" s="68"/>
      <c r="AE27" s="68"/>
    </row>
    <row r="28" spans="1:31" x14ac:dyDescent="0.25">
      <c r="A28" s="17" t="s">
        <v>6</v>
      </c>
      <c r="B28" s="16">
        <v>0</v>
      </c>
      <c r="C28" s="16" t="s">
        <v>53</v>
      </c>
      <c r="D28" s="16">
        <v>1</v>
      </c>
      <c r="E28" s="17" t="s">
        <v>13</v>
      </c>
      <c r="H28" s="16">
        <v>0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Q28" s="124" t="s">
        <v>41</v>
      </c>
      <c r="R28" s="124"/>
      <c r="S28" s="126" t="s">
        <v>137</v>
      </c>
      <c r="T28" s="126"/>
      <c r="U28" s="126" t="s">
        <v>138</v>
      </c>
      <c r="V28" s="126"/>
      <c r="W28" s="68"/>
      <c r="X28" s="68"/>
      <c r="Y28" s="68"/>
      <c r="AC28" s="68"/>
      <c r="AD28" s="68"/>
      <c r="AE28" s="68"/>
    </row>
    <row r="29" spans="1:31" x14ac:dyDescent="0.25">
      <c r="A29" s="127" t="s">
        <v>62</v>
      </c>
      <c r="B29" s="127"/>
      <c r="C29" s="127"/>
      <c r="D29" s="127"/>
      <c r="E29" s="127"/>
      <c r="K29" s="128" t="s">
        <v>62</v>
      </c>
      <c r="L29" s="128"/>
      <c r="M29" s="128"/>
      <c r="N29" s="128"/>
      <c r="O29" s="128"/>
      <c r="W29" s="68"/>
      <c r="X29" s="68"/>
      <c r="Y29" s="68"/>
      <c r="AC29" s="68"/>
      <c r="AD29" s="68"/>
      <c r="AE29" s="68"/>
    </row>
    <row r="30" spans="1:31" x14ac:dyDescent="0.25">
      <c r="A30" s="17" t="s">
        <v>4</v>
      </c>
      <c r="B30" s="16">
        <v>2</v>
      </c>
      <c r="C30" s="16" t="s">
        <v>53</v>
      </c>
      <c r="D30" s="16">
        <v>1</v>
      </c>
      <c r="E30" s="17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68"/>
      <c r="X30" s="68"/>
      <c r="Y30" s="68"/>
      <c r="AC30" s="68"/>
      <c r="AD30" s="68"/>
      <c r="AE30" s="68"/>
    </row>
    <row r="31" spans="1:31" x14ac:dyDescent="0.25">
      <c r="A31" s="17" t="s">
        <v>15</v>
      </c>
      <c r="B31" s="16">
        <v>2</v>
      </c>
      <c r="C31" s="16" t="s">
        <v>53</v>
      </c>
      <c r="D31" s="16">
        <v>0</v>
      </c>
      <c r="E31" s="17" t="s">
        <v>56</v>
      </c>
      <c r="H31" s="16">
        <v>15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7" t="s">
        <v>22</v>
      </c>
      <c r="B32" s="16">
        <v>1</v>
      </c>
      <c r="C32" s="16" t="s">
        <v>53</v>
      </c>
      <c r="D32" s="16">
        <v>1</v>
      </c>
      <c r="E32" s="17" t="s">
        <v>56</v>
      </c>
      <c r="H32" s="16">
        <v>5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7" t="s">
        <v>15</v>
      </c>
      <c r="B33" s="16">
        <v>0</v>
      </c>
      <c r="C33" s="16" t="s">
        <v>53</v>
      </c>
      <c r="D33" s="16">
        <v>0</v>
      </c>
      <c r="E33" s="17" t="s">
        <v>4</v>
      </c>
      <c r="H33" s="16">
        <v>10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7" t="s">
        <v>22</v>
      </c>
      <c r="B34" s="16">
        <v>0</v>
      </c>
      <c r="C34" s="16" t="s">
        <v>53</v>
      </c>
      <c r="D34" s="16">
        <v>2</v>
      </c>
      <c r="E34" s="17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7" t="s">
        <v>56</v>
      </c>
      <c r="B35" s="16">
        <v>0</v>
      </c>
      <c r="C35" s="16" t="s">
        <v>53</v>
      </c>
      <c r="D35" s="16">
        <v>3</v>
      </c>
      <c r="E35" s="17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27" t="s">
        <v>61</v>
      </c>
      <c r="B36" s="127"/>
      <c r="C36" s="127"/>
      <c r="D36" s="127"/>
      <c r="E36" s="127"/>
      <c r="J36" s="17" t="str">
        <f>IF(Tabela!L9="","",Tabela!L9)</f>
        <v/>
      </c>
      <c r="K36" s="128" t="s">
        <v>61</v>
      </c>
      <c r="L36" s="128"/>
      <c r="M36" s="128"/>
      <c r="N36" s="128"/>
      <c r="O36" s="128"/>
    </row>
    <row r="37" spans="1:15" x14ac:dyDescent="0.25">
      <c r="A37" s="17" t="s">
        <v>23</v>
      </c>
      <c r="B37" s="16">
        <v>1</v>
      </c>
      <c r="C37" s="16" t="s">
        <v>53</v>
      </c>
      <c r="D37" s="16">
        <v>2</v>
      </c>
      <c r="E37" s="17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7" t="s">
        <v>7</v>
      </c>
      <c r="B38" s="16">
        <v>1</v>
      </c>
      <c r="C38" s="16" t="s">
        <v>53</v>
      </c>
      <c r="D38" s="16">
        <v>0</v>
      </c>
      <c r="E38" s="17" t="s">
        <v>10</v>
      </c>
      <c r="H38" s="16">
        <v>25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7" t="s">
        <v>7</v>
      </c>
      <c r="B39" s="16">
        <v>2</v>
      </c>
      <c r="C39" s="16" t="s">
        <v>53</v>
      </c>
      <c r="D39" s="16">
        <v>0</v>
      </c>
      <c r="E39" s="17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7" t="s">
        <v>12</v>
      </c>
      <c r="B40" s="16">
        <v>1</v>
      </c>
      <c r="C40" s="16" t="s">
        <v>53</v>
      </c>
      <c r="D40" s="16">
        <v>0</v>
      </c>
      <c r="E40" s="17" t="s">
        <v>10</v>
      </c>
      <c r="H40" s="16">
        <v>10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7" t="s">
        <v>12</v>
      </c>
      <c r="B41" s="16">
        <v>1</v>
      </c>
      <c r="C41" s="16" t="s">
        <v>53</v>
      </c>
      <c r="D41" s="16">
        <v>1</v>
      </c>
      <c r="E41" s="17" t="s">
        <v>7</v>
      </c>
      <c r="H41" s="16">
        <v>10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7" t="s">
        <v>10</v>
      </c>
      <c r="B42" s="16">
        <v>0</v>
      </c>
      <c r="C42" s="16" t="s">
        <v>53</v>
      </c>
      <c r="D42" s="16">
        <v>0</v>
      </c>
      <c r="E42" s="17" t="s">
        <v>23</v>
      </c>
      <c r="H42" s="16">
        <v>0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27" t="s">
        <v>60</v>
      </c>
      <c r="B43" s="127"/>
      <c r="C43" s="127"/>
      <c r="D43" s="127"/>
      <c r="E43" s="127"/>
      <c r="J43" s="17" t="str">
        <f>IF(Tabela!L16="","",Tabela!L16)</f>
        <v/>
      </c>
      <c r="K43" s="128" t="s">
        <v>60</v>
      </c>
      <c r="L43" s="128"/>
      <c r="M43" s="128"/>
      <c r="N43" s="128"/>
      <c r="O43" s="128"/>
    </row>
    <row r="44" spans="1:15" x14ac:dyDescent="0.25">
      <c r="A44" s="17" t="s">
        <v>30</v>
      </c>
      <c r="B44" s="16">
        <v>1</v>
      </c>
      <c r="C44" s="16" t="s">
        <v>53</v>
      </c>
      <c r="D44" s="16">
        <v>2</v>
      </c>
      <c r="E44" s="17" t="s">
        <v>9</v>
      </c>
      <c r="H44" s="16">
        <v>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7" t="s">
        <v>8</v>
      </c>
      <c r="B45" s="16">
        <v>2</v>
      </c>
      <c r="C45" s="16" t="s">
        <v>53</v>
      </c>
      <c r="D45" s="16">
        <v>0</v>
      </c>
      <c r="E45" s="17" t="s">
        <v>29</v>
      </c>
      <c r="H45" s="16">
        <v>25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7" t="s">
        <v>9</v>
      </c>
      <c r="B46" s="16">
        <v>3</v>
      </c>
      <c r="C46" s="16" t="s">
        <v>53</v>
      </c>
      <c r="D46" s="16">
        <v>0</v>
      </c>
      <c r="E46" s="17" t="s">
        <v>29</v>
      </c>
      <c r="H46" s="16">
        <v>5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7" t="s">
        <v>8</v>
      </c>
      <c r="B47" s="16">
        <v>2</v>
      </c>
      <c r="C47" s="16" t="s">
        <v>53</v>
      </c>
      <c r="D47" s="16">
        <v>1</v>
      </c>
      <c r="E47" s="17" t="s">
        <v>30</v>
      </c>
      <c r="H47" s="16">
        <v>10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7" t="s">
        <v>9</v>
      </c>
      <c r="B48" s="16">
        <v>1</v>
      </c>
      <c r="C48" s="16" t="s">
        <v>53</v>
      </c>
      <c r="D48" s="16">
        <v>2</v>
      </c>
      <c r="E48" s="17" t="s">
        <v>8</v>
      </c>
      <c r="H48" s="16">
        <v>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7" t="s">
        <v>29</v>
      </c>
      <c r="B49" s="16">
        <v>1</v>
      </c>
      <c r="C49" s="16" t="s">
        <v>53</v>
      </c>
      <c r="D49" s="16">
        <v>1</v>
      </c>
      <c r="E49" s="17" t="s">
        <v>30</v>
      </c>
      <c r="H49" s="16">
        <v>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27" t="s">
        <v>59</v>
      </c>
      <c r="B50" s="127"/>
      <c r="C50" s="127"/>
      <c r="D50" s="127"/>
      <c r="E50" s="127"/>
      <c r="J50" s="17" t="str">
        <f>IF(Tabela!L23="","",Tabela!L23)</f>
        <v/>
      </c>
      <c r="K50" s="128" t="s">
        <v>59</v>
      </c>
      <c r="L50" s="128"/>
      <c r="M50" s="128"/>
      <c r="N50" s="128"/>
      <c r="O50" s="128"/>
    </row>
    <row r="51" spans="1:15" x14ac:dyDescent="0.25">
      <c r="A51" s="17" t="s">
        <v>32</v>
      </c>
      <c r="B51" s="16">
        <v>2</v>
      </c>
      <c r="C51" s="16" t="s">
        <v>53</v>
      </c>
      <c r="D51" s="16">
        <v>0</v>
      </c>
      <c r="E51" s="17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7" t="s">
        <v>27</v>
      </c>
      <c r="B52" s="16">
        <v>2</v>
      </c>
      <c r="C52" s="16" t="s">
        <v>53</v>
      </c>
      <c r="D52" s="16">
        <v>0</v>
      </c>
      <c r="E52" s="17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7" t="s">
        <v>67</v>
      </c>
      <c r="B53" s="16">
        <v>0</v>
      </c>
      <c r="C53" s="16" t="s">
        <v>53</v>
      </c>
      <c r="D53" s="16">
        <v>0</v>
      </c>
      <c r="E53" s="17" t="s">
        <v>18</v>
      </c>
      <c r="H53" s="16">
        <v>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7" t="s">
        <v>27</v>
      </c>
      <c r="B54" s="16">
        <v>1</v>
      </c>
      <c r="C54" s="16" t="s">
        <v>53</v>
      </c>
      <c r="D54" s="16">
        <v>0</v>
      </c>
      <c r="E54" s="17" t="s">
        <v>32</v>
      </c>
      <c r="H54" s="16">
        <v>15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7" t="s">
        <v>67</v>
      </c>
      <c r="B55" s="16">
        <v>0</v>
      </c>
      <c r="C55" s="16" t="s">
        <v>53</v>
      </c>
      <c r="D55" s="16">
        <v>2</v>
      </c>
      <c r="E55" s="17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7" t="s">
        <v>18</v>
      </c>
      <c r="B56" s="16">
        <v>1</v>
      </c>
      <c r="C56" s="16" t="s">
        <v>53</v>
      </c>
      <c r="D56" s="16">
        <v>3</v>
      </c>
      <c r="E56" s="17" t="s">
        <v>32</v>
      </c>
      <c r="H56" s="16">
        <v>10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60" t="s">
        <v>173</v>
      </c>
    </row>
    <row r="58" spans="1:15" x14ac:dyDescent="0.25">
      <c r="A58" s="134" t="str">
        <f>_xlfn.CONCAT(W2,A57)</f>
        <v>Juninho_1 - Oitavas de Final</v>
      </c>
      <c r="B58" s="134"/>
      <c r="C58" s="134"/>
      <c r="D58" s="134"/>
      <c r="E58" s="134"/>
      <c r="K58" s="137" t="s">
        <v>171</v>
      </c>
      <c r="L58" s="137"/>
      <c r="M58" s="137"/>
      <c r="N58" s="137"/>
      <c r="O58" s="137"/>
    </row>
    <row r="59" spans="1:15" x14ac:dyDescent="0.25">
      <c r="A59" s="66" t="s">
        <v>19</v>
      </c>
      <c r="B59" s="2">
        <v>2</v>
      </c>
      <c r="C59" s="2" t="s">
        <v>53</v>
      </c>
      <c r="D59" s="2">
        <v>0</v>
      </c>
      <c r="E59" s="65" t="s">
        <v>166</v>
      </c>
      <c r="H59" s="16">
        <v>10</v>
      </c>
      <c r="J59" s="17" t="str">
        <f>IF(Tabela!F32="","",Tabela!F32)</f>
        <v/>
      </c>
      <c r="K59" s="67" t="str">
        <f>Tabela!A32</f>
        <v>Holanda</v>
      </c>
      <c r="L59" s="67">
        <f>Tabela!B32</f>
        <v>3</v>
      </c>
      <c r="M59" s="67" t="str">
        <f>Tabela!C32</f>
        <v>X</v>
      </c>
      <c r="N59" s="67">
        <f>Tabela!D32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1</v>
      </c>
      <c r="E60" s="65" t="s">
        <v>6</v>
      </c>
      <c r="J60" s="17" t="str">
        <f>IF(Tabela!F33="","",Tabela!F33)</f>
        <v>N</v>
      </c>
      <c r="K60" s="67" t="str">
        <f>Tabela!A33</f>
        <v>Argentina</v>
      </c>
      <c r="L60" s="67">
        <f>Tabela!B33</f>
        <v>0</v>
      </c>
      <c r="M60" s="67" t="str">
        <f>Tabela!C33</f>
        <v>X</v>
      </c>
      <c r="N60" s="67">
        <f>Tabela!D33</f>
        <v>0</v>
      </c>
      <c r="O60" s="67" t="str">
        <f>Tabela!E33</f>
        <v>Austrália</v>
      </c>
    </row>
    <row r="61" spans="1:15" x14ac:dyDescent="0.25">
      <c r="A61" s="66" t="s">
        <v>22</v>
      </c>
      <c r="B61" s="2">
        <v>1</v>
      </c>
      <c r="C61" s="2" t="s">
        <v>53</v>
      </c>
      <c r="D61" s="2">
        <v>0</v>
      </c>
      <c r="E61" s="65" t="s">
        <v>12</v>
      </c>
      <c r="J61" s="17" t="str">
        <f>IF(Tabela!F34="","",Tabela!F34)</f>
        <v>N</v>
      </c>
      <c r="K61" s="67" t="str">
        <f>Tabela!A34</f>
        <v>Japão</v>
      </c>
      <c r="L61" s="67">
        <f>Tabela!B34</f>
        <v>0</v>
      </c>
      <c r="M61" s="67" t="str">
        <f>Tabela!C34</f>
        <v>X</v>
      </c>
      <c r="N61" s="67">
        <f>Tabela!D34</f>
        <v>0</v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0</v>
      </c>
      <c r="E62" s="65" t="s">
        <v>167</v>
      </c>
      <c r="J62" s="17" t="str">
        <f>IF(Tabela!F35="","",Tabela!F35)</f>
        <v>N</v>
      </c>
      <c r="K62" s="67" t="str">
        <f>Tabela!A35</f>
        <v>Brasil</v>
      </c>
      <c r="L62" s="67">
        <f>Tabela!B35</f>
        <v>0</v>
      </c>
      <c r="M62" s="67" t="str">
        <f>Tabela!C35</f>
        <v>X</v>
      </c>
      <c r="N62" s="67">
        <f>Tabela!D35</f>
        <v>0</v>
      </c>
      <c r="O62" s="67" t="str">
        <f>Tabela!E35</f>
        <v>Coréia</v>
      </c>
    </row>
    <row r="63" spans="1:15" x14ac:dyDescent="0.25">
      <c r="A63" s="66" t="s">
        <v>20</v>
      </c>
      <c r="B63" s="2">
        <v>3</v>
      </c>
      <c r="C63" s="2" t="s">
        <v>53</v>
      </c>
      <c r="D63" s="2">
        <v>1</v>
      </c>
      <c r="E63" s="65" t="s">
        <v>28</v>
      </c>
      <c r="J63" s="17" t="str">
        <f>IF(Tabela!F36="","",Tabela!F36)</f>
        <v>N</v>
      </c>
      <c r="K63" s="67" t="str">
        <f>Tabela!A36</f>
        <v>Inglaterra</v>
      </c>
      <c r="L63" s="67">
        <f>Tabela!B36</f>
        <v>0</v>
      </c>
      <c r="M63" s="67" t="str">
        <f>Tabela!C36</f>
        <v>X</v>
      </c>
      <c r="N63" s="67">
        <f>Tabela!D36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2</v>
      </c>
      <c r="C64" s="2" t="s">
        <v>53</v>
      </c>
      <c r="D64" s="2">
        <v>0</v>
      </c>
      <c r="E64" s="65" t="s">
        <v>26</v>
      </c>
      <c r="J64" s="17" t="str">
        <f>IF(Tabela!F37="","",Tabela!F37)</f>
        <v>N</v>
      </c>
      <c r="K64" s="67" t="str">
        <f>Tabela!A37</f>
        <v>França</v>
      </c>
      <c r="L64" s="67">
        <f>Tabela!B37</f>
        <v>0</v>
      </c>
      <c r="M64" s="67" t="str">
        <f>Tabela!C37</f>
        <v>X</v>
      </c>
      <c r="N64" s="67">
        <f>Tabela!D37</f>
        <v>0</v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2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7">
        <f>Tabela!B38</f>
        <v>0</v>
      </c>
      <c r="M65" s="67" t="str">
        <f>Tabela!C38</f>
        <v>X</v>
      </c>
      <c r="N65" s="67">
        <f>Tabela!D38</f>
        <v>0</v>
      </c>
      <c r="O65" s="67" t="str">
        <f>Tabela!E38</f>
        <v>Espanha</v>
      </c>
    </row>
    <row r="66" spans="1:15" x14ac:dyDescent="0.25">
      <c r="A66" s="66" t="s">
        <v>27</v>
      </c>
      <c r="B66" s="2">
        <v>1</v>
      </c>
      <c r="C66" s="2" t="s">
        <v>53</v>
      </c>
      <c r="D66" s="2">
        <v>0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7">
        <f>Tabela!B39</f>
        <v>0</v>
      </c>
      <c r="M66" s="67" t="str">
        <f>Tabela!C39</f>
        <v>X</v>
      </c>
      <c r="N66" s="67">
        <f>Tabela!D39</f>
        <v>0</v>
      </c>
      <c r="O66" s="67" t="str">
        <f>Tabela!E39</f>
        <v>Suíça</v>
      </c>
    </row>
  </sheetData>
  <mergeCells count="70">
    <mergeCell ref="A58:E58"/>
    <mergeCell ref="K58:O58"/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A1:E1"/>
    <mergeCell ref="A8:E8"/>
    <mergeCell ref="A15:E15"/>
    <mergeCell ref="A22:E22"/>
    <mergeCell ref="K1:O1"/>
    <mergeCell ref="K8:O8"/>
    <mergeCell ref="K36:O36"/>
    <mergeCell ref="K43:O43"/>
    <mergeCell ref="K50:O50"/>
    <mergeCell ref="K29:O29"/>
    <mergeCell ref="A29:E29"/>
    <mergeCell ref="A36:E36"/>
    <mergeCell ref="A43:E43"/>
    <mergeCell ref="A50:E50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27:R27"/>
    <mergeCell ref="S27:T27"/>
    <mergeCell ref="U27:V27"/>
    <mergeCell ref="Q28:R28"/>
    <mergeCell ref="S28:T28"/>
    <mergeCell ref="U28:V2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CDA78-BC55-42AA-BF84-23A54B50E435}">
  <sheetPr codeName="Planilha9">
    <tabColor rgb="FF0070C0"/>
  </sheetPr>
  <dimension ref="A1:AE66"/>
  <sheetViews>
    <sheetView zoomScale="85" zoomScaleNormal="85" workbookViewId="0">
      <pane xSplit="15" ySplit="16" topLeftCell="P18" activePane="bottomRight" state="frozen"/>
      <selection pane="topRight" activeCell="P1" sqref="P1"/>
      <selection pane="bottomLeft" activeCell="A17" sqref="A17"/>
      <selection pane="bottomRight" activeCell="Q25" sqref="Q25:U25"/>
    </sheetView>
  </sheetViews>
  <sheetFormatPr defaultRowHeight="15" x14ac:dyDescent="0.25"/>
  <cols>
    <col min="1" max="1" width="17.7109375" style="17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61" width="5.7109375" style="17" customWidth="1"/>
    <col min="62" max="16384" width="9.140625" style="17"/>
  </cols>
  <sheetData>
    <row r="1" spans="1:31" x14ac:dyDescent="0.25">
      <c r="A1" s="127" t="s">
        <v>58</v>
      </c>
      <c r="B1" s="127"/>
      <c r="C1" s="127"/>
      <c r="D1" s="127"/>
      <c r="E1" s="127"/>
      <c r="K1" s="128" t="s">
        <v>58</v>
      </c>
      <c r="L1" s="128"/>
      <c r="M1" s="128"/>
      <c r="N1" s="128"/>
      <c r="O1" s="128"/>
    </row>
    <row r="2" spans="1:31" x14ac:dyDescent="0.25">
      <c r="A2" s="17" t="s">
        <v>11</v>
      </c>
      <c r="B2" s="16">
        <v>1</v>
      </c>
      <c r="C2" s="16" t="s">
        <v>53</v>
      </c>
      <c r="D2" s="16">
        <v>0</v>
      </c>
      <c r="E2" s="17" t="s">
        <v>14</v>
      </c>
      <c r="H2" s="16">
        <v>0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31" t="s">
        <v>74</v>
      </c>
      <c r="X2" s="131"/>
      <c r="Y2" s="131"/>
      <c r="Z2" s="131"/>
      <c r="AA2" s="131"/>
      <c r="AB2" s="131"/>
      <c r="AC2" s="131"/>
      <c r="AD2" s="131"/>
      <c r="AE2" s="131"/>
    </row>
    <row r="3" spans="1:31" x14ac:dyDescent="0.25">
      <c r="A3" s="17" t="s">
        <v>28</v>
      </c>
      <c r="B3" s="16">
        <v>0</v>
      </c>
      <c r="C3" s="16" t="s">
        <v>53</v>
      </c>
      <c r="D3" s="16">
        <v>3</v>
      </c>
      <c r="E3" s="17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31"/>
      <c r="X3" s="131"/>
      <c r="Y3" s="131"/>
      <c r="Z3" s="131"/>
      <c r="AA3" s="131"/>
      <c r="AB3" s="131"/>
      <c r="AC3" s="131"/>
      <c r="AD3" s="131"/>
      <c r="AE3" s="131"/>
    </row>
    <row r="4" spans="1:31" x14ac:dyDescent="0.25">
      <c r="A4" s="17" t="s">
        <v>11</v>
      </c>
      <c r="B4" s="16">
        <v>2</v>
      </c>
      <c r="C4" s="16" t="s">
        <v>53</v>
      </c>
      <c r="D4" s="16">
        <v>0</v>
      </c>
      <c r="E4" s="17" t="s">
        <v>28</v>
      </c>
      <c r="H4" s="16">
        <v>0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31"/>
      <c r="X4" s="131"/>
      <c r="Y4" s="131"/>
      <c r="Z4" s="131"/>
      <c r="AA4" s="131"/>
      <c r="AB4" s="131"/>
      <c r="AC4" s="131"/>
      <c r="AD4" s="131"/>
      <c r="AE4" s="131"/>
    </row>
    <row r="5" spans="1:31" x14ac:dyDescent="0.25">
      <c r="A5" s="17" t="s">
        <v>19</v>
      </c>
      <c r="B5" s="16">
        <v>3</v>
      </c>
      <c r="C5" s="16" t="s">
        <v>53</v>
      </c>
      <c r="D5" s="16">
        <v>1</v>
      </c>
      <c r="E5" s="17" t="s">
        <v>14</v>
      </c>
      <c r="H5" s="16">
        <v>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31"/>
      <c r="X5" s="131"/>
      <c r="Y5" s="131"/>
      <c r="Z5" s="131"/>
      <c r="AA5" s="131"/>
      <c r="AB5" s="131"/>
      <c r="AC5" s="131"/>
      <c r="AD5" s="131"/>
      <c r="AE5" s="131"/>
    </row>
    <row r="6" spans="1:31" x14ac:dyDescent="0.25">
      <c r="A6" s="17" t="s">
        <v>19</v>
      </c>
      <c r="B6" s="16">
        <v>3</v>
      </c>
      <c r="C6" s="16" t="s">
        <v>53</v>
      </c>
      <c r="D6" s="16">
        <v>0</v>
      </c>
      <c r="E6" s="17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31"/>
      <c r="X6" s="131"/>
      <c r="Y6" s="131"/>
      <c r="Z6" s="131"/>
      <c r="AA6" s="131"/>
      <c r="AB6" s="131"/>
      <c r="AC6" s="131"/>
      <c r="AD6" s="131"/>
      <c r="AE6" s="131"/>
    </row>
    <row r="7" spans="1:31" x14ac:dyDescent="0.25">
      <c r="A7" s="17" t="s">
        <v>14</v>
      </c>
      <c r="B7" s="16">
        <v>1</v>
      </c>
      <c r="C7" s="16" t="s">
        <v>53</v>
      </c>
      <c r="D7" s="16">
        <v>1</v>
      </c>
      <c r="E7" s="17" t="s">
        <v>28</v>
      </c>
      <c r="H7" s="16">
        <v>5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27" t="s">
        <v>65</v>
      </c>
      <c r="B8" s="127"/>
      <c r="C8" s="127"/>
      <c r="D8" s="127"/>
      <c r="E8" s="127"/>
      <c r="J8" s="17" t="str">
        <f>IF(Tabela!F9="","",Tabela!F9)</f>
        <v/>
      </c>
      <c r="K8" s="128" t="s">
        <v>65</v>
      </c>
      <c r="L8" s="128"/>
      <c r="M8" s="128"/>
      <c r="N8" s="128"/>
      <c r="O8" s="128"/>
    </row>
    <row r="9" spans="1:31" x14ac:dyDescent="0.25">
      <c r="A9" s="17" t="s">
        <v>20</v>
      </c>
      <c r="B9" s="16">
        <v>2</v>
      </c>
      <c r="C9" s="16" t="s">
        <v>53</v>
      </c>
      <c r="D9" s="16">
        <v>0</v>
      </c>
      <c r="E9" s="17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29" t="s">
        <v>66</v>
      </c>
      <c r="R9" s="129"/>
      <c r="S9" s="129"/>
      <c r="T9" s="129"/>
      <c r="U9" s="129"/>
      <c r="W9" s="68" t="s">
        <v>124</v>
      </c>
      <c r="X9" s="68"/>
      <c r="Y9" s="68"/>
      <c r="Z9" s="68"/>
      <c r="AA9" s="68"/>
      <c r="AB9" s="68"/>
      <c r="AC9" s="68"/>
      <c r="AD9" s="68"/>
      <c r="AE9" s="68"/>
    </row>
    <row r="10" spans="1:31" x14ac:dyDescent="0.25">
      <c r="A10" s="17" t="s">
        <v>54</v>
      </c>
      <c r="B10" s="16">
        <v>3</v>
      </c>
      <c r="C10" s="16" t="s">
        <v>53</v>
      </c>
      <c r="D10" s="16">
        <v>0</v>
      </c>
      <c r="E10" s="17" t="s">
        <v>34</v>
      </c>
      <c r="H10" s="16">
        <v>0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29"/>
      <c r="R10" s="129"/>
      <c r="S10" s="129"/>
      <c r="T10" s="129"/>
      <c r="U10" s="129"/>
      <c r="W10" s="68" t="s">
        <v>20</v>
      </c>
      <c r="X10" s="68"/>
      <c r="Y10" s="68"/>
      <c r="Z10" s="54">
        <v>0</v>
      </c>
      <c r="AB10" s="54">
        <v>0</v>
      </c>
      <c r="AC10" s="68" t="s">
        <v>16</v>
      </c>
      <c r="AD10" s="68"/>
      <c r="AE10" s="68"/>
    </row>
    <row r="11" spans="1:31" x14ac:dyDescent="0.25">
      <c r="A11" s="17" t="s">
        <v>34</v>
      </c>
      <c r="B11" s="16">
        <v>1</v>
      </c>
      <c r="C11" s="16" t="s">
        <v>53</v>
      </c>
      <c r="D11" s="16">
        <v>1</v>
      </c>
      <c r="E11" s="17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30">
        <f>SUM(H2:H66)</f>
        <v>390</v>
      </c>
      <c r="R11" s="130"/>
      <c r="S11" s="130"/>
      <c r="T11" s="130"/>
      <c r="U11" s="130"/>
      <c r="W11" s="68" t="s">
        <v>21</v>
      </c>
      <c r="X11" s="68"/>
      <c r="Y11" s="68"/>
      <c r="Z11" s="54">
        <v>0</v>
      </c>
      <c r="AB11" s="54">
        <v>1</v>
      </c>
      <c r="AC11" s="68" t="s">
        <v>16</v>
      </c>
      <c r="AD11" s="68"/>
      <c r="AE11" s="68"/>
    </row>
    <row r="12" spans="1:31" x14ac:dyDescent="0.25">
      <c r="A12" s="17" t="s">
        <v>20</v>
      </c>
      <c r="B12" s="16">
        <v>0</v>
      </c>
      <c r="C12" s="16" t="s">
        <v>53</v>
      </c>
      <c r="D12" s="16">
        <v>0</v>
      </c>
      <c r="E12" s="17" t="s">
        <v>54</v>
      </c>
      <c r="H12" s="16">
        <v>25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30"/>
      <c r="R12" s="130"/>
      <c r="S12" s="130"/>
      <c r="T12" s="130"/>
      <c r="U12" s="130"/>
      <c r="W12" s="68" t="s">
        <v>34</v>
      </c>
      <c r="X12" s="68"/>
      <c r="Y12" s="68"/>
      <c r="Z12" s="54">
        <v>0</v>
      </c>
      <c r="AB12" s="54">
        <v>3</v>
      </c>
      <c r="AC12" s="68" t="s">
        <v>20</v>
      </c>
      <c r="AD12" s="68"/>
      <c r="AE12" s="68"/>
    </row>
    <row r="13" spans="1:31" x14ac:dyDescent="0.25">
      <c r="A13" s="17" t="s">
        <v>21</v>
      </c>
      <c r="B13" s="16">
        <v>0</v>
      </c>
      <c r="C13" s="16" t="s">
        <v>53</v>
      </c>
      <c r="D13" s="16">
        <v>1</v>
      </c>
      <c r="E13" s="17" t="s">
        <v>54</v>
      </c>
      <c r="H13" s="16">
        <v>25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30"/>
      <c r="R13" s="130"/>
      <c r="S13" s="130"/>
      <c r="T13" s="130"/>
      <c r="U13" s="130"/>
      <c r="W13" s="68" t="s">
        <v>13</v>
      </c>
      <c r="X13" s="68"/>
      <c r="Y13" s="68"/>
      <c r="Z13" s="54">
        <v>0</v>
      </c>
      <c r="AB13" s="54">
        <v>0</v>
      </c>
      <c r="AC13" s="68" t="s">
        <v>31</v>
      </c>
      <c r="AD13" s="68"/>
      <c r="AE13" s="68"/>
    </row>
    <row r="14" spans="1:31" x14ac:dyDescent="0.25">
      <c r="A14" s="17" t="s">
        <v>34</v>
      </c>
      <c r="B14" s="16">
        <v>0</v>
      </c>
      <c r="C14" s="16" t="s">
        <v>53</v>
      </c>
      <c r="D14" s="16">
        <v>3</v>
      </c>
      <c r="E14" s="17" t="s">
        <v>20</v>
      </c>
      <c r="H14" s="16">
        <v>25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30"/>
      <c r="R14" s="130"/>
      <c r="S14" s="130"/>
      <c r="T14" s="130"/>
      <c r="U14" s="130"/>
      <c r="W14" s="68"/>
      <c r="X14" s="68"/>
      <c r="Y14" s="68"/>
      <c r="AC14" s="68"/>
      <c r="AD14" s="68"/>
      <c r="AE14" s="68"/>
    </row>
    <row r="15" spans="1:31" x14ac:dyDescent="0.25">
      <c r="A15" s="127" t="s">
        <v>64</v>
      </c>
      <c r="B15" s="127"/>
      <c r="C15" s="127"/>
      <c r="D15" s="127"/>
      <c r="E15" s="127"/>
      <c r="J15" s="17" t="str">
        <f>IF(Tabela!F16="","",Tabela!F16)</f>
        <v/>
      </c>
      <c r="K15" s="128" t="s">
        <v>64</v>
      </c>
      <c r="L15" s="128"/>
      <c r="M15" s="128"/>
      <c r="N15" s="128"/>
      <c r="O15" s="128"/>
      <c r="Q15" s="130"/>
      <c r="R15" s="130"/>
      <c r="S15" s="130"/>
      <c r="T15" s="130"/>
      <c r="U15" s="130"/>
      <c r="W15" s="68"/>
      <c r="X15" s="68"/>
      <c r="Y15" s="68"/>
      <c r="AC15" s="68"/>
      <c r="AD15" s="68"/>
      <c r="AE15" s="68"/>
    </row>
    <row r="16" spans="1:31" x14ac:dyDescent="0.25">
      <c r="A16" s="17" t="s">
        <v>5</v>
      </c>
      <c r="B16" s="16">
        <v>3</v>
      </c>
      <c r="C16" s="16" t="s">
        <v>53</v>
      </c>
      <c r="D16" s="16">
        <v>0</v>
      </c>
      <c r="E16" s="17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68"/>
      <c r="X16" s="68"/>
      <c r="Y16" s="68"/>
      <c r="AC16" s="68"/>
      <c r="AD16" s="68"/>
      <c r="AE16" s="68"/>
    </row>
    <row r="17" spans="1:31" x14ac:dyDescent="0.25">
      <c r="A17" s="17" t="s">
        <v>24</v>
      </c>
      <c r="B17" s="16">
        <v>2</v>
      </c>
      <c r="C17" s="16" t="s">
        <v>53</v>
      </c>
      <c r="D17" s="16">
        <v>0</v>
      </c>
      <c r="E17" s="17" t="s">
        <v>26</v>
      </c>
      <c r="H17" s="16">
        <v>5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68"/>
      <c r="X17" s="68"/>
      <c r="Y17" s="68"/>
      <c r="AC17" s="68"/>
      <c r="AD17" s="68"/>
      <c r="AE17" s="68"/>
    </row>
    <row r="18" spans="1:31" x14ac:dyDescent="0.25">
      <c r="A18" s="17" t="s">
        <v>26</v>
      </c>
      <c r="B18" s="16">
        <v>1</v>
      </c>
      <c r="C18" s="16" t="s">
        <v>53</v>
      </c>
      <c r="D18" s="16">
        <v>0</v>
      </c>
      <c r="E18" s="17" t="s">
        <v>55</v>
      </c>
      <c r="H18" s="16">
        <v>15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W18" s="68"/>
      <c r="X18" s="68"/>
      <c r="Y18" s="68"/>
      <c r="AC18" s="68"/>
      <c r="AD18" s="68"/>
      <c r="AE18" s="68"/>
    </row>
    <row r="19" spans="1:31" x14ac:dyDescent="0.25">
      <c r="A19" s="17" t="s">
        <v>5</v>
      </c>
      <c r="B19" s="16">
        <v>1</v>
      </c>
      <c r="C19" s="16" t="s">
        <v>53</v>
      </c>
      <c r="D19" s="16">
        <v>0</v>
      </c>
      <c r="E19" s="17" t="s">
        <v>24</v>
      </c>
      <c r="H19" s="16">
        <v>15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W19" s="68"/>
      <c r="X19" s="68"/>
      <c r="Y19" s="68"/>
      <c r="AC19" s="68"/>
      <c r="AD19" s="68"/>
      <c r="AE19" s="68"/>
    </row>
    <row r="20" spans="1:31" x14ac:dyDescent="0.25">
      <c r="A20" s="17" t="s">
        <v>26</v>
      </c>
      <c r="B20" s="16">
        <v>1</v>
      </c>
      <c r="C20" s="16" t="s">
        <v>53</v>
      </c>
      <c r="D20" s="16">
        <v>2</v>
      </c>
      <c r="E20" s="17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68"/>
      <c r="X20" s="68"/>
      <c r="Y20" s="68"/>
      <c r="AC20" s="68"/>
      <c r="AD20" s="68"/>
      <c r="AE20" s="68"/>
    </row>
    <row r="21" spans="1:31" x14ac:dyDescent="0.25">
      <c r="A21" s="17" t="s">
        <v>55</v>
      </c>
      <c r="B21" s="16">
        <v>0</v>
      </c>
      <c r="C21" s="16" t="s">
        <v>53</v>
      </c>
      <c r="D21" s="16">
        <v>2</v>
      </c>
      <c r="E21" s="17" t="s">
        <v>24</v>
      </c>
      <c r="H21" s="16">
        <v>15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W21" s="68"/>
      <c r="X21" s="68"/>
      <c r="Y21" s="68"/>
      <c r="AC21" s="68"/>
      <c r="AD21" s="68"/>
      <c r="AE21" s="68"/>
    </row>
    <row r="22" spans="1:31" x14ac:dyDescent="0.25">
      <c r="A22" s="127" t="s">
        <v>63</v>
      </c>
      <c r="B22" s="127"/>
      <c r="C22" s="127"/>
      <c r="D22" s="127"/>
      <c r="E22" s="127"/>
      <c r="J22" s="17" t="str">
        <f>IF(Tabela!F23="","",Tabela!F23)</f>
        <v/>
      </c>
      <c r="K22" s="128" t="s">
        <v>63</v>
      </c>
      <c r="L22" s="128"/>
      <c r="M22" s="128"/>
      <c r="N22" s="128"/>
      <c r="O22" s="128"/>
      <c r="W22" s="68"/>
      <c r="X22" s="68"/>
      <c r="Y22" s="68"/>
      <c r="AC22" s="68"/>
      <c r="AD22" s="68"/>
      <c r="AE22" s="68"/>
    </row>
    <row r="23" spans="1:31" x14ac:dyDescent="0.25">
      <c r="A23" s="17" t="s">
        <v>13</v>
      </c>
      <c r="B23" s="16">
        <v>0</v>
      </c>
      <c r="C23" s="16" t="s">
        <v>53</v>
      </c>
      <c r="D23" s="16">
        <v>0</v>
      </c>
      <c r="E23" s="17" t="s">
        <v>31</v>
      </c>
      <c r="H23" s="16">
        <v>25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68"/>
      <c r="X23" s="68"/>
      <c r="Y23" s="68"/>
      <c r="AC23" s="68"/>
      <c r="AD23" s="68"/>
      <c r="AE23" s="68"/>
    </row>
    <row r="24" spans="1:31" x14ac:dyDescent="0.25">
      <c r="A24" s="17" t="s">
        <v>17</v>
      </c>
      <c r="B24" s="16">
        <v>1</v>
      </c>
      <c r="C24" s="16" t="s">
        <v>53</v>
      </c>
      <c r="D24" s="16">
        <v>0</v>
      </c>
      <c r="E24" s="17" t="s">
        <v>6</v>
      </c>
      <c r="H24" s="16">
        <v>10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Q24" s="17">
        <v>25</v>
      </c>
      <c r="R24" s="17">
        <v>15</v>
      </c>
      <c r="S24" s="17">
        <v>10</v>
      </c>
      <c r="T24" s="17">
        <v>5</v>
      </c>
      <c r="U24" s="17">
        <v>0</v>
      </c>
      <c r="W24" s="68"/>
      <c r="X24" s="68"/>
      <c r="Y24" s="68"/>
      <c r="AC24" s="68"/>
      <c r="AD24" s="68"/>
      <c r="AE24" s="68"/>
    </row>
    <row r="25" spans="1:31" x14ac:dyDescent="0.25">
      <c r="A25" s="17" t="s">
        <v>31</v>
      </c>
      <c r="B25" s="16">
        <v>1</v>
      </c>
      <c r="C25" s="16" t="s">
        <v>53</v>
      </c>
      <c r="D25" s="16">
        <v>2</v>
      </c>
      <c r="E25" s="17" t="s">
        <v>6</v>
      </c>
      <c r="H25" s="16">
        <v>10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Q25" s="22">
        <v>4</v>
      </c>
      <c r="R25" s="22">
        <v>11</v>
      </c>
      <c r="S25" s="22">
        <v>7</v>
      </c>
      <c r="T25" s="22">
        <v>11</v>
      </c>
      <c r="U25" s="22">
        <v>16</v>
      </c>
      <c r="W25" s="68"/>
      <c r="X25" s="68"/>
      <c r="Y25" s="68"/>
      <c r="AC25" s="68"/>
      <c r="AD25" s="68"/>
      <c r="AE25" s="68"/>
    </row>
    <row r="26" spans="1:31" x14ac:dyDescent="0.25">
      <c r="A26" s="17" t="s">
        <v>17</v>
      </c>
      <c r="B26" s="16">
        <v>1</v>
      </c>
      <c r="C26" s="16" t="s">
        <v>53</v>
      </c>
      <c r="D26" s="16">
        <v>0</v>
      </c>
      <c r="E26" s="17" t="s">
        <v>13</v>
      </c>
      <c r="H26" s="16">
        <v>10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68"/>
      <c r="X26" s="68"/>
      <c r="Y26" s="68"/>
      <c r="AC26" s="68"/>
      <c r="AD26" s="68"/>
      <c r="AE26" s="68"/>
    </row>
    <row r="27" spans="1:31" x14ac:dyDescent="0.25">
      <c r="A27" s="17" t="s">
        <v>31</v>
      </c>
      <c r="B27" s="16">
        <v>1</v>
      </c>
      <c r="C27" s="16" t="s">
        <v>53</v>
      </c>
      <c r="D27" s="16">
        <v>3</v>
      </c>
      <c r="E27" s="17" t="s">
        <v>17</v>
      </c>
      <c r="H27" s="16">
        <v>5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Q27" s="124" t="s">
        <v>42</v>
      </c>
      <c r="R27" s="124"/>
      <c r="S27" s="125" t="s">
        <v>8</v>
      </c>
      <c r="T27" s="125"/>
      <c r="U27" s="125" t="s">
        <v>15</v>
      </c>
      <c r="V27" s="125"/>
      <c r="W27" s="68"/>
      <c r="X27" s="68"/>
      <c r="Y27" s="68"/>
      <c r="AC27" s="68"/>
      <c r="AD27" s="68"/>
      <c r="AE27" s="68"/>
    </row>
    <row r="28" spans="1:31" x14ac:dyDescent="0.25">
      <c r="A28" s="17" t="s">
        <v>6</v>
      </c>
      <c r="B28" s="16">
        <v>1</v>
      </c>
      <c r="C28" s="16" t="s">
        <v>53</v>
      </c>
      <c r="D28" s="16">
        <v>2</v>
      </c>
      <c r="E28" s="17" t="s">
        <v>13</v>
      </c>
      <c r="H28" s="16">
        <v>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Q28" s="124" t="s">
        <v>41</v>
      </c>
      <c r="R28" s="124"/>
      <c r="S28" s="126" t="s">
        <v>138</v>
      </c>
      <c r="T28" s="126"/>
      <c r="U28" s="126" t="s">
        <v>137</v>
      </c>
      <c r="V28" s="126"/>
      <c r="W28" s="68"/>
      <c r="X28" s="68"/>
      <c r="Y28" s="68"/>
      <c r="AC28" s="68"/>
      <c r="AD28" s="68"/>
      <c r="AE28" s="68"/>
    </row>
    <row r="29" spans="1:31" x14ac:dyDescent="0.25">
      <c r="A29" s="127" t="s">
        <v>62</v>
      </c>
      <c r="B29" s="127"/>
      <c r="C29" s="127"/>
      <c r="D29" s="127"/>
      <c r="E29" s="127"/>
      <c r="K29" s="128" t="s">
        <v>62</v>
      </c>
      <c r="L29" s="128"/>
      <c r="M29" s="128"/>
      <c r="N29" s="128"/>
      <c r="O29" s="128"/>
      <c r="W29" s="68"/>
      <c r="X29" s="68"/>
      <c r="Y29" s="68"/>
      <c r="AC29" s="68"/>
      <c r="AD29" s="68"/>
      <c r="AE29" s="68"/>
    </row>
    <row r="30" spans="1:31" x14ac:dyDescent="0.25">
      <c r="A30" s="17" t="s">
        <v>4</v>
      </c>
      <c r="B30" s="16">
        <v>4</v>
      </c>
      <c r="C30" s="16" t="s">
        <v>53</v>
      </c>
      <c r="D30" s="16">
        <v>1</v>
      </c>
      <c r="E30" s="17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68"/>
      <c r="X30" s="68"/>
      <c r="Y30" s="68"/>
      <c r="AC30" s="68"/>
      <c r="AD30" s="68"/>
      <c r="AE30" s="68"/>
    </row>
    <row r="31" spans="1:31" x14ac:dyDescent="0.25">
      <c r="A31" s="17" t="s">
        <v>15</v>
      </c>
      <c r="B31" s="16">
        <v>2</v>
      </c>
      <c r="C31" s="16" t="s">
        <v>53</v>
      </c>
      <c r="D31" s="16">
        <v>0</v>
      </c>
      <c r="E31" s="17" t="s">
        <v>56</v>
      </c>
      <c r="H31" s="16">
        <v>15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7" t="s">
        <v>22</v>
      </c>
      <c r="B32" s="16">
        <v>2</v>
      </c>
      <c r="C32" s="16" t="s">
        <v>53</v>
      </c>
      <c r="D32" s="16">
        <v>2</v>
      </c>
      <c r="E32" s="17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7" t="s">
        <v>15</v>
      </c>
      <c r="B33" s="16">
        <v>1</v>
      </c>
      <c r="C33" s="16" t="s">
        <v>53</v>
      </c>
      <c r="D33" s="16">
        <v>2</v>
      </c>
      <c r="E33" s="17" t="s">
        <v>4</v>
      </c>
      <c r="H33" s="16">
        <v>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7" t="s">
        <v>22</v>
      </c>
      <c r="B34" s="16">
        <v>1</v>
      </c>
      <c r="C34" s="16" t="s">
        <v>53</v>
      </c>
      <c r="D34" s="16">
        <v>3</v>
      </c>
      <c r="E34" s="17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7" t="s">
        <v>56</v>
      </c>
      <c r="B35" s="16">
        <v>0</v>
      </c>
      <c r="C35" s="16" t="s">
        <v>53</v>
      </c>
      <c r="D35" s="16">
        <v>1</v>
      </c>
      <c r="E35" s="17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27" t="s">
        <v>61</v>
      </c>
      <c r="B36" s="127"/>
      <c r="C36" s="127"/>
      <c r="D36" s="127"/>
      <c r="E36" s="127"/>
      <c r="J36" s="17" t="str">
        <f>IF(Tabela!L9="","",Tabela!L9)</f>
        <v/>
      </c>
      <c r="K36" s="128" t="s">
        <v>61</v>
      </c>
      <c r="L36" s="128"/>
      <c r="M36" s="128"/>
      <c r="N36" s="128"/>
      <c r="O36" s="128"/>
    </row>
    <row r="37" spans="1:15" x14ac:dyDescent="0.25">
      <c r="A37" s="17" t="s">
        <v>23</v>
      </c>
      <c r="B37" s="16">
        <v>1</v>
      </c>
      <c r="C37" s="16" t="s">
        <v>53</v>
      </c>
      <c r="D37" s="16">
        <v>2</v>
      </c>
      <c r="E37" s="17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7" t="s">
        <v>7</v>
      </c>
      <c r="B38" s="16">
        <v>2</v>
      </c>
      <c r="C38" s="16" t="s">
        <v>53</v>
      </c>
      <c r="D38" s="16">
        <v>0</v>
      </c>
      <c r="E38" s="17" t="s">
        <v>10</v>
      </c>
      <c r="H38" s="16">
        <v>15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7" t="s">
        <v>7</v>
      </c>
      <c r="B39" s="16">
        <v>3</v>
      </c>
      <c r="C39" s="16" t="s">
        <v>53</v>
      </c>
      <c r="D39" s="16">
        <v>0</v>
      </c>
      <c r="E39" s="17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7" t="s">
        <v>12</v>
      </c>
      <c r="B40" s="16">
        <v>0</v>
      </c>
      <c r="C40" s="16" t="s">
        <v>53</v>
      </c>
      <c r="D40" s="16">
        <v>0</v>
      </c>
      <c r="E40" s="17" t="s">
        <v>10</v>
      </c>
      <c r="H40" s="16">
        <v>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7" t="s">
        <v>12</v>
      </c>
      <c r="B41" s="16">
        <v>1</v>
      </c>
      <c r="C41" s="16" t="s">
        <v>53</v>
      </c>
      <c r="D41" s="16">
        <v>2</v>
      </c>
      <c r="E41" s="17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7" t="s">
        <v>10</v>
      </c>
      <c r="B42" s="16">
        <v>1</v>
      </c>
      <c r="C42" s="16" t="s">
        <v>53</v>
      </c>
      <c r="D42" s="16">
        <v>0</v>
      </c>
      <c r="E42" s="17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27" t="s">
        <v>60</v>
      </c>
      <c r="B43" s="127"/>
      <c r="C43" s="127"/>
      <c r="D43" s="127"/>
      <c r="E43" s="127"/>
      <c r="J43" s="17" t="str">
        <f>IF(Tabela!L16="","",Tabela!L16)</f>
        <v/>
      </c>
      <c r="K43" s="128" t="s">
        <v>60</v>
      </c>
      <c r="L43" s="128"/>
      <c r="M43" s="128"/>
      <c r="N43" s="128"/>
      <c r="O43" s="128"/>
    </row>
    <row r="44" spans="1:15" x14ac:dyDescent="0.25">
      <c r="A44" s="17" t="s">
        <v>30</v>
      </c>
      <c r="B44" s="16">
        <v>0</v>
      </c>
      <c r="C44" s="16" t="s">
        <v>53</v>
      </c>
      <c r="D44" s="16">
        <v>0</v>
      </c>
      <c r="E44" s="17" t="s">
        <v>9</v>
      </c>
      <c r="H44" s="16">
        <v>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7" t="s">
        <v>8</v>
      </c>
      <c r="B45" s="16">
        <v>1</v>
      </c>
      <c r="C45" s="16" t="s">
        <v>53</v>
      </c>
      <c r="D45" s="16">
        <v>0</v>
      </c>
      <c r="E45" s="17" t="s">
        <v>29</v>
      </c>
      <c r="H45" s="16">
        <v>15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7" t="s">
        <v>9</v>
      </c>
      <c r="B46" s="16">
        <v>2</v>
      </c>
      <c r="C46" s="16" t="s">
        <v>53</v>
      </c>
      <c r="D46" s="16">
        <v>0</v>
      </c>
      <c r="E46" s="17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7" t="s">
        <v>8</v>
      </c>
      <c r="B47" s="16">
        <v>3</v>
      </c>
      <c r="C47" s="16" t="s">
        <v>53</v>
      </c>
      <c r="D47" s="16">
        <v>0</v>
      </c>
      <c r="E47" s="17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7" t="s">
        <v>9</v>
      </c>
      <c r="B48" s="16">
        <v>0</v>
      </c>
      <c r="C48" s="16" t="s">
        <v>53</v>
      </c>
      <c r="D48" s="16">
        <v>1</v>
      </c>
      <c r="E48" s="17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7" t="s">
        <v>29</v>
      </c>
      <c r="B49" s="16">
        <v>0</v>
      </c>
      <c r="C49" s="16" t="s">
        <v>53</v>
      </c>
      <c r="D49" s="16">
        <v>0</v>
      </c>
      <c r="E49" s="17" t="s">
        <v>30</v>
      </c>
      <c r="H49" s="16">
        <v>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27" t="s">
        <v>59</v>
      </c>
      <c r="B50" s="127"/>
      <c r="C50" s="127"/>
      <c r="D50" s="127"/>
      <c r="E50" s="127"/>
      <c r="J50" s="17" t="str">
        <f>IF(Tabela!L23="","",Tabela!L23)</f>
        <v/>
      </c>
      <c r="K50" s="128" t="s">
        <v>59</v>
      </c>
      <c r="L50" s="128"/>
      <c r="M50" s="128"/>
      <c r="N50" s="128"/>
      <c r="O50" s="128"/>
    </row>
    <row r="51" spans="1:15" x14ac:dyDescent="0.25">
      <c r="A51" s="17" t="s">
        <v>32</v>
      </c>
      <c r="B51" s="16">
        <v>2</v>
      </c>
      <c r="C51" s="16" t="s">
        <v>53</v>
      </c>
      <c r="D51" s="16">
        <v>0</v>
      </c>
      <c r="E51" s="17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7" t="s">
        <v>27</v>
      </c>
      <c r="B52" s="16">
        <v>1</v>
      </c>
      <c r="C52" s="16" t="s">
        <v>53</v>
      </c>
      <c r="D52" s="16">
        <v>0</v>
      </c>
      <c r="E52" s="17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7" t="s">
        <v>67</v>
      </c>
      <c r="B53" s="16">
        <v>2</v>
      </c>
      <c r="C53" s="16" t="s">
        <v>53</v>
      </c>
      <c r="D53" s="16">
        <v>0</v>
      </c>
      <c r="E53" s="17" t="s">
        <v>18</v>
      </c>
      <c r="H53" s="16">
        <v>5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7" t="s">
        <v>27</v>
      </c>
      <c r="B54" s="16">
        <v>0</v>
      </c>
      <c r="C54" s="16" t="s">
        <v>53</v>
      </c>
      <c r="D54" s="16">
        <v>0</v>
      </c>
      <c r="E54" s="17" t="s">
        <v>32</v>
      </c>
      <c r="H54" s="16">
        <v>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7" t="s">
        <v>67</v>
      </c>
      <c r="B55" s="16">
        <v>1</v>
      </c>
      <c r="C55" s="16" t="s">
        <v>53</v>
      </c>
      <c r="D55" s="16">
        <v>3</v>
      </c>
      <c r="E55" s="17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7" t="s">
        <v>18</v>
      </c>
      <c r="B56" s="16">
        <v>0</v>
      </c>
      <c r="C56" s="16" t="s">
        <v>53</v>
      </c>
      <c r="D56" s="16">
        <v>1</v>
      </c>
      <c r="E56" s="17" t="s">
        <v>32</v>
      </c>
      <c r="H56" s="16">
        <v>15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60" t="s">
        <v>173</v>
      </c>
    </row>
    <row r="58" spans="1:15" x14ac:dyDescent="0.25">
      <c r="A58" s="134" t="str">
        <f>_xlfn.CONCAT(W2,A57)</f>
        <v>Juninho_2 - Oitavas de Final</v>
      </c>
      <c r="B58" s="134"/>
      <c r="C58" s="134"/>
      <c r="D58" s="134"/>
      <c r="E58" s="134"/>
      <c r="K58" s="137" t="s">
        <v>171</v>
      </c>
      <c r="L58" s="137"/>
      <c r="M58" s="137"/>
      <c r="N58" s="137"/>
      <c r="O58" s="137"/>
    </row>
    <row r="59" spans="1:15" x14ac:dyDescent="0.25">
      <c r="A59" s="66" t="s">
        <v>19</v>
      </c>
      <c r="B59" s="2">
        <v>2</v>
      </c>
      <c r="C59" s="2" t="s">
        <v>53</v>
      </c>
      <c r="D59" s="2">
        <v>0</v>
      </c>
      <c r="E59" s="65" t="s">
        <v>166</v>
      </c>
      <c r="H59" s="16">
        <v>10</v>
      </c>
      <c r="J59" s="17" t="str">
        <f>IF(Tabela!F32="","",Tabela!F32)</f>
        <v/>
      </c>
      <c r="K59" s="67" t="str">
        <f>Tabela!A32</f>
        <v>Holanda</v>
      </c>
      <c r="L59" s="67">
        <f>Tabela!B32</f>
        <v>3</v>
      </c>
      <c r="M59" s="67" t="str">
        <f>Tabela!C32</f>
        <v>X</v>
      </c>
      <c r="N59" s="67">
        <f>Tabela!D32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1</v>
      </c>
      <c r="C60" s="2" t="s">
        <v>53</v>
      </c>
      <c r="D60" s="2">
        <v>0</v>
      </c>
      <c r="E60" s="65" t="s">
        <v>6</v>
      </c>
      <c r="J60" s="17" t="str">
        <f>IF(Tabela!F33="","",Tabela!F33)</f>
        <v>N</v>
      </c>
      <c r="K60" s="67" t="str">
        <f>Tabela!A33</f>
        <v>Argentina</v>
      </c>
      <c r="L60" s="67">
        <f>Tabela!B33</f>
        <v>0</v>
      </c>
      <c r="M60" s="67" t="str">
        <f>Tabela!C33</f>
        <v>X</v>
      </c>
      <c r="N60" s="67">
        <f>Tabela!D33</f>
        <v>0</v>
      </c>
      <c r="O60" s="67" t="str">
        <f>Tabela!E33</f>
        <v>Austrália</v>
      </c>
    </row>
    <row r="61" spans="1:15" x14ac:dyDescent="0.25">
      <c r="A61" s="66" t="s">
        <v>22</v>
      </c>
      <c r="B61" s="2">
        <v>1</v>
      </c>
      <c r="C61" s="2" t="s">
        <v>53</v>
      </c>
      <c r="D61" s="2">
        <v>2</v>
      </c>
      <c r="E61" s="65" t="s">
        <v>12</v>
      </c>
      <c r="J61" s="17" t="str">
        <f>IF(Tabela!F34="","",Tabela!F34)</f>
        <v>N</v>
      </c>
      <c r="K61" s="67" t="str">
        <f>Tabela!A34</f>
        <v>Japão</v>
      </c>
      <c r="L61" s="67">
        <f>Tabela!B34</f>
        <v>0</v>
      </c>
      <c r="M61" s="67" t="str">
        <f>Tabela!C34</f>
        <v>X</v>
      </c>
      <c r="N61" s="67">
        <f>Tabela!D34</f>
        <v>0</v>
      </c>
      <c r="O61" s="67" t="str">
        <f>Tabela!E34</f>
        <v>Croácia</v>
      </c>
    </row>
    <row r="62" spans="1:15" x14ac:dyDescent="0.25">
      <c r="A62" s="66" t="s">
        <v>8</v>
      </c>
      <c r="B62" s="2">
        <v>1</v>
      </c>
      <c r="C62" s="2" t="s">
        <v>53</v>
      </c>
      <c r="D62" s="2">
        <v>0</v>
      </c>
      <c r="E62" s="65" t="s">
        <v>167</v>
      </c>
      <c r="J62" s="17" t="str">
        <f>IF(Tabela!F35="","",Tabela!F35)</f>
        <v>N</v>
      </c>
      <c r="K62" s="67" t="str">
        <f>Tabela!A35</f>
        <v>Brasil</v>
      </c>
      <c r="L62" s="67">
        <f>Tabela!B35</f>
        <v>0</v>
      </c>
      <c r="M62" s="67" t="str">
        <f>Tabela!C35</f>
        <v>X</v>
      </c>
      <c r="N62" s="67">
        <f>Tabela!D35</f>
        <v>0</v>
      </c>
      <c r="O62" s="67" t="str">
        <f>Tabela!E35</f>
        <v>Coréia</v>
      </c>
    </row>
    <row r="63" spans="1:15" x14ac:dyDescent="0.25">
      <c r="A63" s="66" t="s">
        <v>20</v>
      </c>
      <c r="B63" s="2">
        <v>2</v>
      </c>
      <c r="C63" s="2" t="s">
        <v>53</v>
      </c>
      <c r="D63" s="2">
        <v>0</v>
      </c>
      <c r="E63" s="65" t="s">
        <v>28</v>
      </c>
      <c r="J63" s="17" t="str">
        <f>IF(Tabela!F36="","",Tabela!F36)</f>
        <v>N</v>
      </c>
      <c r="K63" s="67" t="str">
        <f>Tabela!A36</f>
        <v>Inglaterra</v>
      </c>
      <c r="L63" s="67">
        <f>Tabela!B36</f>
        <v>0</v>
      </c>
      <c r="M63" s="67" t="str">
        <f>Tabela!C36</f>
        <v>X</v>
      </c>
      <c r="N63" s="67">
        <f>Tabela!D36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3</v>
      </c>
      <c r="C64" s="2" t="s">
        <v>53</v>
      </c>
      <c r="D64" s="2">
        <v>0</v>
      </c>
      <c r="E64" s="65" t="s">
        <v>26</v>
      </c>
      <c r="J64" s="17" t="str">
        <f>IF(Tabela!F37="","",Tabela!F37)</f>
        <v>N</v>
      </c>
      <c r="K64" s="67" t="str">
        <f>Tabela!A37</f>
        <v>França</v>
      </c>
      <c r="L64" s="67">
        <f>Tabela!B37</f>
        <v>0</v>
      </c>
      <c r="M64" s="67" t="str">
        <f>Tabela!C37</f>
        <v>X</v>
      </c>
      <c r="N64" s="67">
        <f>Tabela!D37</f>
        <v>0</v>
      </c>
      <c r="O64" s="67" t="str">
        <f>Tabela!E37</f>
        <v>Polônia</v>
      </c>
    </row>
    <row r="65" spans="1:15" x14ac:dyDescent="0.25">
      <c r="A65" s="66" t="s">
        <v>23</v>
      </c>
      <c r="B65" s="2">
        <v>0</v>
      </c>
      <c r="C65" s="2" t="s">
        <v>53</v>
      </c>
      <c r="D65" s="2">
        <v>2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7">
        <f>Tabela!B38</f>
        <v>0</v>
      </c>
      <c r="M65" s="67" t="str">
        <f>Tabela!C38</f>
        <v>X</v>
      </c>
      <c r="N65" s="67">
        <f>Tabela!D38</f>
        <v>0</v>
      </c>
      <c r="O65" s="67" t="str">
        <f>Tabela!E38</f>
        <v>Espanha</v>
      </c>
    </row>
    <row r="66" spans="1:15" x14ac:dyDescent="0.25">
      <c r="A66" s="66" t="s">
        <v>27</v>
      </c>
      <c r="B66" s="2">
        <v>2</v>
      </c>
      <c r="C66" s="2" t="s">
        <v>53</v>
      </c>
      <c r="D66" s="2">
        <v>1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7">
        <f>Tabela!B39</f>
        <v>0</v>
      </c>
      <c r="M66" s="67" t="str">
        <f>Tabela!C39</f>
        <v>X</v>
      </c>
      <c r="N66" s="67">
        <f>Tabela!D39</f>
        <v>0</v>
      </c>
      <c r="O66" s="67" t="str">
        <f>Tabela!E39</f>
        <v>Suíça</v>
      </c>
    </row>
  </sheetData>
  <mergeCells count="70">
    <mergeCell ref="A58:E58"/>
    <mergeCell ref="K58:O58"/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A1:E1"/>
    <mergeCell ref="A8:E8"/>
    <mergeCell ref="A15:E15"/>
    <mergeCell ref="A22:E22"/>
    <mergeCell ref="K1:O1"/>
    <mergeCell ref="K8:O8"/>
    <mergeCell ref="K36:O36"/>
    <mergeCell ref="K43:O43"/>
    <mergeCell ref="K50:O50"/>
    <mergeCell ref="K29:O29"/>
    <mergeCell ref="A29:E29"/>
    <mergeCell ref="A36:E36"/>
    <mergeCell ref="A43:E43"/>
    <mergeCell ref="A50:E50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27:R27"/>
    <mergeCell ref="S27:T27"/>
    <mergeCell ref="U27:V27"/>
    <mergeCell ref="Q28:R28"/>
    <mergeCell ref="S28:T28"/>
    <mergeCell ref="U28:V2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7C80E-0F48-409F-907E-FF5EAB35AA2C}">
  <sheetPr codeName="Planilha10">
    <tabColor rgb="FF0070C0"/>
  </sheetPr>
  <dimension ref="A1:AE66"/>
  <sheetViews>
    <sheetView zoomScale="85" zoomScaleNormal="85" workbookViewId="0">
      <pane xSplit="15" ySplit="16" topLeftCell="P54" activePane="bottomRight" state="frozen"/>
      <selection pane="topRight" activeCell="P1" sqref="P1"/>
      <selection pane="bottomLeft" activeCell="A17" sqref="A17"/>
      <selection pane="bottomRight" activeCell="Q25" sqref="Q25:U25"/>
    </sheetView>
  </sheetViews>
  <sheetFormatPr defaultRowHeight="15" x14ac:dyDescent="0.25"/>
  <cols>
    <col min="1" max="1" width="17.7109375" style="20" customWidth="1"/>
    <col min="2" max="4" width="5.7109375" style="16" customWidth="1"/>
    <col min="5" max="5" width="17.7109375" style="20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46" width="5.7109375" style="20" customWidth="1"/>
    <col min="47" max="16384" width="9.140625" style="20"/>
  </cols>
  <sheetData>
    <row r="1" spans="1:31" x14ac:dyDescent="0.25">
      <c r="A1" s="127" t="s">
        <v>58</v>
      </c>
      <c r="B1" s="127"/>
      <c r="C1" s="127"/>
      <c r="D1" s="127"/>
      <c r="E1" s="127"/>
      <c r="K1" s="128" t="s">
        <v>58</v>
      </c>
      <c r="L1" s="128"/>
      <c r="M1" s="128"/>
      <c r="N1" s="128"/>
      <c r="O1" s="128"/>
    </row>
    <row r="2" spans="1:31" x14ac:dyDescent="0.25">
      <c r="A2" s="20" t="s">
        <v>11</v>
      </c>
      <c r="B2" s="16">
        <v>1</v>
      </c>
      <c r="C2" s="16" t="s">
        <v>53</v>
      </c>
      <c r="D2" s="16">
        <v>0</v>
      </c>
      <c r="E2" s="20" t="s">
        <v>14</v>
      </c>
      <c r="H2" s="16">
        <v>0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31" t="s">
        <v>75</v>
      </c>
      <c r="X2" s="131"/>
      <c r="Y2" s="131"/>
      <c r="Z2" s="131"/>
      <c r="AA2" s="131"/>
      <c r="AB2" s="131"/>
      <c r="AC2" s="131"/>
      <c r="AD2" s="131"/>
      <c r="AE2" s="131"/>
    </row>
    <row r="3" spans="1:31" x14ac:dyDescent="0.25">
      <c r="A3" s="20" t="s">
        <v>28</v>
      </c>
      <c r="B3" s="16">
        <v>0</v>
      </c>
      <c r="C3" s="16" t="s">
        <v>53</v>
      </c>
      <c r="D3" s="16">
        <v>0</v>
      </c>
      <c r="E3" s="20" t="s">
        <v>19</v>
      </c>
      <c r="H3" s="16">
        <v>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31"/>
      <c r="X3" s="131"/>
      <c r="Y3" s="131"/>
      <c r="Z3" s="131"/>
      <c r="AA3" s="131"/>
      <c r="AB3" s="131"/>
      <c r="AC3" s="131"/>
      <c r="AD3" s="131"/>
      <c r="AE3" s="131"/>
    </row>
    <row r="4" spans="1:31" x14ac:dyDescent="0.25">
      <c r="A4" s="20" t="s">
        <v>11</v>
      </c>
      <c r="B4" s="16">
        <v>0</v>
      </c>
      <c r="C4" s="16" t="s">
        <v>53</v>
      </c>
      <c r="D4" s="16">
        <v>0</v>
      </c>
      <c r="E4" s="20" t="s">
        <v>28</v>
      </c>
      <c r="H4" s="16">
        <v>0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31"/>
      <c r="X4" s="131"/>
      <c r="Y4" s="131"/>
      <c r="Z4" s="131"/>
      <c r="AA4" s="131"/>
      <c r="AB4" s="131"/>
      <c r="AC4" s="131"/>
      <c r="AD4" s="131"/>
      <c r="AE4" s="131"/>
    </row>
    <row r="5" spans="1:31" x14ac:dyDescent="0.25">
      <c r="A5" s="20" t="s">
        <v>19</v>
      </c>
      <c r="B5" s="16">
        <v>0</v>
      </c>
      <c r="C5" s="16" t="s">
        <v>53</v>
      </c>
      <c r="D5" s="16">
        <v>1</v>
      </c>
      <c r="E5" s="20" t="s">
        <v>14</v>
      </c>
      <c r="H5" s="16">
        <v>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31"/>
      <c r="X5" s="131"/>
      <c r="Y5" s="131"/>
      <c r="Z5" s="131"/>
      <c r="AA5" s="131"/>
      <c r="AB5" s="131"/>
      <c r="AC5" s="131"/>
      <c r="AD5" s="131"/>
      <c r="AE5" s="131"/>
    </row>
    <row r="6" spans="1:31" x14ac:dyDescent="0.25">
      <c r="A6" s="20" t="s">
        <v>19</v>
      </c>
      <c r="B6" s="16">
        <v>1</v>
      </c>
      <c r="C6" s="16" t="s">
        <v>53</v>
      </c>
      <c r="D6" s="16">
        <v>0</v>
      </c>
      <c r="E6" s="20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31"/>
      <c r="X6" s="131"/>
      <c r="Y6" s="131"/>
      <c r="Z6" s="131"/>
      <c r="AA6" s="131"/>
      <c r="AB6" s="131"/>
      <c r="AC6" s="131"/>
      <c r="AD6" s="131"/>
      <c r="AE6" s="131"/>
    </row>
    <row r="7" spans="1:31" x14ac:dyDescent="0.25">
      <c r="A7" s="20" t="s">
        <v>14</v>
      </c>
      <c r="B7" s="16">
        <v>2</v>
      </c>
      <c r="C7" s="16" t="s">
        <v>53</v>
      </c>
      <c r="D7" s="16">
        <v>0</v>
      </c>
      <c r="E7" s="20" t="s">
        <v>28</v>
      </c>
      <c r="H7" s="16">
        <v>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27" t="s">
        <v>65</v>
      </c>
      <c r="B8" s="127"/>
      <c r="C8" s="127"/>
      <c r="D8" s="127"/>
      <c r="E8" s="127"/>
      <c r="J8" s="17" t="str">
        <f>IF(Tabela!F9="","",Tabela!F9)</f>
        <v/>
      </c>
      <c r="K8" s="128" t="s">
        <v>65</v>
      </c>
      <c r="L8" s="128"/>
      <c r="M8" s="128"/>
      <c r="N8" s="128"/>
      <c r="O8" s="128"/>
    </row>
    <row r="9" spans="1:31" x14ac:dyDescent="0.25">
      <c r="A9" s="20" t="s">
        <v>20</v>
      </c>
      <c r="B9" s="16">
        <v>2</v>
      </c>
      <c r="C9" s="16" t="s">
        <v>53</v>
      </c>
      <c r="D9" s="16">
        <v>0</v>
      </c>
      <c r="E9" s="20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29" t="s">
        <v>66</v>
      </c>
      <c r="R9" s="129"/>
      <c r="S9" s="129"/>
      <c r="T9" s="129"/>
      <c r="U9" s="129"/>
      <c r="W9" s="68" t="s">
        <v>124</v>
      </c>
      <c r="X9" s="68"/>
      <c r="Y9" s="68"/>
      <c r="Z9" s="68"/>
      <c r="AA9" s="68"/>
      <c r="AB9" s="68"/>
      <c r="AC9" s="68"/>
      <c r="AD9" s="68"/>
      <c r="AE9" s="68"/>
    </row>
    <row r="10" spans="1:31" x14ac:dyDescent="0.25">
      <c r="A10" s="20" t="s">
        <v>54</v>
      </c>
      <c r="B10" s="16">
        <v>1</v>
      </c>
      <c r="C10" s="16" t="s">
        <v>53</v>
      </c>
      <c r="D10" s="16">
        <v>0</v>
      </c>
      <c r="E10" s="20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29"/>
      <c r="R10" s="129"/>
      <c r="S10" s="129"/>
      <c r="T10" s="129"/>
      <c r="U10" s="129"/>
      <c r="W10" s="68" t="s">
        <v>26</v>
      </c>
      <c r="X10" s="68"/>
      <c r="Y10" s="68"/>
      <c r="Z10" s="54">
        <v>2</v>
      </c>
      <c r="AB10" s="54">
        <v>0</v>
      </c>
      <c r="AC10" s="68" t="s">
        <v>55</v>
      </c>
      <c r="AD10" s="68"/>
      <c r="AE10" s="68"/>
    </row>
    <row r="11" spans="1:31" x14ac:dyDescent="0.25">
      <c r="A11" s="20" t="s">
        <v>34</v>
      </c>
      <c r="B11" s="16">
        <v>1</v>
      </c>
      <c r="C11" s="16" t="s">
        <v>53</v>
      </c>
      <c r="D11" s="16">
        <v>1</v>
      </c>
      <c r="E11" s="20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30">
        <f>SUM(H2:H66)</f>
        <v>445</v>
      </c>
      <c r="R11" s="130"/>
      <c r="S11" s="130"/>
      <c r="T11" s="130"/>
      <c r="U11" s="130"/>
      <c r="W11" s="68" t="s">
        <v>5</v>
      </c>
      <c r="X11" s="68"/>
      <c r="Y11" s="68"/>
      <c r="Z11" s="54">
        <v>2</v>
      </c>
      <c r="AB11" s="54">
        <v>0</v>
      </c>
      <c r="AC11" s="68" t="s">
        <v>24</v>
      </c>
      <c r="AD11" s="68"/>
      <c r="AE11" s="68"/>
    </row>
    <row r="12" spans="1:31" x14ac:dyDescent="0.25">
      <c r="A12" s="20" t="s">
        <v>20</v>
      </c>
      <c r="B12" s="16">
        <v>1</v>
      </c>
      <c r="C12" s="16" t="s">
        <v>53</v>
      </c>
      <c r="D12" s="16">
        <v>2</v>
      </c>
      <c r="E12" s="20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30"/>
      <c r="R12" s="130"/>
      <c r="S12" s="130"/>
      <c r="T12" s="130"/>
      <c r="U12" s="130"/>
      <c r="W12" s="68" t="s">
        <v>31</v>
      </c>
      <c r="X12" s="68"/>
      <c r="Y12" s="68"/>
      <c r="Z12" s="54">
        <v>0</v>
      </c>
      <c r="AB12" s="54">
        <v>1</v>
      </c>
      <c r="AC12" s="68" t="s">
        <v>6</v>
      </c>
      <c r="AD12" s="68"/>
      <c r="AE12" s="68"/>
    </row>
    <row r="13" spans="1:31" x14ac:dyDescent="0.25">
      <c r="A13" s="20" t="s">
        <v>21</v>
      </c>
      <c r="B13" s="16">
        <v>0</v>
      </c>
      <c r="C13" s="16" t="s">
        <v>53</v>
      </c>
      <c r="D13" s="16">
        <v>2</v>
      </c>
      <c r="E13" s="20" t="s">
        <v>54</v>
      </c>
      <c r="H13" s="16">
        <v>15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30"/>
      <c r="R13" s="130"/>
      <c r="S13" s="130"/>
      <c r="T13" s="130"/>
      <c r="U13" s="130"/>
      <c r="W13" s="68" t="s">
        <v>6</v>
      </c>
      <c r="X13" s="68"/>
      <c r="Y13" s="68"/>
      <c r="Z13" s="54">
        <v>1</v>
      </c>
      <c r="AB13" s="54">
        <v>0</v>
      </c>
      <c r="AC13" s="68" t="s">
        <v>13</v>
      </c>
      <c r="AD13" s="68"/>
      <c r="AE13" s="68"/>
    </row>
    <row r="14" spans="1:31" x14ac:dyDescent="0.25">
      <c r="A14" s="20" t="s">
        <v>34</v>
      </c>
      <c r="B14" s="16">
        <v>0</v>
      </c>
      <c r="C14" s="16" t="s">
        <v>53</v>
      </c>
      <c r="D14" s="16">
        <v>1</v>
      </c>
      <c r="E14" s="20" t="s">
        <v>20</v>
      </c>
      <c r="H14" s="16">
        <v>15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30"/>
      <c r="R14" s="130"/>
      <c r="S14" s="130"/>
      <c r="T14" s="130"/>
      <c r="U14" s="130"/>
      <c r="W14" s="68" t="s">
        <v>7</v>
      </c>
      <c r="X14" s="68"/>
      <c r="Y14" s="68"/>
      <c r="Z14" s="54">
        <v>1</v>
      </c>
      <c r="AB14" s="54">
        <v>0</v>
      </c>
      <c r="AC14" s="68" t="s">
        <v>10</v>
      </c>
      <c r="AD14" s="68"/>
      <c r="AE14" s="68"/>
    </row>
    <row r="15" spans="1:31" x14ac:dyDescent="0.25">
      <c r="A15" s="127" t="s">
        <v>64</v>
      </c>
      <c r="B15" s="127"/>
      <c r="C15" s="127"/>
      <c r="D15" s="127"/>
      <c r="E15" s="127"/>
      <c r="J15" s="17" t="str">
        <f>IF(Tabela!F16="","",Tabela!F16)</f>
        <v/>
      </c>
      <c r="K15" s="128" t="s">
        <v>64</v>
      </c>
      <c r="L15" s="128"/>
      <c r="M15" s="128"/>
      <c r="N15" s="128"/>
      <c r="O15" s="128"/>
      <c r="Q15" s="130"/>
      <c r="R15" s="130"/>
      <c r="S15" s="130"/>
      <c r="T15" s="130"/>
      <c r="U15" s="130"/>
      <c r="W15" s="68" t="s">
        <v>8</v>
      </c>
      <c r="X15" s="68"/>
      <c r="Y15" s="68"/>
      <c r="Z15" s="54">
        <v>2</v>
      </c>
      <c r="AB15" s="54">
        <v>0</v>
      </c>
      <c r="AC15" s="68" t="s">
        <v>29</v>
      </c>
      <c r="AD15" s="68"/>
      <c r="AE15" s="68"/>
    </row>
    <row r="16" spans="1:31" x14ac:dyDescent="0.25">
      <c r="A16" s="20" t="s">
        <v>5</v>
      </c>
      <c r="B16" s="16">
        <v>2</v>
      </c>
      <c r="C16" s="16" t="s">
        <v>53</v>
      </c>
      <c r="D16" s="16">
        <v>0</v>
      </c>
      <c r="E16" s="20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68" t="s">
        <v>8</v>
      </c>
      <c r="X16" s="68"/>
      <c r="Y16" s="68"/>
      <c r="Z16" s="54">
        <v>1</v>
      </c>
      <c r="AB16" s="54">
        <v>0</v>
      </c>
      <c r="AC16" s="68" t="s">
        <v>30</v>
      </c>
      <c r="AD16" s="68"/>
      <c r="AE16" s="68"/>
    </row>
    <row r="17" spans="1:31" x14ac:dyDescent="0.25">
      <c r="A17" s="20" t="s">
        <v>24</v>
      </c>
      <c r="B17" s="16">
        <v>0</v>
      </c>
      <c r="C17" s="16" t="s">
        <v>53</v>
      </c>
      <c r="D17" s="16">
        <v>1</v>
      </c>
      <c r="E17" s="20" t="s">
        <v>26</v>
      </c>
      <c r="H17" s="16">
        <v>5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68"/>
      <c r="X17" s="68"/>
      <c r="Y17" s="68"/>
      <c r="AC17" s="68"/>
      <c r="AD17" s="68"/>
      <c r="AE17" s="68"/>
    </row>
    <row r="18" spans="1:31" x14ac:dyDescent="0.25">
      <c r="A18" s="20" t="s">
        <v>26</v>
      </c>
      <c r="B18" s="16">
        <v>2</v>
      </c>
      <c r="C18" s="16" t="s">
        <v>53</v>
      </c>
      <c r="D18" s="16">
        <v>0</v>
      </c>
      <c r="E18" s="20" t="s">
        <v>55</v>
      </c>
      <c r="H18" s="16">
        <v>25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W18" s="68"/>
      <c r="X18" s="68"/>
      <c r="Y18" s="68"/>
      <c r="AC18" s="68"/>
      <c r="AD18" s="68"/>
      <c r="AE18" s="68"/>
    </row>
    <row r="19" spans="1:31" x14ac:dyDescent="0.25">
      <c r="A19" s="20" t="s">
        <v>5</v>
      </c>
      <c r="B19" s="16">
        <v>2</v>
      </c>
      <c r="C19" s="16" t="s">
        <v>53</v>
      </c>
      <c r="D19" s="16">
        <v>0</v>
      </c>
      <c r="E19" s="20" t="s">
        <v>24</v>
      </c>
      <c r="H19" s="16">
        <v>25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W19" s="68"/>
      <c r="X19" s="68"/>
      <c r="Y19" s="68"/>
      <c r="AC19" s="68"/>
      <c r="AD19" s="68"/>
      <c r="AE19" s="68"/>
    </row>
    <row r="20" spans="1:31" x14ac:dyDescent="0.25">
      <c r="A20" s="20" t="s">
        <v>26</v>
      </c>
      <c r="B20" s="16">
        <v>2</v>
      </c>
      <c r="C20" s="16" t="s">
        <v>53</v>
      </c>
      <c r="D20" s="16">
        <v>3</v>
      </c>
      <c r="E20" s="20" t="s">
        <v>5</v>
      </c>
      <c r="H20" s="16">
        <v>10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68"/>
      <c r="X20" s="68"/>
      <c r="Y20" s="68"/>
      <c r="AC20" s="68"/>
      <c r="AD20" s="68"/>
      <c r="AE20" s="68"/>
    </row>
    <row r="21" spans="1:31" x14ac:dyDescent="0.25">
      <c r="A21" s="20" t="s">
        <v>55</v>
      </c>
      <c r="B21" s="16">
        <v>0</v>
      </c>
      <c r="C21" s="16" t="s">
        <v>53</v>
      </c>
      <c r="D21" s="16">
        <v>2</v>
      </c>
      <c r="E21" s="20" t="s">
        <v>24</v>
      </c>
      <c r="H21" s="16">
        <v>15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W21" s="68"/>
      <c r="X21" s="68"/>
      <c r="Y21" s="68"/>
      <c r="AC21" s="68"/>
      <c r="AD21" s="68"/>
      <c r="AE21" s="68"/>
    </row>
    <row r="22" spans="1:31" x14ac:dyDescent="0.25">
      <c r="A22" s="127" t="s">
        <v>63</v>
      </c>
      <c r="B22" s="127"/>
      <c r="C22" s="127"/>
      <c r="D22" s="127"/>
      <c r="E22" s="127"/>
      <c r="J22" s="17" t="str">
        <f>IF(Tabela!F23="","",Tabela!F23)</f>
        <v/>
      </c>
      <c r="K22" s="128" t="s">
        <v>63</v>
      </c>
      <c r="L22" s="128"/>
      <c r="M22" s="128"/>
      <c r="N22" s="128"/>
      <c r="O22" s="128"/>
      <c r="W22" s="68"/>
      <c r="X22" s="68"/>
      <c r="Y22" s="68"/>
      <c r="AC22" s="68"/>
      <c r="AD22" s="68"/>
      <c r="AE22" s="68"/>
    </row>
    <row r="23" spans="1:31" x14ac:dyDescent="0.25">
      <c r="A23" s="20" t="s">
        <v>13</v>
      </c>
      <c r="B23" s="16">
        <v>1</v>
      </c>
      <c r="C23" s="16" t="s">
        <v>53</v>
      </c>
      <c r="D23" s="16">
        <v>1</v>
      </c>
      <c r="E23" s="20" t="s">
        <v>31</v>
      </c>
      <c r="H23" s="16">
        <v>10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68"/>
      <c r="X23" s="68"/>
      <c r="Y23" s="68"/>
      <c r="AC23" s="68"/>
      <c r="AD23" s="68"/>
      <c r="AE23" s="68"/>
    </row>
    <row r="24" spans="1:31" x14ac:dyDescent="0.25">
      <c r="A24" s="20" t="s">
        <v>17</v>
      </c>
      <c r="B24" s="16">
        <v>2</v>
      </c>
      <c r="C24" s="16" t="s">
        <v>53</v>
      </c>
      <c r="D24" s="16">
        <v>1</v>
      </c>
      <c r="E24" s="20" t="s">
        <v>6</v>
      </c>
      <c r="H24" s="16">
        <v>15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Q24" s="17">
        <v>25</v>
      </c>
      <c r="R24" s="17">
        <v>15</v>
      </c>
      <c r="S24" s="17">
        <v>10</v>
      </c>
      <c r="T24" s="17">
        <v>5</v>
      </c>
      <c r="U24" s="17">
        <v>0</v>
      </c>
      <c r="W24" s="68"/>
      <c r="X24" s="68"/>
      <c r="Y24" s="68"/>
      <c r="AC24" s="68"/>
      <c r="AD24" s="68"/>
      <c r="AE24" s="68"/>
    </row>
    <row r="25" spans="1:31" x14ac:dyDescent="0.25">
      <c r="A25" s="20" t="s">
        <v>31</v>
      </c>
      <c r="B25" s="16">
        <v>0</v>
      </c>
      <c r="C25" s="16" t="s">
        <v>53</v>
      </c>
      <c r="D25" s="16">
        <v>1</v>
      </c>
      <c r="E25" s="20" t="s">
        <v>6</v>
      </c>
      <c r="H25" s="16">
        <v>25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Q25" s="22">
        <v>7</v>
      </c>
      <c r="R25" s="22">
        <v>8</v>
      </c>
      <c r="S25" s="22">
        <v>10</v>
      </c>
      <c r="T25" s="22">
        <v>10</v>
      </c>
      <c r="U25" s="22">
        <v>14</v>
      </c>
      <c r="W25" s="68"/>
      <c r="X25" s="68"/>
      <c r="Y25" s="68"/>
      <c r="AC25" s="68"/>
      <c r="AD25" s="68"/>
      <c r="AE25" s="68"/>
    </row>
    <row r="26" spans="1:31" x14ac:dyDescent="0.25">
      <c r="A26" s="20" t="s">
        <v>17</v>
      </c>
      <c r="B26" s="16">
        <v>2</v>
      </c>
      <c r="C26" s="16" t="s">
        <v>53</v>
      </c>
      <c r="D26" s="16">
        <v>0</v>
      </c>
      <c r="E26" s="20" t="s">
        <v>13</v>
      </c>
      <c r="H26" s="16">
        <v>15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68"/>
      <c r="X26" s="68"/>
      <c r="Y26" s="68"/>
      <c r="AC26" s="68"/>
      <c r="AD26" s="68"/>
      <c r="AE26" s="68"/>
    </row>
    <row r="27" spans="1:31" x14ac:dyDescent="0.25">
      <c r="A27" s="20" t="s">
        <v>31</v>
      </c>
      <c r="B27" s="16">
        <v>0</v>
      </c>
      <c r="C27" s="16" t="s">
        <v>53</v>
      </c>
      <c r="D27" s="16">
        <v>2</v>
      </c>
      <c r="E27" s="20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Q27" s="124" t="s">
        <v>42</v>
      </c>
      <c r="R27" s="124"/>
      <c r="S27" s="125" t="s">
        <v>8</v>
      </c>
      <c r="T27" s="125"/>
      <c r="U27" s="125" t="s">
        <v>5</v>
      </c>
      <c r="V27" s="125"/>
      <c r="W27" s="68"/>
      <c r="X27" s="68"/>
      <c r="Y27" s="68"/>
      <c r="AC27" s="68"/>
      <c r="AD27" s="68"/>
      <c r="AE27" s="68"/>
    </row>
    <row r="28" spans="1:31" x14ac:dyDescent="0.25">
      <c r="A28" s="20" t="s">
        <v>6</v>
      </c>
      <c r="B28" s="16">
        <v>1</v>
      </c>
      <c r="C28" s="16" t="s">
        <v>53</v>
      </c>
      <c r="D28" s="16">
        <v>0</v>
      </c>
      <c r="E28" s="20" t="s">
        <v>13</v>
      </c>
      <c r="H28" s="16">
        <v>25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Q28" s="124" t="s">
        <v>41</v>
      </c>
      <c r="R28" s="124"/>
      <c r="S28" s="126" t="s">
        <v>130</v>
      </c>
      <c r="T28" s="126"/>
      <c r="U28" s="126" t="s">
        <v>136</v>
      </c>
      <c r="V28" s="126"/>
      <c r="W28" s="68"/>
      <c r="X28" s="68"/>
      <c r="Y28" s="68"/>
      <c r="AC28" s="68"/>
      <c r="AD28" s="68"/>
      <c r="AE28" s="68"/>
    </row>
    <row r="29" spans="1:31" x14ac:dyDescent="0.25">
      <c r="A29" s="127" t="s">
        <v>62</v>
      </c>
      <c r="B29" s="127"/>
      <c r="C29" s="127"/>
      <c r="D29" s="127"/>
      <c r="E29" s="127"/>
      <c r="K29" s="128" t="s">
        <v>62</v>
      </c>
      <c r="L29" s="128"/>
      <c r="M29" s="128"/>
      <c r="N29" s="128"/>
      <c r="O29" s="128"/>
      <c r="W29" s="68"/>
      <c r="X29" s="68"/>
      <c r="Y29" s="68"/>
      <c r="AC29" s="68"/>
      <c r="AD29" s="68"/>
      <c r="AE29" s="68"/>
    </row>
    <row r="30" spans="1:31" x14ac:dyDescent="0.25">
      <c r="A30" s="20" t="s">
        <v>4</v>
      </c>
      <c r="B30" s="16">
        <v>1</v>
      </c>
      <c r="C30" s="16" t="s">
        <v>53</v>
      </c>
      <c r="D30" s="16">
        <v>1</v>
      </c>
      <c r="E30" s="20" t="s">
        <v>22</v>
      </c>
      <c r="H30" s="16">
        <v>5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68"/>
      <c r="X30" s="68"/>
      <c r="Y30" s="68"/>
      <c r="AC30" s="68"/>
      <c r="AD30" s="68"/>
      <c r="AE30" s="68"/>
    </row>
    <row r="31" spans="1:31" x14ac:dyDescent="0.25">
      <c r="A31" s="20" t="s">
        <v>15</v>
      </c>
      <c r="B31" s="16">
        <v>0</v>
      </c>
      <c r="C31" s="16" t="s">
        <v>53</v>
      </c>
      <c r="D31" s="16">
        <v>0</v>
      </c>
      <c r="E31" s="20" t="s">
        <v>56</v>
      </c>
      <c r="H31" s="16">
        <v>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20" t="s">
        <v>22</v>
      </c>
      <c r="B32" s="16">
        <v>1</v>
      </c>
      <c r="C32" s="16" t="s">
        <v>53</v>
      </c>
      <c r="D32" s="16">
        <v>0</v>
      </c>
      <c r="E32" s="20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20" t="s">
        <v>15</v>
      </c>
      <c r="B33" s="16">
        <v>0</v>
      </c>
      <c r="C33" s="16" t="s">
        <v>53</v>
      </c>
      <c r="D33" s="16">
        <v>2</v>
      </c>
      <c r="E33" s="20" t="s">
        <v>4</v>
      </c>
      <c r="H33" s="16">
        <v>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20" t="s">
        <v>22</v>
      </c>
      <c r="B34" s="16">
        <v>1</v>
      </c>
      <c r="C34" s="16" t="s">
        <v>53</v>
      </c>
      <c r="D34" s="16">
        <v>0</v>
      </c>
      <c r="E34" s="20" t="s">
        <v>15</v>
      </c>
      <c r="H34" s="16">
        <v>10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20" t="s">
        <v>56</v>
      </c>
      <c r="B35" s="16">
        <v>0</v>
      </c>
      <c r="C35" s="16" t="s">
        <v>53</v>
      </c>
      <c r="D35" s="16">
        <v>2</v>
      </c>
      <c r="E35" s="20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27" t="s">
        <v>61</v>
      </c>
      <c r="B36" s="127"/>
      <c r="C36" s="127"/>
      <c r="D36" s="127"/>
      <c r="E36" s="127"/>
      <c r="J36" s="17" t="str">
        <f>IF(Tabela!L9="","",Tabela!L9)</f>
        <v/>
      </c>
      <c r="K36" s="128" t="s">
        <v>61</v>
      </c>
      <c r="L36" s="128"/>
      <c r="M36" s="128"/>
      <c r="N36" s="128"/>
      <c r="O36" s="128"/>
    </row>
    <row r="37" spans="1:15" x14ac:dyDescent="0.25">
      <c r="A37" s="20" t="s">
        <v>23</v>
      </c>
      <c r="B37" s="16">
        <v>0</v>
      </c>
      <c r="C37" s="16" t="s">
        <v>53</v>
      </c>
      <c r="D37" s="16">
        <v>1</v>
      </c>
      <c r="E37" s="20" t="s">
        <v>12</v>
      </c>
      <c r="H37" s="16">
        <v>5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20" t="s">
        <v>7</v>
      </c>
      <c r="B38" s="16">
        <v>1</v>
      </c>
      <c r="C38" s="16" t="s">
        <v>53</v>
      </c>
      <c r="D38" s="16">
        <v>0</v>
      </c>
      <c r="E38" s="20" t="s">
        <v>10</v>
      </c>
      <c r="H38" s="16">
        <v>25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20" t="s">
        <v>7</v>
      </c>
      <c r="B39" s="16">
        <v>2</v>
      </c>
      <c r="C39" s="16" t="s">
        <v>53</v>
      </c>
      <c r="D39" s="16">
        <v>0</v>
      </c>
      <c r="E39" s="20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20" t="s">
        <v>12</v>
      </c>
      <c r="B40" s="16">
        <v>1</v>
      </c>
      <c r="C40" s="16" t="s">
        <v>53</v>
      </c>
      <c r="D40" s="16">
        <v>0</v>
      </c>
      <c r="E40" s="20" t="s">
        <v>10</v>
      </c>
      <c r="H40" s="16">
        <v>10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20" t="s">
        <v>12</v>
      </c>
      <c r="B41" s="16">
        <v>0</v>
      </c>
      <c r="C41" s="16" t="s">
        <v>53</v>
      </c>
      <c r="D41" s="16">
        <v>1</v>
      </c>
      <c r="E41" s="20" t="s">
        <v>7</v>
      </c>
      <c r="H41" s="16">
        <v>5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20" t="s">
        <v>10</v>
      </c>
      <c r="B42" s="16">
        <v>1</v>
      </c>
      <c r="C42" s="16" t="s">
        <v>53</v>
      </c>
      <c r="D42" s="16">
        <v>0</v>
      </c>
      <c r="E42" s="20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27" t="s">
        <v>60</v>
      </c>
      <c r="B43" s="127"/>
      <c r="C43" s="127"/>
      <c r="D43" s="127"/>
      <c r="E43" s="127"/>
      <c r="J43" s="17" t="str">
        <f>IF(Tabela!L16="","",Tabela!L16)</f>
        <v/>
      </c>
      <c r="K43" s="128" t="s">
        <v>60</v>
      </c>
      <c r="L43" s="128"/>
      <c r="M43" s="128"/>
      <c r="N43" s="128"/>
      <c r="O43" s="128"/>
    </row>
    <row r="44" spans="1:15" x14ac:dyDescent="0.25">
      <c r="A44" s="20" t="s">
        <v>30</v>
      </c>
      <c r="B44" s="16">
        <v>0</v>
      </c>
      <c r="C44" s="16" t="s">
        <v>53</v>
      </c>
      <c r="D44" s="16">
        <v>0</v>
      </c>
      <c r="E44" s="20" t="s">
        <v>9</v>
      </c>
      <c r="H44" s="16">
        <v>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20" t="s">
        <v>8</v>
      </c>
      <c r="B45" s="16">
        <v>2</v>
      </c>
      <c r="C45" s="16" t="s">
        <v>53</v>
      </c>
      <c r="D45" s="16">
        <v>0</v>
      </c>
      <c r="E45" s="20" t="s">
        <v>29</v>
      </c>
      <c r="H45" s="16">
        <v>25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20" t="s">
        <v>9</v>
      </c>
      <c r="B46" s="16">
        <v>1</v>
      </c>
      <c r="C46" s="16" t="s">
        <v>53</v>
      </c>
      <c r="D46" s="16">
        <v>1</v>
      </c>
      <c r="E46" s="20" t="s">
        <v>29</v>
      </c>
      <c r="H46" s="16">
        <v>10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20" t="s">
        <v>8</v>
      </c>
      <c r="B47" s="16">
        <v>1</v>
      </c>
      <c r="C47" s="16" t="s">
        <v>53</v>
      </c>
      <c r="D47" s="16">
        <v>0</v>
      </c>
      <c r="E47" s="20" t="s">
        <v>30</v>
      </c>
      <c r="H47" s="16">
        <v>25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20" t="s">
        <v>9</v>
      </c>
      <c r="B48" s="16">
        <v>0</v>
      </c>
      <c r="C48" s="16" t="s">
        <v>53</v>
      </c>
      <c r="D48" s="16">
        <v>2</v>
      </c>
      <c r="E48" s="20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20" t="s">
        <v>29</v>
      </c>
      <c r="B49" s="16">
        <v>1</v>
      </c>
      <c r="C49" s="16" t="s">
        <v>53</v>
      </c>
      <c r="D49" s="16">
        <v>2</v>
      </c>
      <c r="E49" s="20" t="s">
        <v>30</v>
      </c>
      <c r="H49" s="16">
        <v>10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27" t="s">
        <v>59</v>
      </c>
      <c r="B50" s="127"/>
      <c r="C50" s="127"/>
      <c r="D50" s="127"/>
      <c r="E50" s="127"/>
      <c r="J50" s="17" t="str">
        <f>IF(Tabela!L23="","",Tabela!L23)</f>
        <v/>
      </c>
      <c r="K50" s="128" t="s">
        <v>59</v>
      </c>
      <c r="L50" s="128"/>
      <c r="M50" s="128"/>
      <c r="N50" s="128"/>
      <c r="O50" s="128"/>
    </row>
    <row r="51" spans="1:15" x14ac:dyDescent="0.25">
      <c r="A51" s="20" t="s">
        <v>32</v>
      </c>
      <c r="B51" s="16">
        <v>2</v>
      </c>
      <c r="C51" s="16" t="s">
        <v>53</v>
      </c>
      <c r="D51" s="16">
        <v>1</v>
      </c>
      <c r="E51" s="20" t="s">
        <v>67</v>
      </c>
      <c r="H51" s="16">
        <v>0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20" t="s">
        <v>27</v>
      </c>
      <c r="B52" s="16">
        <v>2</v>
      </c>
      <c r="C52" s="16" t="s">
        <v>53</v>
      </c>
      <c r="D52" s="16">
        <v>0</v>
      </c>
      <c r="E52" s="20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20" t="s">
        <v>67</v>
      </c>
      <c r="B53" s="16">
        <v>1</v>
      </c>
      <c r="C53" s="16" t="s">
        <v>53</v>
      </c>
      <c r="D53" s="16">
        <v>0</v>
      </c>
      <c r="E53" s="20" t="s">
        <v>18</v>
      </c>
      <c r="H53" s="16">
        <v>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20" t="s">
        <v>27</v>
      </c>
      <c r="B54" s="16">
        <v>2</v>
      </c>
      <c r="C54" s="16" t="s">
        <v>53</v>
      </c>
      <c r="D54" s="16">
        <v>1</v>
      </c>
      <c r="E54" s="20" t="s">
        <v>32</v>
      </c>
      <c r="H54" s="16">
        <v>15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20" t="s">
        <v>67</v>
      </c>
      <c r="B55" s="16">
        <v>1</v>
      </c>
      <c r="C55" s="16" t="s">
        <v>53</v>
      </c>
      <c r="D55" s="16">
        <v>3</v>
      </c>
      <c r="E55" s="20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20" t="s">
        <v>18</v>
      </c>
      <c r="B56" s="16">
        <v>0</v>
      </c>
      <c r="C56" s="16" t="s">
        <v>53</v>
      </c>
      <c r="D56" s="16">
        <v>1</v>
      </c>
      <c r="E56" s="20" t="s">
        <v>32</v>
      </c>
      <c r="H56" s="16">
        <v>15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146" t="s">
        <v>173</v>
      </c>
    </row>
    <row r="58" spans="1:15" x14ac:dyDescent="0.25">
      <c r="A58" s="134" t="str">
        <f>_xlfn.CONCAT(W2,A57)</f>
        <v>Luana - Oitavas de Final</v>
      </c>
      <c r="B58" s="134"/>
      <c r="C58" s="134"/>
      <c r="D58" s="134"/>
      <c r="E58" s="134"/>
      <c r="K58" s="137" t="s">
        <v>171</v>
      </c>
      <c r="L58" s="137"/>
      <c r="M58" s="137"/>
      <c r="N58" s="137"/>
      <c r="O58" s="137"/>
    </row>
    <row r="59" spans="1:15" x14ac:dyDescent="0.25">
      <c r="A59" s="66" t="s">
        <v>19</v>
      </c>
      <c r="B59" s="2">
        <v>2</v>
      </c>
      <c r="C59" s="2" t="s">
        <v>53</v>
      </c>
      <c r="D59" s="2">
        <v>0</v>
      </c>
      <c r="E59" s="65" t="s">
        <v>166</v>
      </c>
      <c r="H59" s="16">
        <v>10</v>
      </c>
      <c r="J59" s="17" t="str">
        <f>IF(Tabela!F32="","",Tabela!F32)</f>
        <v/>
      </c>
      <c r="K59" s="67" t="str">
        <f>Tabela!A32</f>
        <v>Holanda</v>
      </c>
      <c r="L59" s="67">
        <f>Tabela!B32</f>
        <v>3</v>
      </c>
      <c r="M59" s="67" t="str">
        <f>Tabela!C32</f>
        <v>X</v>
      </c>
      <c r="N59" s="67">
        <f>Tabela!D32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1</v>
      </c>
      <c r="E60" s="65" t="s">
        <v>6</v>
      </c>
      <c r="J60" s="17" t="str">
        <f>IF(Tabela!F33="","",Tabela!F33)</f>
        <v>N</v>
      </c>
      <c r="K60" s="67" t="str">
        <f>Tabela!A33</f>
        <v>Argentina</v>
      </c>
      <c r="L60" s="67">
        <f>Tabela!B33</f>
        <v>0</v>
      </c>
      <c r="M60" s="67" t="str">
        <f>Tabela!C33</f>
        <v>X</v>
      </c>
      <c r="N60" s="67">
        <f>Tabela!D33</f>
        <v>0</v>
      </c>
      <c r="O60" s="67" t="str">
        <f>Tabela!E33</f>
        <v>Austrália</v>
      </c>
    </row>
    <row r="61" spans="1:15" x14ac:dyDescent="0.25">
      <c r="A61" s="66" t="s">
        <v>22</v>
      </c>
      <c r="B61" s="2">
        <v>2</v>
      </c>
      <c r="C61" s="2" t="s">
        <v>53</v>
      </c>
      <c r="D61" s="2">
        <v>2</v>
      </c>
      <c r="E61" s="65" t="s">
        <v>12</v>
      </c>
      <c r="J61" s="17" t="str">
        <f>IF(Tabela!F34="","",Tabela!F34)</f>
        <v>N</v>
      </c>
      <c r="K61" s="67" t="str">
        <f>Tabela!A34</f>
        <v>Japão</v>
      </c>
      <c r="L61" s="67">
        <f>Tabela!B34</f>
        <v>0</v>
      </c>
      <c r="M61" s="67" t="str">
        <f>Tabela!C34</f>
        <v>X</v>
      </c>
      <c r="N61" s="67">
        <f>Tabela!D34</f>
        <v>0</v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1</v>
      </c>
      <c r="E62" s="65" t="s">
        <v>167</v>
      </c>
      <c r="J62" s="17" t="str">
        <f>IF(Tabela!F35="","",Tabela!F35)</f>
        <v>N</v>
      </c>
      <c r="K62" s="67" t="str">
        <f>Tabela!A35</f>
        <v>Brasil</v>
      </c>
      <c r="L62" s="67">
        <f>Tabela!B35</f>
        <v>0</v>
      </c>
      <c r="M62" s="67" t="str">
        <f>Tabela!C35</f>
        <v>X</v>
      </c>
      <c r="N62" s="67">
        <f>Tabela!D35</f>
        <v>0</v>
      </c>
      <c r="O62" s="67" t="str">
        <f>Tabela!E35</f>
        <v>Coréia</v>
      </c>
    </row>
    <row r="63" spans="1:15" x14ac:dyDescent="0.25">
      <c r="A63" s="66" t="s">
        <v>20</v>
      </c>
      <c r="B63" s="2">
        <v>2</v>
      </c>
      <c r="C63" s="2" t="s">
        <v>53</v>
      </c>
      <c r="D63" s="2">
        <v>0</v>
      </c>
      <c r="E63" s="65" t="s">
        <v>28</v>
      </c>
      <c r="J63" s="17" t="str">
        <f>IF(Tabela!F36="","",Tabela!F36)</f>
        <v>N</v>
      </c>
      <c r="K63" s="67" t="str">
        <f>Tabela!A36</f>
        <v>Inglaterra</v>
      </c>
      <c r="L63" s="67">
        <f>Tabela!B36</f>
        <v>0</v>
      </c>
      <c r="M63" s="67" t="str">
        <f>Tabela!C36</f>
        <v>X</v>
      </c>
      <c r="N63" s="67">
        <f>Tabela!D36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2</v>
      </c>
      <c r="C64" s="2" t="s">
        <v>53</v>
      </c>
      <c r="D64" s="2">
        <v>0</v>
      </c>
      <c r="E64" s="65" t="s">
        <v>26</v>
      </c>
      <c r="J64" s="17" t="str">
        <f>IF(Tabela!F37="","",Tabela!F37)</f>
        <v>N</v>
      </c>
      <c r="K64" s="67" t="str">
        <f>Tabela!A37</f>
        <v>França</v>
      </c>
      <c r="L64" s="67">
        <f>Tabela!B37</f>
        <v>0</v>
      </c>
      <c r="M64" s="67" t="str">
        <f>Tabela!C37</f>
        <v>X</v>
      </c>
      <c r="N64" s="67">
        <f>Tabela!D37</f>
        <v>0</v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0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7">
        <f>Tabela!B38</f>
        <v>0</v>
      </c>
      <c r="M65" s="67" t="str">
        <f>Tabela!C38</f>
        <v>X</v>
      </c>
      <c r="N65" s="67">
        <f>Tabela!D38</f>
        <v>0</v>
      </c>
      <c r="O65" s="67" t="str">
        <f>Tabela!E38</f>
        <v>Espanha</v>
      </c>
    </row>
    <row r="66" spans="1:15" x14ac:dyDescent="0.25">
      <c r="A66" s="66" t="s">
        <v>27</v>
      </c>
      <c r="B66" s="2">
        <v>0</v>
      </c>
      <c r="C66" s="2" t="s">
        <v>53</v>
      </c>
      <c r="D66" s="2">
        <v>0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7">
        <f>Tabela!B39</f>
        <v>0</v>
      </c>
      <c r="M66" s="67" t="str">
        <f>Tabela!C39</f>
        <v>X</v>
      </c>
      <c r="N66" s="67">
        <f>Tabela!D39</f>
        <v>0</v>
      </c>
      <c r="O66" s="67" t="str">
        <f>Tabela!E39</f>
        <v>Suíça</v>
      </c>
    </row>
  </sheetData>
  <mergeCells count="70">
    <mergeCell ref="A58:E58"/>
    <mergeCell ref="K58:O58"/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1:E1"/>
    <mergeCell ref="A8:E8"/>
    <mergeCell ref="A15:E15"/>
    <mergeCell ref="A22:E22"/>
    <mergeCell ref="A29:E29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27:R27"/>
    <mergeCell ref="S27:T27"/>
    <mergeCell ref="U27:V27"/>
    <mergeCell ref="Q28:R28"/>
    <mergeCell ref="S28:T28"/>
    <mergeCell ref="U28:V28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3972C9-B65E-420C-8C89-00E0AD8CC727}">
  <sheetPr codeName="Planilha11">
    <tabColor rgb="FF0070C0"/>
  </sheetPr>
  <dimension ref="A1:AE66"/>
  <sheetViews>
    <sheetView zoomScale="85" zoomScaleNormal="85" workbookViewId="0">
      <pane xSplit="15" ySplit="16" topLeftCell="P18" activePane="bottomRight" state="frozen"/>
      <selection pane="topRight" activeCell="P1" sqref="P1"/>
      <selection pane="bottomLeft" activeCell="A17" sqref="A17"/>
      <selection pane="bottomRight" activeCell="Q25" sqref="Q25:U25"/>
    </sheetView>
  </sheetViews>
  <sheetFormatPr defaultRowHeight="15" x14ac:dyDescent="0.25"/>
  <cols>
    <col min="1" max="1" width="17.7109375" style="17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7" width="5.7109375" style="17" customWidth="1"/>
    <col min="38" max="16384" width="9.140625" style="17"/>
  </cols>
  <sheetData>
    <row r="1" spans="1:31" x14ac:dyDescent="0.25">
      <c r="A1" s="127" t="s">
        <v>58</v>
      </c>
      <c r="B1" s="127"/>
      <c r="C1" s="127"/>
      <c r="D1" s="127"/>
      <c r="E1" s="127"/>
      <c r="K1" s="128" t="s">
        <v>58</v>
      </c>
      <c r="L1" s="128"/>
      <c r="M1" s="128"/>
      <c r="N1" s="128"/>
      <c r="O1" s="128"/>
    </row>
    <row r="2" spans="1:31" x14ac:dyDescent="0.25">
      <c r="A2" s="17" t="s">
        <v>11</v>
      </c>
      <c r="B2" s="16">
        <v>2</v>
      </c>
      <c r="C2" s="16" t="s">
        <v>53</v>
      </c>
      <c r="D2" s="16">
        <v>2</v>
      </c>
      <c r="E2" s="17" t="s">
        <v>14</v>
      </c>
      <c r="H2" s="16">
        <v>5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31" t="s">
        <v>76</v>
      </c>
      <c r="X2" s="131"/>
      <c r="Y2" s="131"/>
      <c r="Z2" s="131"/>
      <c r="AA2" s="131"/>
      <c r="AB2" s="131"/>
      <c r="AC2" s="131"/>
      <c r="AD2" s="131"/>
      <c r="AE2" s="131"/>
    </row>
    <row r="3" spans="1:31" x14ac:dyDescent="0.25">
      <c r="A3" s="17" t="s">
        <v>28</v>
      </c>
      <c r="B3" s="16">
        <v>1</v>
      </c>
      <c r="C3" s="16" t="s">
        <v>53</v>
      </c>
      <c r="D3" s="16">
        <v>2</v>
      </c>
      <c r="E3" s="17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31"/>
      <c r="X3" s="131"/>
      <c r="Y3" s="131"/>
      <c r="Z3" s="131"/>
      <c r="AA3" s="131"/>
      <c r="AB3" s="131"/>
      <c r="AC3" s="131"/>
      <c r="AD3" s="131"/>
      <c r="AE3" s="131"/>
    </row>
    <row r="4" spans="1:31" x14ac:dyDescent="0.25">
      <c r="A4" s="17" t="s">
        <v>11</v>
      </c>
      <c r="B4" s="16">
        <v>1</v>
      </c>
      <c r="C4" s="16" t="s">
        <v>53</v>
      </c>
      <c r="D4" s="16">
        <v>3</v>
      </c>
      <c r="E4" s="17" t="s">
        <v>28</v>
      </c>
      <c r="H4" s="16">
        <v>25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31"/>
      <c r="X4" s="131"/>
      <c r="Y4" s="131"/>
      <c r="Z4" s="131"/>
      <c r="AA4" s="131"/>
      <c r="AB4" s="131"/>
      <c r="AC4" s="131"/>
      <c r="AD4" s="131"/>
      <c r="AE4" s="131"/>
    </row>
    <row r="5" spans="1:31" x14ac:dyDescent="0.25">
      <c r="A5" s="17" t="s">
        <v>19</v>
      </c>
      <c r="B5" s="16">
        <v>3</v>
      </c>
      <c r="C5" s="16" t="s">
        <v>53</v>
      </c>
      <c r="D5" s="16">
        <v>2</v>
      </c>
      <c r="E5" s="17" t="s">
        <v>14</v>
      </c>
      <c r="H5" s="16">
        <v>0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31"/>
      <c r="X5" s="131"/>
      <c r="Y5" s="131"/>
      <c r="Z5" s="131"/>
      <c r="AA5" s="131"/>
      <c r="AB5" s="131"/>
      <c r="AC5" s="131"/>
      <c r="AD5" s="131"/>
      <c r="AE5" s="131"/>
    </row>
    <row r="6" spans="1:31" x14ac:dyDescent="0.25">
      <c r="A6" s="17" t="s">
        <v>19</v>
      </c>
      <c r="B6" s="16">
        <v>2</v>
      </c>
      <c r="C6" s="16" t="s">
        <v>53</v>
      </c>
      <c r="D6" s="16">
        <v>0</v>
      </c>
      <c r="E6" s="17" t="s">
        <v>11</v>
      </c>
      <c r="H6" s="16">
        <v>25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31"/>
      <c r="X6" s="131"/>
      <c r="Y6" s="131"/>
      <c r="Z6" s="131"/>
      <c r="AA6" s="131"/>
      <c r="AB6" s="131"/>
      <c r="AC6" s="131"/>
      <c r="AD6" s="131"/>
      <c r="AE6" s="131"/>
    </row>
    <row r="7" spans="1:31" x14ac:dyDescent="0.25">
      <c r="A7" s="17" t="s">
        <v>14</v>
      </c>
      <c r="B7" s="16">
        <v>1</v>
      </c>
      <c r="C7" s="16" t="s">
        <v>53</v>
      </c>
      <c r="D7" s="16">
        <v>2</v>
      </c>
      <c r="E7" s="17" t="s">
        <v>28</v>
      </c>
      <c r="H7" s="16">
        <v>25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27" t="s">
        <v>65</v>
      </c>
      <c r="B8" s="127"/>
      <c r="C8" s="127"/>
      <c r="D8" s="127"/>
      <c r="E8" s="127"/>
      <c r="J8" s="17" t="str">
        <f>IF(Tabela!F9="","",Tabela!F9)</f>
        <v/>
      </c>
      <c r="K8" s="128" t="s">
        <v>65</v>
      </c>
      <c r="L8" s="128"/>
      <c r="M8" s="128"/>
      <c r="N8" s="128"/>
      <c r="O8" s="128"/>
    </row>
    <row r="9" spans="1:31" x14ac:dyDescent="0.25">
      <c r="A9" s="17" t="s">
        <v>20</v>
      </c>
      <c r="B9" s="16">
        <v>3</v>
      </c>
      <c r="C9" s="16" t="s">
        <v>53</v>
      </c>
      <c r="D9" s="16">
        <v>0</v>
      </c>
      <c r="E9" s="17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29" t="s">
        <v>66</v>
      </c>
      <c r="R9" s="129"/>
      <c r="S9" s="129"/>
      <c r="T9" s="129"/>
      <c r="U9" s="129"/>
      <c r="W9" s="68" t="s">
        <v>124</v>
      </c>
      <c r="X9" s="68"/>
      <c r="Y9" s="68"/>
      <c r="Z9" s="68"/>
      <c r="AA9" s="68"/>
      <c r="AB9" s="68"/>
      <c r="AC9" s="68"/>
      <c r="AD9" s="68"/>
      <c r="AE9" s="68"/>
    </row>
    <row r="10" spans="1:31" x14ac:dyDescent="0.25">
      <c r="A10" s="17" t="s">
        <v>54</v>
      </c>
      <c r="B10" s="16">
        <v>2</v>
      </c>
      <c r="C10" s="16" t="s">
        <v>53</v>
      </c>
      <c r="D10" s="16">
        <v>0</v>
      </c>
      <c r="E10" s="17" t="s">
        <v>34</v>
      </c>
      <c r="H10" s="16">
        <v>0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29"/>
      <c r="R10" s="129"/>
      <c r="S10" s="129"/>
      <c r="T10" s="129"/>
      <c r="U10" s="129"/>
      <c r="W10" s="68" t="s">
        <v>11</v>
      </c>
      <c r="X10" s="68"/>
      <c r="Y10" s="68"/>
      <c r="Z10" s="54">
        <v>1</v>
      </c>
      <c r="AB10" s="54">
        <v>3</v>
      </c>
      <c r="AC10" s="68" t="s">
        <v>28</v>
      </c>
      <c r="AD10" s="68"/>
      <c r="AE10" s="68"/>
    </row>
    <row r="11" spans="1:31" x14ac:dyDescent="0.25">
      <c r="A11" s="17" t="s">
        <v>34</v>
      </c>
      <c r="B11" s="16">
        <v>1</v>
      </c>
      <c r="C11" s="16" t="s">
        <v>53</v>
      </c>
      <c r="D11" s="16">
        <v>2</v>
      </c>
      <c r="E11" s="17" t="s">
        <v>21</v>
      </c>
      <c r="H11" s="16">
        <v>15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30">
        <f>SUM(H2:H66)</f>
        <v>415</v>
      </c>
      <c r="R11" s="130"/>
      <c r="S11" s="130"/>
      <c r="T11" s="130"/>
      <c r="U11" s="130"/>
      <c r="W11" s="68" t="s">
        <v>19</v>
      </c>
      <c r="X11" s="68"/>
      <c r="Y11" s="68"/>
      <c r="Z11" s="54">
        <v>2</v>
      </c>
      <c r="AB11" s="54">
        <v>0</v>
      </c>
      <c r="AC11" s="68" t="s">
        <v>11</v>
      </c>
      <c r="AD11" s="68"/>
      <c r="AE11" s="68"/>
    </row>
    <row r="12" spans="1:31" x14ac:dyDescent="0.25">
      <c r="A12" s="17" t="s">
        <v>20</v>
      </c>
      <c r="B12" s="16">
        <v>2</v>
      </c>
      <c r="C12" s="16" t="s">
        <v>53</v>
      </c>
      <c r="D12" s="16">
        <v>2</v>
      </c>
      <c r="E12" s="17" t="s">
        <v>54</v>
      </c>
      <c r="H12" s="16">
        <v>10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30"/>
      <c r="R12" s="130"/>
      <c r="S12" s="130"/>
      <c r="T12" s="130"/>
      <c r="U12" s="130"/>
      <c r="W12" s="68" t="s">
        <v>14</v>
      </c>
      <c r="X12" s="68"/>
      <c r="Y12" s="68"/>
      <c r="Z12" s="54">
        <v>1</v>
      </c>
      <c r="AB12" s="54">
        <v>2</v>
      </c>
      <c r="AC12" s="68" t="s">
        <v>28</v>
      </c>
      <c r="AD12" s="68"/>
      <c r="AE12" s="68"/>
    </row>
    <row r="13" spans="1:31" x14ac:dyDescent="0.25">
      <c r="A13" s="17" t="s">
        <v>21</v>
      </c>
      <c r="B13" s="16">
        <v>1</v>
      </c>
      <c r="C13" s="16" t="s">
        <v>53</v>
      </c>
      <c r="D13" s="16">
        <v>2</v>
      </c>
      <c r="E13" s="17" t="s">
        <v>54</v>
      </c>
      <c r="H13" s="16">
        <v>10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30"/>
      <c r="R13" s="130"/>
      <c r="S13" s="130"/>
      <c r="T13" s="130"/>
      <c r="U13" s="130"/>
      <c r="W13" s="68" t="s">
        <v>26</v>
      </c>
      <c r="X13" s="68"/>
      <c r="Y13" s="68"/>
      <c r="Z13" s="54">
        <v>2</v>
      </c>
      <c r="AB13" s="54">
        <v>0</v>
      </c>
      <c r="AC13" s="68" t="s">
        <v>55</v>
      </c>
      <c r="AD13" s="68"/>
      <c r="AE13" s="68"/>
    </row>
    <row r="14" spans="1:31" x14ac:dyDescent="0.25">
      <c r="A14" s="17" t="s">
        <v>34</v>
      </c>
      <c r="B14" s="16">
        <v>1</v>
      </c>
      <c r="C14" s="16" t="s">
        <v>53</v>
      </c>
      <c r="D14" s="16">
        <v>3</v>
      </c>
      <c r="E14" s="17" t="s">
        <v>20</v>
      </c>
      <c r="H14" s="16">
        <v>15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30"/>
      <c r="R14" s="130"/>
      <c r="S14" s="130"/>
      <c r="T14" s="130"/>
      <c r="U14" s="130"/>
      <c r="W14" s="68" t="s">
        <v>30</v>
      </c>
      <c r="X14" s="68"/>
      <c r="Y14" s="68"/>
      <c r="Z14" s="54">
        <v>1</v>
      </c>
      <c r="AB14" s="54">
        <v>0</v>
      </c>
      <c r="AC14" s="68" t="s">
        <v>9</v>
      </c>
      <c r="AD14" s="68"/>
      <c r="AE14" s="68"/>
    </row>
    <row r="15" spans="1:31" x14ac:dyDescent="0.25">
      <c r="A15" s="127" t="s">
        <v>64</v>
      </c>
      <c r="B15" s="127"/>
      <c r="C15" s="127"/>
      <c r="D15" s="127"/>
      <c r="E15" s="127"/>
      <c r="J15" s="17" t="str">
        <f>IF(Tabela!F16="","",Tabela!F16)</f>
        <v/>
      </c>
      <c r="K15" s="128" t="s">
        <v>64</v>
      </c>
      <c r="L15" s="128"/>
      <c r="M15" s="128"/>
      <c r="N15" s="128"/>
      <c r="O15" s="128"/>
      <c r="Q15" s="130"/>
      <c r="R15" s="130"/>
      <c r="S15" s="130"/>
      <c r="T15" s="130"/>
      <c r="U15" s="130"/>
      <c r="W15" s="68" t="s">
        <v>8</v>
      </c>
      <c r="X15" s="68"/>
      <c r="Y15" s="68"/>
      <c r="Z15" s="54">
        <v>2</v>
      </c>
      <c r="AB15" s="54">
        <v>0</v>
      </c>
      <c r="AC15" s="68" t="s">
        <v>29</v>
      </c>
      <c r="AD15" s="68"/>
      <c r="AE15" s="68"/>
    </row>
    <row r="16" spans="1:31" x14ac:dyDescent="0.25">
      <c r="A16" s="17" t="s">
        <v>5</v>
      </c>
      <c r="B16" s="16">
        <v>3</v>
      </c>
      <c r="C16" s="16" t="s">
        <v>53</v>
      </c>
      <c r="D16" s="16">
        <v>0</v>
      </c>
      <c r="E16" s="17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68"/>
      <c r="X16" s="68"/>
      <c r="Y16" s="68"/>
      <c r="AC16" s="68"/>
      <c r="AD16" s="68"/>
      <c r="AE16" s="68"/>
    </row>
    <row r="17" spans="1:31" x14ac:dyDescent="0.25">
      <c r="A17" s="17" t="s">
        <v>24</v>
      </c>
      <c r="B17" s="16">
        <v>1</v>
      </c>
      <c r="C17" s="16" t="s">
        <v>53</v>
      </c>
      <c r="D17" s="16">
        <v>1</v>
      </c>
      <c r="E17" s="17" t="s">
        <v>26</v>
      </c>
      <c r="H17" s="16">
        <v>10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68"/>
      <c r="X17" s="68"/>
      <c r="Y17" s="68"/>
      <c r="AC17" s="68"/>
      <c r="AD17" s="68"/>
      <c r="AE17" s="68"/>
    </row>
    <row r="18" spans="1:31" x14ac:dyDescent="0.25">
      <c r="A18" s="17" t="s">
        <v>26</v>
      </c>
      <c r="B18" s="16">
        <v>2</v>
      </c>
      <c r="C18" s="16" t="s">
        <v>53</v>
      </c>
      <c r="D18" s="16">
        <v>0</v>
      </c>
      <c r="E18" s="17" t="s">
        <v>55</v>
      </c>
      <c r="H18" s="16">
        <v>25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W18" s="68"/>
      <c r="X18" s="68"/>
      <c r="Y18" s="68"/>
      <c r="AC18" s="68"/>
      <c r="AD18" s="68"/>
      <c r="AE18" s="68"/>
    </row>
    <row r="19" spans="1:31" x14ac:dyDescent="0.25">
      <c r="A19" s="17" t="s">
        <v>5</v>
      </c>
      <c r="B19" s="16">
        <v>2</v>
      </c>
      <c r="C19" s="16" t="s">
        <v>53</v>
      </c>
      <c r="D19" s="16">
        <v>2</v>
      </c>
      <c r="E19" s="17" t="s">
        <v>24</v>
      </c>
      <c r="H19" s="16">
        <v>5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W19" s="68"/>
      <c r="X19" s="68"/>
      <c r="Y19" s="68"/>
      <c r="AC19" s="68"/>
      <c r="AD19" s="68"/>
      <c r="AE19" s="68"/>
    </row>
    <row r="20" spans="1:31" x14ac:dyDescent="0.25">
      <c r="A20" s="17" t="s">
        <v>26</v>
      </c>
      <c r="B20" s="16">
        <v>0</v>
      </c>
      <c r="C20" s="16" t="s">
        <v>53</v>
      </c>
      <c r="D20" s="16">
        <v>1</v>
      </c>
      <c r="E20" s="17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68"/>
      <c r="X20" s="68"/>
      <c r="Y20" s="68"/>
      <c r="AC20" s="68"/>
      <c r="AD20" s="68"/>
      <c r="AE20" s="68"/>
    </row>
    <row r="21" spans="1:31" x14ac:dyDescent="0.25">
      <c r="A21" s="17" t="s">
        <v>55</v>
      </c>
      <c r="B21" s="16">
        <v>1</v>
      </c>
      <c r="C21" s="16" t="s">
        <v>53</v>
      </c>
      <c r="D21" s="16">
        <v>3</v>
      </c>
      <c r="E21" s="17" t="s">
        <v>24</v>
      </c>
      <c r="H21" s="16">
        <v>15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W21" s="68"/>
      <c r="X21" s="68"/>
      <c r="Y21" s="68"/>
      <c r="AC21" s="68"/>
      <c r="AD21" s="68"/>
      <c r="AE21" s="68"/>
    </row>
    <row r="22" spans="1:31" x14ac:dyDescent="0.25">
      <c r="A22" s="127" t="s">
        <v>63</v>
      </c>
      <c r="B22" s="127"/>
      <c r="C22" s="127"/>
      <c r="D22" s="127"/>
      <c r="E22" s="127"/>
      <c r="J22" s="17" t="str">
        <f>IF(Tabela!F23="","",Tabela!F23)</f>
        <v/>
      </c>
      <c r="K22" s="128" t="s">
        <v>63</v>
      </c>
      <c r="L22" s="128"/>
      <c r="M22" s="128"/>
      <c r="N22" s="128"/>
      <c r="O22" s="128"/>
      <c r="W22" s="68"/>
      <c r="X22" s="68"/>
      <c r="Y22" s="68"/>
      <c r="AC22" s="68"/>
      <c r="AD22" s="68"/>
      <c r="AE22" s="68"/>
    </row>
    <row r="23" spans="1:31" x14ac:dyDescent="0.25">
      <c r="A23" s="17" t="s">
        <v>13</v>
      </c>
      <c r="B23" s="16">
        <v>2</v>
      </c>
      <c r="C23" s="16" t="s">
        <v>53</v>
      </c>
      <c r="D23" s="16">
        <v>1</v>
      </c>
      <c r="E23" s="17" t="s">
        <v>31</v>
      </c>
      <c r="H23" s="16">
        <v>0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68"/>
      <c r="X23" s="68"/>
      <c r="Y23" s="68"/>
      <c r="AC23" s="68"/>
      <c r="AD23" s="68"/>
      <c r="AE23" s="68"/>
    </row>
    <row r="24" spans="1:31" x14ac:dyDescent="0.25">
      <c r="A24" s="17" t="s">
        <v>17</v>
      </c>
      <c r="B24" s="16">
        <v>3</v>
      </c>
      <c r="C24" s="16" t="s">
        <v>53</v>
      </c>
      <c r="D24" s="16">
        <v>1</v>
      </c>
      <c r="E24" s="17" t="s">
        <v>6</v>
      </c>
      <c r="H24" s="16">
        <v>15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Q24" s="17">
        <v>25</v>
      </c>
      <c r="R24" s="17">
        <v>15</v>
      </c>
      <c r="S24" s="17">
        <v>10</v>
      </c>
      <c r="T24" s="17">
        <v>5</v>
      </c>
      <c r="U24" s="17">
        <v>0</v>
      </c>
      <c r="W24" s="68"/>
      <c r="X24" s="68"/>
      <c r="Y24" s="68"/>
      <c r="AC24" s="68"/>
      <c r="AD24" s="68"/>
      <c r="AE24" s="68"/>
    </row>
    <row r="25" spans="1:31" x14ac:dyDescent="0.25">
      <c r="A25" s="17" t="s">
        <v>31</v>
      </c>
      <c r="B25" s="16">
        <v>2</v>
      </c>
      <c r="C25" s="16" t="s">
        <v>53</v>
      </c>
      <c r="D25" s="16">
        <v>2</v>
      </c>
      <c r="E25" s="17" t="s">
        <v>6</v>
      </c>
      <c r="H25" s="16">
        <v>0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Q25" s="22">
        <v>6</v>
      </c>
      <c r="R25" s="22">
        <v>10</v>
      </c>
      <c r="S25" s="22">
        <v>8</v>
      </c>
      <c r="T25" s="22">
        <v>7</v>
      </c>
      <c r="U25" s="22">
        <v>18</v>
      </c>
      <c r="W25" s="68"/>
      <c r="X25" s="68"/>
      <c r="Y25" s="68"/>
      <c r="AC25" s="68"/>
      <c r="AD25" s="68"/>
      <c r="AE25" s="68"/>
    </row>
    <row r="26" spans="1:31" x14ac:dyDescent="0.25">
      <c r="A26" s="17" t="s">
        <v>17</v>
      </c>
      <c r="B26" s="16">
        <v>2</v>
      </c>
      <c r="C26" s="16" t="s">
        <v>53</v>
      </c>
      <c r="D26" s="16">
        <v>0</v>
      </c>
      <c r="E26" s="17" t="s">
        <v>13</v>
      </c>
      <c r="H26" s="16">
        <v>15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68"/>
      <c r="X26" s="68"/>
      <c r="Y26" s="68"/>
      <c r="AC26" s="68"/>
      <c r="AD26" s="68"/>
      <c r="AE26" s="68"/>
    </row>
    <row r="27" spans="1:31" x14ac:dyDescent="0.25">
      <c r="A27" s="17" t="s">
        <v>31</v>
      </c>
      <c r="B27" s="16">
        <v>1</v>
      </c>
      <c r="C27" s="16" t="s">
        <v>53</v>
      </c>
      <c r="D27" s="16">
        <v>3</v>
      </c>
      <c r="E27" s="17" t="s">
        <v>17</v>
      </c>
      <c r="H27" s="16">
        <v>5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Q27" s="124" t="s">
        <v>42</v>
      </c>
      <c r="R27" s="124"/>
      <c r="S27" s="125" t="s">
        <v>8</v>
      </c>
      <c r="T27" s="125"/>
      <c r="U27" s="125" t="s">
        <v>5</v>
      </c>
      <c r="V27" s="125"/>
      <c r="W27" s="68"/>
      <c r="X27" s="68"/>
      <c r="Y27" s="68"/>
      <c r="AC27" s="68"/>
      <c r="AD27" s="68"/>
      <c r="AE27" s="68"/>
    </row>
    <row r="28" spans="1:31" x14ac:dyDescent="0.25">
      <c r="A28" s="17" t="s">
        <v>6</v>
      </c>
      <c r="B28" s="16">
        <v>2</v>
      </c>
      <c r="C28" s="16" t="s">
        <v>53</v>
      </c>
      <c r="D28" s="16">
        <v>2</v>
      </c>
      <c r="E28" s="17" t="s">
        <v>13</v>
      </c>
      <c r="H28" s="16">
        <v>0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Q28" s="124" t="s">
        <v>41</v>
      </c>
      <c r="R28" s="124"/>
      <c r="S28" s="126" t="s">
        <v>134</v>
      </c>
      <c r="T28" s="126"/>
      <c r="U28" s="126" t="s">
        <v>130</v>
      </c>
      <c r="V28" s="126"/>
      <c r="W28" s="68"/>
      <c r="X28" s="68"/>
      <c r="Y28" s="68"/>
      <c r="AC28" s="68"/>
      <c r="AD28" s="68"/>
      <c r="AE28" s="68"/>
    </row>
    <row r="29" spans="1:31" x14ac:dyDescent="0.25">
      <c r="A29" s="127" t="s">
        <v>62</v>
      </c>
      <c r="B29" s="127"/>
      <c r="C29" s="127"/>
      <c r="D29" s="127"/>
      <c r="E29" s="127"/>
      <c r="K29" s="128" t="s">
        <v>62</v>
      </c>
      <c r="L29" s="128"/>
      <c r="M29" s="128"/>
      <c r="N29" s="128"/>
      <c r="O29" s="128"/>
      <c r="W29" s="68"/>
      <c r="X29" s="68"/>
      <c r="Y29" s="68"/>
      <c r="AC29" s="68"/>
      <c r="AD29" s="68"/>
      <c r="AE29" s="68"/>
    </row>
    <row r="30" spans="1:31" x14ac:dyDescent="0.25">
      <c r="A30" s="17" t="s">
        <v>4</v>
      </c>
      <c r="B30" s="16">
        <v>3</v>
      </c>
      <c r="C30" s="16" t="s">
        <v>53</v>
      </c>
      <c r="D30" s="16">
        <v>1</v>
      </c>
      <c r="E30" s="17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68"/>
      <c r="X30" s="68"/>
      <c r="Y30" s="68"/>
      <c r="AC30" s="68"/>
      <c r="AD30" s="68"/>
      <c r="AE30" s="68"/>
    </row>
    <row r="31" spans="1:31" x14ac:dyDescent="0.25">
      <c r="A31" s="17" t="s">
        <v>15</v>
      </c>
      <c r="B31" s="16">
        <v>2</v>
      </c>
      <c r="C31" s="16" t="s">
        <v>53</v>
      </c>
      <c r="D31" s="16">
        <v>0</v>
      </c>
      <c r="E31" s="17" t="s">
        <v>56</v>
      </c>
      <c r="H31" s="16">
        <v>15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7" t="s">
        <v>22</v>
      </c>
      <c r="B32" s="16">
        <v>1</v>
      </c>
      <c r="C32" s="16" t="s">
        <v>53</v>
      </c>
      <c r="D32" s="16">
        <v>0</v>
      </c>
      <c r="E32" s="17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7" t="s">
        <v>15</v>
      </c>
      <c r="B33" s="16">
        <v>2</v>
      </c>
      <c r="C33" s="16" t="s">
        <v>53</v>
      </c>
      <c r="D33" s="16">
        <v>3</v>
      </c>
      <c r="E33" s="17" t="s">
        <v>4</v>
      </c>
      <c r="H33" s="16">
        <v>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7" t="s">
        <v>22</v>
      </c>
      <c r="B34" s="16">
        <v>1</v>
      </c>
      <c r="C34" s="16" t="s">
        <v>53</v>
      </c>
      <c r="D34" s="16">
        <v>2</v>
      </c>
      <c r="E34" s="17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7" t="s">
        <v>56</v>
      </c>
      <c r="B35" s="16">
        <v>0</v>
      </c>
      <c r="C35" s="16" t="s">
        <v>53</v>
      </c>
      <c r="D35" s="16">
        <v>2</v>
      </c>
      <c r="E35" s="17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27" t="s">
        <v>61</v>
      </c>
      <c r="B36" s="127"/>
      <c r="C36" s="127"/>
      <c r="D36" s="127"/>
      <c r="E36" s="127"/>
      <c r="J36" s="17" t="str">
        <f>IF(Tabela!L9="","",Tabela!L9)</f>
        <v/>
      </c>
      <c r="K36" s="128" t="s">
        <v>61</v>
      </c>
      <c r="L36" s="128"/>
      <c r="M36" s="128"/>
      <c r="N36" s="128"/>
      <c r="O36" s="128"/>
    </row>
    <row r="37" spans="1:15" x14ac:dyDescent="0.25">
      <c r="A37" s="17" t="s">
        <v>23</v>
      </c>
      <c r="B37" s="16">
        <v>1</v>
      </c>
      <c r="C37" s="16" t="s">
        <v>53</v>
      </c>
      <c r="D37" s="16">
        <v>3</v>
      </c>
      <c r="E37" s="17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7" t="s">
        <v>7</v>
      </c>
      <c r="B38" s="16">
        <v>2</v>
      </c>
      <c r="C38" s="16" t="s">
        <v>53</v>
      </c>
      <c r="D38" s="16">
        <v>1</v>
      </c>
      <c r="E38" s="17" t="s">
        <v>10</v>
      </c>
      <c r="H38" s="16">
        <v>10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7" t="s">
        <v>7</v>
      </c>
      <c r="B39" s="16">
        <v>2</v>
      </c>
      <c r="C39" s="16" t="s">
        <v>53</v>
      </c>
      <c r="D39" s="16">
        <v>1</v>
      </c>
      <c r="E39" s="17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7" t="s">
        <v>12</v>
      </c>
      <c r="B40" s="16">
        <v>3</v>
      </c>
      <c r="C40" s="16" t="s">
        <v>53</v>
      </c>
      <c r="D40" s="16">
        <v>2</v>
      </c>
      <c r="E40" s="17" t="s">
        <v>10</v>
      </c>
      <c r="H40" s="16">
        <v>10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7" t="s">
        <v>12</v>
      </c>
      <c r="B41" s="16">
        <v>2</v>
      </c>
      <c r="C41" s="16" t="s">
        <v>53</v>
      </c>
      <c r="D41" s="16">
        <v>3</v>
      </c>
      <c r="E41" s="17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7" t="s">
        <v>10</v>
      </c>
      <c r="B42" s="16">
        <v>2</v>
      </c>
      <c r="C42" s="16" t="s">
        <v>53</v>
      </c>
      <c r="D42" s="16">
        <v>0</v>
      </c>
      <c r="E42" s="17" t="s">
        <v>23</v>
      </c>
      <c r="H42" s="16">
        <v>0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27" t="s">
        <v>60</v>
      </c>
      <c r="B43" s="127"/>
      <c r="C43" s="127"/>
      <c r="D43" s="127"/>
      <c r="E43" s="127"/>
      <c r="J43" s="17" t="str">
        <f>IF(Tabela!L16="","",Tabela!L16)</f>
        <v/>
      </c>
      <c r="K43" s="128" t="s">
        <v>60</v>
      </c>
      <c r="L43" s="128"/>
      <c r="M43" s="128"/>
      <c r="N43" s="128"/>
      <c r="O43" s="128"/>
    </row>
    <row r="44" spans="1:15" x14ac:dyDescent="0.25">
      <c r="A44" s="17" t="s">
        <v>30</v>
      </c>
      <c r="B44" s="16">
        <v>1</v>
      </c>
      <c r="C44" s="16" t="s">
        <v>53</v>
      </c>
      <c r="D44" s="16">
        <v>0</v>
      </c>
      <c r="E44" s="17" t="s">
        <v>9</v>
      </c>
      <c r="H44" s="16">
        <v>25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7" t="s">
        <v>8</v>
      </c>
      <c r="B45" s="16">
        <v>2</v>
      </c>
      <c r="C45" s="16" t="s">
        <v>53</v>
      </c>
      <c r="D45" s="16">
        <v>0</v>
      </c>
      <c r="E45" s="17" t="s">
        <v>29</v>
      </c>
      <c r="H45" s="16">
        <v>25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7" t="s">
        <v>9</v>
      </c>
      <c r="B46" s="16">
        <v>1</v>
      </c>
      <c r="C46" s="16" t="s">
        <v>53</v>
      </c>
      <c r="D46" s="16">
        <v>3</v>
      </c>
      <c r="E46" s="17" t="s">
        <v>29</v>
      </c>
      <c r="H46" s="16">
        <v>5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7" t="s">
        <v>8</v>
      </c>
      <c r="B47" s="16">
        <v>3</v>
      </c>
      <c r="C47" s="16" t="s">
        <v>53</v>
      </c>
      <c r="D47" s="16">
        <v>0</v>
      </c>
      <c r="E47" s="17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7" t="s">
        <v>9</v>
      </c>
      <c r="B48" s="16">
        <v>1</v>
      </c>
      <c r="C48" s="16" t="s">
        <v>53</v>
      </c>
      <c r="D48" s="16">
        <v>4</v>
      </c>
      <c r="E48" s="17" t="s">
        <v>8</v>
      </c>
      <c r="H48" s="16">
        <v>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7" t="s">
        <v>29</v>
      </c>
      <c r="B49" s="16">
        <v>1</v>
      </c>
      <c r="C49" s="16" t="s">
        <v>53</v>
      </c>
      <c r="D49" s="16">
        <v>1</v>
      </c>
      <c r="E49" s="17" t="s">
        <v>30</v>
      </c>
      <c r="H49" s="16">
        <v>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27" t="s">
        <v>59</v>
      </c>
      <c r="B50" s="127"/>
      <c r="C50" s="127"/>
      <c r="D50" s="127"/>
      <c r="E50" s="127"/>
      <c r="J50" s="17" t="str">
        <f>IF(Tabela!L23="","",Tabela!L23)</f>
        <v/>
      </c>
      <c r="K50" s="128" t="s">
        <v>59</v>
      </c>
      <c r="L50" s="128"/>
      <c r="M50" s="128"/>
      <c r="N50" s="128"/>
      <c r="O50" s="128"/>
    </row>
    <row r="51" spans="1:15" x14ac:dyDescent="0.25">
      <c r="A51" s="17" t="s">
        <v>32</v>
      </c>
      <c r="B51" s="16">
        <v>3</v>
      </c>
      <c r="C51" s="16" t="s">
        <v>53</v>
      </c>
      <c r="D51" s="16">
        <v>1</v>
      </c>
      <c r="E51" s="17" t="s">
        <v>67</v>
      </c>
      <c r="H51" s="16">
        <v>0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7" t="s">
        <v>27</v>
      </c>
      <c r="B52" s="16">
        <v>2</v>
      </c>
      <c r="C52" s="16" t="s">
        <v>53</v>
      </c>
      <c r="D52" s="16">
        <v>2</v>
      </c>
      <c r="E52" s="17" t="s">
        <v>18</v>
      </c>
      <c r="H52" s="16">
        <v>5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7" t="s">
        <v>67</v>
      </c>
      <c r="B53" s="16">
        <v>0</v>
      </c>
      <c r="C53" s="16" t="s">
        <v>53</v>
      </c>
      <c r="D53" s="16">
        <v>2</v>
      </c>
      <c r="E53" s="17" t="s">
        <v>18</v>
      </c>
      <c r="H53" s="16">
        <v>10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7" t="s">
        <v>27</v>
      </c>
      <c r="B54" s="16">
        <v>2</v>
      </c>
      <c r="C54" s="16" t="s">
        <v>53</v>
      </c>
      <c r="D54" s="16">
        <v>2</v>
      </c>
      <c r="E54" s="17" t="s">
        <v>32</v>
      </c>
      <c r="H54" s="16">
        <v>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7" t="s">
        <v>67</v>
      </c>
      <c r="B55" s="16">
        <v>0</v>
      </c>
      <c r="C55" s="16" t="s">
        <v>53</v>
      </c>
      <c r="D55" s="16">
        <v>2</v>
      </c>
      <c r="E55" s="17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7" t="s">
        <v>18</v>
      </c>
      <c r="B56" s="16">
        <v>2</v>
      </c>
      <c r="C56" s="16" t="s">
        <v>53</v>
      </c>
      <c r="D56" s="16">
        <v>1</v>
      </c>
      <c r="E56" s="17" t="s">
        <v>32</v>
      </c>
      <c r="H56" s="16">
        <v>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60" t="s">
        <v>173</v>
      </c>
    </row>
    <row r="58" spans="1:15" x14ac:dyDescent="0.25">
      <c r="A58" s="134" t="str">
        <f>_xlfn.CONCAT(W2,A57)</f>
        <v>Mácio - Oitavas de Final</v>
      </c>
      <c r="B58" s="134"/>
      <c r="C58" s="134"/>
      <c r="D58" s="134"/>
      <c r="E58" s="134"/>
      <c r="K58" s="137" t="s">
        <v>171</v>
      </c>
      <c r="L58" s="137"/>
      <c r="M58" s="137"/>
      <c r="N58" s="137"/>
      <c r="O58" s="137"/>
    </row>
    <row r="59" spans="1:15" x14ac:dyDescent="0.25">
      <c r="A59" s="66" t="s">
        <v>19</v>
      </c>
      <c r="B59" s="2">
        <v>2</v>
      </c>
      <c r="C59" s="2" t="s">
        <v>53</v>
      </c>
      <c r="D59" s="2">
        <v>1</v>
      </c>
      <c r="E59" s="65" t="s">
        <v>166</v>
      </c>
      <c r="H59" s="16">
        <v>15</v>
      </c>
      <c r="J59" s="17" t="str">
        <f>IF(Tabela!F32="","",Tabela!F32)</f>
        <v/>
      </c>
      <c r="K59" s="67" t="str">
        <f>Tabela!A32</f>
        <v>Holanda</v>
      </c>
      <c r="L59" s="67">
        <f>Tabela!B32</f>
        <v>3</v>
      </c>
      <c r="M59" s="67" t="str">
        <f>Tabela!C32</f>
        <v>X</v>
      </c>
      <c r="N59" s="67">
        <f>Tabela!D32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0</v>
      </c>
      <c r="E60" s="65" t="s">
        <v>6</v>
      </c>
      <c r="J60" s="17" t="str">
        <f>IF(Tabela!F33="","",Tabela!F33)</f>
        <v>N</v>
      </c>
      <c r="K60" s="67" t="str">
        <f>Tabela!A33</f>
        <v>Argentina</v>
      </c>
      <c r="L60" s="67">
        <f>Tabela!B33</f>
        <v>0</v>
      </c>
      <c r="M60" s="67" t="str">
        <f>Tabela!C33</f>
        <v>X</v>
      </c>
      <c r="N60" s="67">
        <f>Tabela!D33</f>
        <v>0</v>
      </c>
      <c r="O60" s="67" t="str">
        <f>Tabela!E33</f>
        <v>Austrália</v>
      </c>
    </row>
    <row r="61" spans="1:15" x14ac:dyDescent="0.25">
      <c r="A61" s="66" t="s">
        <v>22</v>
      </c>
      <c r="B61" s="2">
        <v>1</v>
      </c>
      <c r="C61" s="2" t="s">
        <v>53</v>
      </c>
      <c r="D61" s="2">
        <v>2</v>
      </c>
      <c r="E61" s="65" t="s">
        <v>12</v>
      </c>
      <c r="J61" s="17" t="str">
        <f>IF(Tabela!F34="","",Tabela!F34)</f>
        <v>N</v>
      </c>
      <c r="K61" s="67" t="str">
        <f>Tabela!A34</f>
        <v>Japão</v>
      </c>
      <c r="L61" s="67">
        <f>Tabela!B34</f>
        <v>0</v>
      </c>
      <c r="M61" s="67" t="str">
        <f>Tabela!C34</f>
        <v>X</v>
      </c>
      <c r="N61" s="67">
        <f>Tabela!D34</f>
        <v>0</v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0</v>
      </c>
      <c r="E62" s="65" t="s">
        <v>167</v>
      </c>
      <c r="J62" s="17" t="str">
        <f>IF(Tabela!F35="","",Tabela!F35)</f>
        <v>N</v>
      </c>
      <c r="K62" s="67" t="str">
        <f>Tabela!A35</f>
        <v>Brasil</v>
      </c>
      <c r="L62" s="67">
        <f>Tabela!B35</f>
        <v>0</v>
      </c>
      <c r="M62" s="67" t="str">
        <f>Tabela!C35</f>
        <v>X</v>
      </c>
      <c r="N62" s="67">
        <f>Tabela!D35</f>
        <v>0</v>
      </c>
      <c r="O62" s="67" t="str">
        <f>Tabela!E35</f>
        <v>Coréia</v>
      </c>
    </row>
    <row r="63" spans="1:15" x14ac:dyDescent="0.25">
      <c r="A63" s="66" t="s">
        <v>20</v>
      </c>
      <c r="B63" s="2">
        <v>1</v>
      </c>
      <c r="C63" s="2" t="s">
        <v>53</v>
      </c>
      <c r="D63" s="2">
        <v>0</v>
      </c>
      <c r="E63" s="65" t="s">
        <v>28</v>
      </c>
      <c r="J63" s="17" t="str">
        <f>IF(Tabela!F36="","",Tabela!F36)</f>
        <v>N</v>
      </c>
      <c r="K63" s="67" t="str">
        <f>Tabela!A36</f>
        <v>Inglaterra</v>
      </c>
      <c r="L63" s="67">
        <f>Tabela!B36</f>
        <v>0</v>
      </c>
      <c r="M63" s="67" t="str">
        <f>Tabela!C36</f>
        <v>X</v>
      </c>
      <c r="N63" s="67">
        <f>Tabela!D36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1</v>
      </c>
      <c r="C64" s="2" t="s">
        <v>53</v>
      </c>
      <c r="D64" s="2">
        <v>0</v>
      </c>
      <c r="E64" s="65" t="s">
        <v>26</v>
      </c>
      <c r="J64" s="17" t="str">
        <f>IF(Tabela!F37="","",Tabela!F37)</f>
        <v>N</v>
      </c>
      <c r="K64" s="67" t="str">
        <f>Tabela!A37</f>
        <v>França</v>
      </c>
      <c r="L64" s="67">
        <f>Tabela!B37</f>
        <v>0</v>
      </c>
      <c r="M64" s="67" t="str">
        <f>Tabela!C37</f>
        <v>X</v>
      </c>
      <c r="N64" s="67">
        <f>Tabela!D37</f>
        <v>0</v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2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7">
        <f>Tabela!B38</f>
        <v>0</v>
      </c>
      <c r="M65" s="67" t="str">
        <f>Tabela!C38</f>
        <v>X</v>
      </c>
      <c r="N65" s="67">
        <f>Tabela!D38</f>
        <v>0</v>
      </c>
      <c r="O65" s="67" t="str">
        <f>Tabela!E38</f>
        <v>Espanha</v>
      </c>
    </row>
    <row r="66" spans="1:15" x14ac:dyDescent="0.25">
      <c r="A66" s="66" t="s">
        <v>27</v>
      </c>
      <c r="B66" s="2">
        <v>1</v>
      </c>
      <c r="C66" s="2" t="s">
        <v>53</v>
      </c>
      <c r="D66" s="2">
        <v>0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7">
        <f>Tabela!B39</f>
        <v>0</v>
      </c>
      <c r="M66" s="67" t="str">
        <f>Tabela!C39</f>
        <v>X</v>
      </c>
      <c r="N66" s="67">
        <f>Tabela!D39</f>
        <v>0</v>
      </c>
      <c r="O66" s="67" t="str">
        <f>Tabela!E39</f>
        <v>Suíça</v>
      </c>
    </row>
  </sheetData>
  <mergeCells count="70">
    <mergeCell ref="A58:E58"/>
    <mergeCell ref="K58:O58"/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1:E1"/>
    <mergeCell ref="A8:E8"/>
    <mergeCell ref="A15:E15"/>
    <mergeCell ref="A22:E22"/>
    <mergeCell ref="A29:E29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27:R27"/>
    <mergeCell ref="S27:T27"/>
    <mergeCell ref="U27:V27"/>
    <mergeCell ref="Q28:R28"/>
    <mergeCell ref="S28:T28"/>
    <mergeCell ref="U28:V2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BEF62C-6F28-4FDF-83A7-749A11BA777A}">
  <sheetPr codeName="Planilha12">
    <tabColor rgb="FF0070C0"/>
  </sheetPr>
  <dimension ref="A1:AE66"/>
  <sheetViews>
    <sheetView zoomScale="85" zoomScaleNormal="85" workbookViewId="0">
      <pane xSplit="15" ySplit="16" topLeftCell="P18" activePane="bottomRight" state="frozen"/>
      <selection pane="topRight" activeCell="P1" sqref="P1"/>
      <selection pane="bottomLeft" activeCell="A17" sqref="A17"/>
      <selection pane="bottomRight" activeCell="Q25" sqref="Q25:U25"/>
    </sheetView>
  </sheetViews>
  <sheetFormatPr defaultRowHeight="15" x14ac:dyDescent="0.25"/>
  <cols>
    <col min="1" max="1" width="17.7109375" style="17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5" width="5.7109375" style="17" customWidth="1"/>
    <col min="36" max="16384" width="9.140625" style="17"/>
  </cols>
  <sheetData>
    <row r="1" spans="1:31" x14ac:dyDescent="0.25">
      <c r="A1" s="127" t="s">
        <v>58</v>
      </c>
      <c r="B1" s="127"/>
      <c r="C1" s="127"/>
      <c r="D1" s="127"/>
      <c r="E1" s="127"/>
      <c r="K1" s="128" t="s">
        <v>58</v>
      </c>
      <c r="L1" s="128"/>
      <c r="M1" s="128"/>
      <c r="N1" s="128"/>
      <c r="O1" s="128"/>
    </row>
    <row r="2" spans="1:31" x14ac:dyDescent="0.25">
      <c r="A2" s="17" t="s">
        <v>11</v>
      </c>
      <c r="B2" s="16">
        <v>0</v>
      </c>
      <c r="C2" s="16" t="s">
        <v>53</v>
      </c>
      <c r="D2" s="16">
        <v>2</v>
      </c>
      <c r="E2" s="17" t="s">
        <v>14</v>
      </c>
      <c r="H2" s="16">
        <v>25</v>
      </c>
      <c r="J2" s="17" t="str">
        <f>IF(Tabela!F3="","",Tabela!F3)</f>
        <v/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31" t="s">
        <v>94</v>
      </c>
      <c r="X2" s="131"/>
      <c r="Y2" s="131"/>
      <c r="Z2" s="131"/>
      <c r="AA2" s="131"/>
      <c r="AB2" s="131"/>
      <c r="AC2" s="131"/>
      <c r="AD2" s="131"/>
      <c r="AE2" s="131"/>
    </row>
    <row r="3" spans="1:31" x14ac:dyDescent="0.25">
      <c r="A3" s="17" t="s">
        <v>28</v>
      </c>
      <c r="B3" s="16">
        <v>1</v>
      </c>
      <c r="C3" s="16" t="s">
        <v>53</v>
      </c>
      <c r="D3" s="16">
        <v>2</v>
      </c>
      <c r="E3" s="17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31"/>
      <c r="X3" s="131"/>
      <c r="Y3" s="131"/>
      <c r="Z3" s="131"/>
      <c r="AA3" s="131"/>
      <c r="AB3" s="131"/>
      <c r="AC3" s="131"/>
      <c r="AD3" s="131"/>
      <c r="AE3" s="131"/>
    </row>
    <row r="4" spans="1:31" x14ac:dyDescent="0.25">
      <c r="A4" s="17" t="s">
        <v>11</v>
      </c>
      <c r="B4" s="16">
        <v>0</v>
      </c>
      <c r="C4" s="16" t="s">
        <v>53</v>
      </c>
      <c r="D4" s="16">
        <v>2</v>
      </c>
      <c r="E4" s="17" t="s">
        <v>28</v>
      </c>
      <c r="H4" s="16">
        <v>10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31"/>
      <c r="X4" s="131"/>
      <c r="Y4" s="131"/>
      <c r="Z4" s="131"/>
      <c r="AA4" s="131"/>
      <c r="AB4" s="131"/>
      <c r="AC4" s="131"/>
      <c r="AD4" s="131"/>
      <c r="AE4" s="131"/>
    </row>
    <row r="5" spans="1:31" x14ac:dyDescent="0.25">
      <c r="A5" s="17" t="s">
        <v>19</v>
      </c>
      <c r="B5" s="16">
        <v>1</v>
      </c>
      <c r="C5" s="16" t="s">
        <v>53</v>
      </c>
      <c r="D5" s="16">
        <v>0</v>
      </c>
      <c r="E5" s="17" t="s">
        <v>14</v>
      </c>
      <c r="H5" s="16">
        <v>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31"/>
      <c r="X5" s="131"/>
      <c r="Y5" s="131"/>
      <c r="Z5" s="131"/>
      <c r="AA5" s="131"/>
      <c r="AB5" s="131"/>
      <c r="AC5" s="131"/>
      <c r="AD5" s="131"/>
      <c r="AE5" s="131"/>
    </row>
    <row r="6" spans="1:31" x14ac:dyDescent="0.25">
      <c r="A6" s="17" t="s">
        <v>19</v>
      </c>
      <c r="B6" s="16">
        <v>3</v>
      </c>
      <c r="C6" s="16" t="s">
        <v>53</v>
      </c>
      <c r="D6" s="16">
        <v>0</v>
      </c>
      <c r="E6" s="17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31"/>
      <c r="X6" s="131"/>
      <c r="Y6" s="131"/>
      <c r="Z6" s="131"/>
      <c r="AA6" s="131"/>
      <c r="AB6" s="131"/>
      <c r="AC6" s="131"/>
      <c r="AD6" s="131"/>
      <c r="AE6" s="131"/>
    </row>
    <row r="7" spans="1:31" x14ac:dyDescent="0.25">
      <c r="A7" s="17" t="s">
        <v>14</v>
      </c>
      <c r="B7" s="16">
        <v>1</v>
      </c>
      <c r="C7" s="16" t="s">
        <v>53</v>
      </c>
      <c r="D7" s="16">
        <v>2</v>
      </c>
      <c r="E7" s="17" t="s">
        <v>28</v>
      </c>
      <c r="H7" s="16">
        <v>25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27" t="s">
        <v>65</v>
      </c>
      <c r="B8" s="127"/>
      <c r="C8" s="127"/>
      <c r="D8" s="127"/>
      <c r="E8" s="127"/>
      <c r="J8" s="17" t="str">
        <f>IF(Tabela!F9="","",Tabela!F9)</f>
        <v/>
      </c>
      <c r="K8" s="128" t="s">
        <v>65</v>
      </c>
      <c r="L8" s="128"/>
      <c r="M8" s="128"/>
      <c r="N8" s="128"/>
      <c r="O8" s="128"/>
    </row>
    <row r="9" spans="1:31" x14ac:dyDescent="0.25">
      <c r="A9" s="17" t="s">
        <v>20</v>
      </c>
      <c r="B9" s="16">
        <v>2</v>
      </c>
      <c r="C9" s="16" t="s">
        <v>53</v>
      </c>
      <c r="D9" s="16">
        <v>0</v>
      </c>
      <c r="E9" s="17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29" t="s">
        <v>66</v>
      </c>
      <c r="R9" s="129"/>
      <c r="S9" s="129"/>
      <c r="T9" s="129"/>
      <c r="U9" s="129"/>
      <c r="W9" s="68" t="s">
        <v>124</v>
      </c>
      <c r="X9" s="68"/>
      <c r="Y9" s="68"/>
      <c r="Z9" s="68"/>
      <c r="AA9" s="68"/>
      <c r="AB9" s="68"/>
      <c r="AC9" s="68"/>
      <c r="AD9" s="68"/>
      <c r="AE9" s="68"/>
    </row>
    <row r="10" spans="1:31" x14ac:dyDescent="0.25">
      <c r="A10" s="17" t="s">
        <v>54</v>
      </c>
      <c r="B10" s="16">
        <v>1</v>
      </c>
      <c r="C10" s="16" t="s">
        <v>53</v>
      </c>
      <c r="D10" s="16">
        <v>2</v>
      </c>
      <c r="E10" s="17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29"/>
      <c r="R10" s="129"/>
      <c r="S10" s="129"/>
      <c r="T10" s="129"/>
      <c r="U10" s="129"/>
      <c r="W10" s="68" t="s">
        <v>11</v>
      </c>
      <c r="X10" s="68"/>
      <c r="Y10" s="68"/>
      <c r="Z10" s="54">
        <v>0</v>
      </c>
      <c r="AB10" s="54">
        <v>2</v>
      </c>
      <c r="AC10" s="68" t="s">
        <v>14</v>
      </c>
      <c r="AD10" s="68"/>
      <c r="AE10" s="68"/>
    </row>
    <row r="11" spans="1:31" x14ac:dyDescent="0.25">
      <c r="A11" s="17" t="s">
        <v>34</v>
      </c>
      <c r="B11" s="16">
        <v>2</v>
      </c>
      <c r="C11" s="16" t="s">
        <v>53</v>
      </c>
      <c r="D11" s="16">
        <v>1</v>
      </c>
      <c r="E11" s="17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30">
        <f>SUM(H2:H66)</f>
        <v>420</v>
      </c>
      <c r="R11" s="130"/>
      <c r="S11" s="130"/>
      <c r="T11" s="130"/>
      <c r="U11" s="130"/>
      <c r="W11" s="68" t="s">
        <v>14</v>
      </c>
      <c r="X11" s="68"/>
      <c r="Y11" s="68"/>
      <c r="Z11" s="54">
        <v>1</v>
      </c>
      <c r="AB11" s="54">
        <v>2</v>
      </c>
      <c r="AC11" s="68" t="s">
        <v>28</v>
      </c>
      <c r="AD11" s="68"/>
      <c r="AE11" s="68"/>
    </row>
    <row r="12" spans="1:31" x14ac:dyDescent="0.25">
      <c r="A12" s="17" t="s">
        <v>20</v>
      </c>
      <c r="B12" s="16">
        <v>1</v>
      </c>
      <c r="C12" s="16" t="s">
        <v>53</v>
      </c>
      <c r="D12" s="16">
        <v>0</v>
      </c>
      <c r="E12" s="17" t="s">
        <v>54</v>
      </c>
      <c r="H12" s="16">
        <v>5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30"/>
      <c r="R12" s="130"/>
      <c r="S12" s="130"/>
      <c r="T12" s="130"/>
      <c r="U12" s="130"/>
      <c r="W12" s="68" t="s">
        <v>26</v>
      </c>
      <c r="X12" s="68"/>
      <c r="Y12" s="68"/>
      <c r="Z12" s="54">
        <v>2</v>
      </c>
      <c r="AB12" s="54">
        <v>0</v>
      </c>
      <c r="AC12" s="68" t="s">
        <v>55</v>
      </c>
      <c r="AD12" s="68"/>
      <c r="AE12" s="68"/>
    </row>
    <row r="13" spans="1:31" x14ac:dyDescent="0.25">
      <c r="A13" s="17" t="s">
        <v>21</v>
      </c>
      <c r="B13" s="16">
        <v>1</v>
      </c>
      <c r="C13" s="16" t="s">
        <v>53</v>
      </c>
      <c r="D13" s="16">
        <v>2</v>
      </c>
      <c r="E13" s="17" t="s">
        <v>54</v>
      </c>
      <c r="H13" s="16">
        <v>10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30"/>
      <c r="R13" s="130"/>
      <c r="S13" s="130"/>
      <c r="T13" s="130"/>
      <c r="U13" s="130"/>
      <c r="W13" s="68" t="s">
        <v>17</v>
      </c>
      <c r="X13" s="68"/>
      <c r="Y13" s="68"/>
      <c r="Z13" s="54">
        <v>2</v>
      </c>
      <c r="AB13" s="54">
        <v>1</v>
      </c>
      <c r="AC13" s="68" t="s">
        <v>13</v>
      </c>
      <c r="AD13" s="68"/>
      <c r="AE13" s="68"/>
    </row>
    <row r="14" spans="1:31" x14ac:dyDescent="0.25">
      <c r="A14" s="17" t="s">
        <v>34</v>
      </c>
      <c r="B14" s="16">
        <v>1</v>
      </c>
      <c r="C14" s="16" t="s">
        <v>53</v>
      </c>
      <c r="D14" s="16">
        <v>2</v>
      </c>
      <c r="E14" s="17" t="s">
        <v>20</v>
      </c>
      <c r="H14" s="16">
        <v>10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30"/>
      <c r="R14" s="130"/>
      <c r="S14" s="130"/>
      <c r="T14" s="130"/>
      <c r="U14" s="130"/>
      <c r="W14" s="68" t="s">
        <v>30</v>
      </c>
      <c r="X14" s="68"/>
      <c r="Y14" s="68"/>
      <c r="Z14" s="54">
        <v>1</v>
      </c>
      <c r="AB14" s="54">
        <v>0</v>
      </c>
      <c r="AC14" s="68" t="s">
        <v>9</v>
      </c>
      <c r="AD14" s="68"/>
      <c r="AE14" s="68"/>
    </row>
    <row r="15" spans="1:31" x14ac:dyDescent="0.25">
      <c r="A15" s="127" t="s">
        <v>64</v>
      </c>
      <c r="B15" s="127"/>
      <c r="C15" s="127"/>
      <c r="D15" s="127"/>
      <c r="E15" s="127"/>
      <c r="J15" s="17" t="str">
        <f>IF(Tabela!F16="","",Tabela!F16)</f>
        <v/>
      </c>
      <c r="K15" s="128" t="s">
        <v>64</v>
      </c>
      <c r="L15" s="128"/>
      <c r="M15" s="128"/>
      <c r="N15" s="128"/>
      <c r="O15" s="128"/>
      <c r="Q15" s="130"/>
      <c r="R15" s="130"/>
      <c r="S15" s="130"/>
      <c r="T15" s="130"/>
      <c r="U15" s="130"/>
      <c r="W15" s="68"/>
      <c r="X15" s="68"/>
      <c r="Y15" s="68"/>
      <c r="AC15" s="68"/>
      <c r="AD15" s="68"/>
      <c r="AE15" s="68"/>
    </row>
    <row r="16" spans="1:31" x14ac:dyDescent="0.25">
      <c r="A16" s="17" t="s">
        <v>5</v>
      </c>
      <c r="B16" s="16">
        <v>2</v>
      </c>
      <c r="C16" s="16" t="s">
        <v>53</v>
      </c>
      <c r="D16" s="16">
        <v>0</v>
      </c>
      <c r="E16" s="17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68"/>
      <c r="X16" s="68"/>
      <c r="Y16" s="68"/>
      <c r="AC16" s="68"/>
      <c r="AD16" s="68"/>
      <c r="AE16" s="68"/>
    </row>
    <row r="17" spans="1:31" x14ac:dyDescent="0.25">
      <c r="A17" s="17" t="s">
        <v>24</v>
      </c>
      <c r="B17" s="16">
        <v>2</v>
      </c>
      <c r="C17" s="16" t="s">
        <v>53</v>
      </c>
      <c r="D17" s="16">
        <v>1</v>
      </c>
      <c r="E17" s="17" t="s">
        <v>26</v>
      </c>
      <c r="H17" s="16">
        <v>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68"/>
      <c r="X17" s="68"/>
      <c r="Y17" s="68"/>
      <c r="AC17" s="68"/>
      <c r="AD17" s="68"/>
      <c r="AE17" s="68"/>
    </row>
    <row r="18" spans="1:31" x14ac:dyDescent="0.25">
      <c r="A18" s="17" t="s">
        <v>26</v>
      </c>
      <c r="B18" s="16">
        <v>2</v>
      </c>
      <c r="C18" s="16" t="s">
        <v>53</v>
      </c>
      <c r="D18" s="16">
        <v>0</v>
      </c>
      <c r="E18" s="17" t="s">
        <v>55</v>
      </c>
      <c r="H18" s="16">
        <v>25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W18" s="68"/>
      <c r="X18" s="68"/>
      <c r="Y18" s="68"/>
      <c r="AC18" s="68"/>
      <c r="AD18" s="68"/>
      <c r="AE18" s="68"/>
    </row>
    <row r="19" spans="1:31" x14ac:dyDescent="0.25">
      <c r="A19" s="17" t="s">
        <v>5</v>
      </c>
      <c r="B19" s="16">
        <v>2</v>
      </c>
      <c r="C19" s="16" t="s">
        <v>53</v>
      </c>
      <c r="D19" s="16">
        <v>1</v>
      </c>
      <c r="E19" s="17" t="s">
        <v>24</v>
      </c>
      <c r="H19" s="16">
        <v>15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W19" s="68"/>
      <c r="X19" s="68"/>
      <c r="Y19" s="68"/>
      <c r="AC19" s="68"/>
      <c r="AD19" s="68"/>
      <c r="AE19" s="68"/>
    </row>
    <row r="20" spans="1:31" x14ac:dyDescent="0.25">
      <c r="A20" s="17" t="s">
        <v>26</v>
      </c>
      <c r="B20" s="16">
        <v>1</v>
      </c>
      <c r="C20" s="16" t="s">
        <v>53</v>
      </c>
      <c r="D20" s="16">
        <v>2</v>
      </c>
      <c r="E20" s="17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68"/>
      <c r="X20" s="68"/>
      <c r="Y20" s="68"/>
      <c r="AC20" s="68"/>
      <c r="AD20" s="68"/>
      <c r="AE20" s="68"/>
    </row>
    <row r="21" spans="1:31" x14ac:dyDescent="0.25">
      <c r="A21" s="17" t="s">
        <v>55</v>
      </c>
      <c r="B21" s="16">
        <v>0</v>
      </c>
      <c r="C21" s="16" t="s">
        <v>53</v>
      </c>
      <c r="D21" s="16">
        <v>2</v>
      </c>
      <c r="E21" s="17" t="s">
        <v>24</v>
      </c>
      <c r="H21" s="16">
        <v>15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W21" s="68"/>
      <c r="X21" s="68"/>
      <c r="Y21" s="68"/>
      <c r="AC21" s="68"/>
      <c r="AD21" s="68"/>
      <c r="AE21" s="68"/>
    </row>
    <row r="22" spans="1:31" x14ac:dyDescent="0.25">
      <c r="A22" s="127" t="s">
        <v>63</v>
      </c>
      <c r="B22" s="127"/>
      <c r="C22" s="127"/>
      <c r="D22" s="127"/>
      <c r="E22" s="127"/>
      <c r="J22" s="17" t="str">
        <f>IF(Tabela!F23="","",Tabela!F23)</f>
        <v/>
      </c>
      <c r="K22" s="128" t="s">
        <v>63</v>
      </c>
      <c r="L22" s="128"/>
      <c r="M22" s="128"/>
      <c r="N22" s="128"/>
      <c r="O22" s="128"/>
      <c r="W22" s="68"/>
      <c r="X22" s="68"/>
      <c r="Y22" s="68"/>
      <c r="AC22" s="68"/>
      <c r="AD22" s="68"/>
      <c r="AE22" s="68"/>
    </row>
    <row r="23" spans="1:31" x14ac:dyDescent="0.25">
      <c r="A23" s="17" t="s">
        <v>13</v>
      </c>
      <c r="B23" s="16">
        <v>1</v>
      </c>
      <c r="C23" s="16" t="s">
        <v>53</v>
      </c>
      <c r="D23" s="16">
        <v>0</v>
      </c>
      <c r="E23" s="17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68"/>
      <c r="X23" s="68"/>
      <c r="Y23" s="68"/>
      <c r="AC23" s="68"/>
      <c r="AD23" s="68"/>
      <c r="AE23" s="68"/>
    </row>
    <row r="24" spans="1:31" x14ac:dyDescent="0.25">
      <c r="A24" s="17" t="s">
        <v>17</v>
      </c>
      <c r="B24" s="16">
        <v>3</v>
      </c>
      <c r="C24" s="16" t="s">
        <v>53</v>
      </c>
      <c r="D24" s="16">
        <v>1</v>
      </c>
      <c r="E24" s="17" t="s">
        <v>6</v>
      </c>
      <c r="H24" s="16">
        <v>15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Q24" s="17">
        <v>25</v>
      </c>
      <c r="R24" s="17">
        <v>15</v>
      </c>
      <c r="S24" s="17">
        <v>10</v>
      </c>
      <c r="T24" s="17">
        <v>5</v>
      </c>
      <c r="U24" s="17">
        <v>0</v>
      </c>
      <c r="W24" s="68"/>
      <c r="X24" s="68"/>
      <c r="Y24" s="68"/>
      <c r="AC24" s="68"/>
      <c r="AD24" s="68"/>
      <c r="AE24" s="68"/>
    </row>
    <row r="25" spans="1:31" x14ac:dyDescent="0.25">
      <c r="A25" s="17" t="s">
        <v>31</v>
      </c>
      <c r="B25" s="16">
        <v>2</v>
      </c>
      <c r="C25" s="16" t="s">
        <v>53</v>
      </c>
      <c r="D25" s="16">
        <v>1</v>
      </c>
      <c r="E25" s="17" t="s">
        <v>6</v>
      </c>
      <c r="H25" s="16">
        <v>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Q25" s="22">
        <v>5</v>
      </c>
      <c r="R25" s="22">
        <v>10</v>
      </c>
      <c r="S25" s="22">
        <v>10</v>
      </c>
      <c r="T25" s="22">
        <v>9</v>
      </c>
      <c r="U25" s="22">
        <v>15</v>
      </c>
      <c r="W25" s="68"/>
      <c r="X25" s="68"/>
      <c r="Y25" s="68"/>
      <c r="AC25" s="68"/>
      <c r="AD25" s="68"/>
      <c r="AE25" s="68"/>
    </row>
    <row r="26" spans="1:31" x14ac:dyDescent="0.25">
      <c r="A26" s="17" t="s">
        <v>17</v>
      </c>
      <c r="B26" s="16">
        <v>2</v>
      </c>
      <c r="C26" s="16" t="s">
        <v>53</v>
      </c>
      <c r="D26" s="16">
        <v>1</v>
      </c>
      <c r="E26" s="17" t="s">
        <v>13</v>
      </c>
      <c r="H26" s="16">
        <v>25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68"/>
      <c r="X26" s="68"/>
      <c r="Y26" s="68"/>
      <c r="AC26" s="68"/>
      <c r="AD26" s="68"/>
      <c r="AE26" s="68"/>
    </row>
    <row r="27" spans="1:31" x14ac:dyDescent="0.25">
      <c r="A27" s="17" t="s">
        <v>31</v>
      </c>
      <c r="B27" s="16">
        <v>0</v>
      </c>
      <c r="C27" s="16" t="s">
        <v>53</v>
      </c>
      <c r="D27" s="16">
        <v>2</v>
      </c>
      <c r="E27" s="17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Q27" s="124" t="s">
        <v>42</v>
      </c>
      <c r="R27" s="124"/>
      <c r="S27" s="125" t="s">
        <v>8</v>
      </c>
      <c r="T27" s="125"/>
      <c r="U27" s="125" t="s">
        <v>17</v>
      </c>
      <c r="V27" s="125"/>
      <c r="W27" s="68"/>
      <c r="X27" s="68"/>
      <c r="Y27" s="68"/>
      <c r="AC27" s="68"/>
      <c r="AD27" s="68"/>
      <c r="AE27" s="68"/>
    </row>
    <row r="28" spans="1:31" x14ac:dyDescent="0.25">
      <c r="A28" s="17" t="s">
        <v>6</v>
      </c>
      <c r="B28" s="16">
        <v>1</v>
      </c>
      <c r="C28" s="16" t="s">
        <v>53</v>
      </c>
      <c r="D28" s="16">
        <v>2</v>
      </c>
      <c r="E28" s="17" t="s">
        <v>13</v>
      </c>
      <c r="H28" s="16">
        <v>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Q28" s="124" t="s">
        <v>41</v>
      </c>
      <c r="R28" s="124"/>
      <c r="S28" s="126" t="s">
        <v>127</v>
      </c>
      <c r="T28" s="126"/>
      <c r="U28" s="126" t="s">
        <v>130</v>
      </c>
      <c r="V28" s="126"/>
      <c r="W28" s="68"/>
      <c r="X28" s="68"/>
      <c r="Y28" s="68"/>
      <c r="AC28" s="68"/>
      <c r="AD28" s="68"/>
      <c r="AE28" s="68"/>
    </row>
    <row r="29" spans="1:31" x14ac:dyDescent="0.25">
      <c r="A29" s="127" t="s">
        <v>62</v>
      </c>
      <c r="B29" s="127"/>
      <c r="C29" s="127"/>
      <c r="D29" s="127"/>
      <c r="E29" s="127"/>
      <c r="K29" s="128" t="s">
        <v>62</v>
      </c>
      <c r="L29" s="128"/>
      <c r="M29" s="128"/>
      <c r="N29" s="128"/>
      <c r="O29" s="128"/>
      <c r="W29" s="68"/>
      <c r="X29" s="68"/>
      <c r="Y29" s="68"/>
      <c r="AC29" s="68"/>
      <c r="AD29" s="68"/>
      <c r="AE29" s="68"/>
    </row>
    <row r="30" spans="1:31" x14ac:dyDescent="0.25">
      <c r="A30" s="17" t="s">
        <v>4</v>
      </c>
      <c r="B30" s="16">
        <v>2</v>
      </c>
      <c r="C30" s="16" t="s">
        <v>53</v>
      </c>
      <c r="D30" s="16">
        <v>1</v>
      </c>
      <c r="E30" s="17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68"/>
      <c r="X30" s="68"/>
      <c r="Y30" s="68"/>
      <c r="AC30" s="68"/>
      <c r="AD30" s="68"/>
      <c r="AE30" s="68"/>
    </row>
    <row r="31" spans="1:31" x14ac:dyDescent="0.25">
      <c r="A31" s="17" t="s">
        <v>15</v>
      </c>
      <c r="B31" s="16">
        <v>2</v>
      </c>
      <c r="C31" s="16" t="s">
        <v>53</v>
      </c>
      <c r="D31" s="16">
        <v>0</v>
      </c>
      <c r="E31" s="17" t="s">
        <v>56</v>
      </c>
      <c r="H31" s="16">
        <v>15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7" t="s">
        <v>22</v>
      </c>
      <c r="B32" s="16">
        <v>1</v>
      </c>
      <c r="C32" s="16" t="s">
        <v>53</v>
      </c>
      <c r="D32" s="16">
        <v>0</v>
      </c>
      <c r="E32" s="17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7" t="s">
        <v>15</v>
      </c>
      <c r="B33" s="16">
        <v>2</v>
      </c>
      <c r="C33" s="16" t="s">
        <v>53</v>
      </c>
      <c r="D33" s="16">
        <v>1</v>
      </c>
      <c r="E33" s="17" t="s">
        <v>4</v>
      </c>
      <c r="H33" s="16">
        <v>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7" t="s">
        <v>22</v>
      </c>
      <c r="B34" s="16">
        <v>1</v>
      </c>
      <c r="C34" s="16" t="s">
        <v>53</v>
      </c>
      <c r="D34" s="16">
        <v>2</v>
      </c>
      <c r="E34" s="17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7" t="s">
        <v>56</v>
      </c>
      <c r="B35" s="16">
        <v>0</v>
      </c>
      <c r="C35" s="16" t="s">
        <v>53</v>
      </c>
      <c r="D35" s="16">
        <v>2</v>
      </c>
      <c r="E35" s="17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27" t="s">
        <v>61</v>
      </c>
      <c r="B36" s="127"/>
      <c r="C36" s="127"/>
      <c r="D36" s="127"/>
      <c r="E36" s="127"/>
      <c r="J36" s="17" t="str">
        <f>IF(Tabela!L9="","",Tabela!L9)</f>
        <v/>
      </c>
      <c r="K36" s="128" t="s">
        <v>61</v>
      </c>
      <c r="L36" s="128"/>
      <c r="M36" s="128"/>
      <c r="N36" s="128"/>
      <c r="O36" s="128"/>
    </row>
    <row r="37" spans="1:15" x14ac:dyDescent="0.25">
      <c r="A37" s="17" t="s">
        <v>23</v>
      </c>
      <c r="B37" s="16">
        <v>1</v>
      </c>
      <c r="C37" s="16" t="s">
        <v>53</v>
      </c>
      <c r="D37" s="16">
        <v>2</v>
      </c>
      <c r="E37" s="17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7" t="s">
        <v>7</v>
      </c>
      <c r="B38" s="16">
        <v>2</v>
      </c>
      <c r="C38" s="16" t="s">
        <v>53</v>
      </c>
      <c r="D38" s="16">
        <v>0</v>
      </c>
      <c r="E38" s="17" t="s">
        <v>10</v>
      </c>
      <c r="H38" s="16">
        <v>15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7" t="s">
        <v>7</v>
      </c>
      <c r="B39" s="16">
        <v>2</v>
      </c>
      <c r="C39" s="16" t="s">
        <v>53</v>
      </c>
      <c r="D39" s="16">
        <v>1</v>
      </c>
      <c r="E39" s="17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7" t="s">
        <v>12</v>
      </c>
      <c r="B40" s="16">
        <v>2</v>
      </c>
      <c r="C40" s="16" t="s">
        <v>53</v>
      </c>
      <c r="D40" s="16">
        <v>0</v>
      </c>
      <c r="E40" s="17" t="s">
        <v>10</v>
      </c>
      <c r="H40" s="16">
        <v>10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7" t="s">
        <v>12</v>
      </c>
      <c r="B41" s="16">
        <v>1</v>
      </c>
      <c r="C41" s="16" t="s">
        <v>53</v>
      </c>
      <c r="D41" s="16">
        <v>2</v>
      </c>
      <c r="E41" s="17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7" t="s">
        <v>10</v>
      </c>
      <c r="B42" s="16">
        <v>0</v>
      </c>
      <c r="C42" s="16" t="s">
        <v>53</v>
      </c>
      <c r="D42" s="16">
        <v>1</v>
      </c>
      <c r="E42" s="17" t="s">
        <v>23</v>
      </c>
      <c r="H42" s="16">
        <v>10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27" t="s">
        <v>60</v>
      </c>
      <c r="B43" s="127"/>
      <c r="C43" s="127"/>
      <c r="D43" s="127"/>
      <c r="E43" s="127"/>
      <c r="J43" s="17" t="str">
        <f>IF(Tabela!L16="","",Tabela!L16)</f>
        <v/>
      </c>
      <c r="K43" s="128" t="s">
        <v>60</v>
      </c>
      <c r="L43" s="128"/>
      <c r="M43" s="128"/>
      <c r="N43" s="128"/>
      <c r="O43" s="128"/>
    </row>
    <row r="44" spans="1:15" x14ac:dyDescent="0.25">
      <c r="A44" s="17" t="s">
        <v>30</v>
      </c>
      <c r="B44" s="16">
        <v>1</v>
      </c>
      <c r="C44" s="16" t="s">
        <v>53</v>
      </c>
      <c r="D44" s="16">
        <v>0</v>
      </c>
      <c r="E44" s="17" t="s">
        <v>9</v>
      </c>
      <c r="H44" s="16">
        <v>25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7" t="s">
        <v>8</v>
      </c>
      <c r="B45" s="16">
        <v>3</v>
      </c>
      <c r="C45" s="16" t="s">
        <v>53</v>
      </c>
      <c r="D45" s="16">
        <v>0</v>
      </c>
      <c r="E45" s="17" t="s">
        <v>29</v>
      </c>
      <c r="H45" s="16">
        <v>15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7" t="s">
        <v>9</v>
      </c>
      <c r="B46" s="16">
        <v>1</v>
      </c>
      <c r="C46" s="16" t="s">
        <v>53</v>
      </c>
      <c r="D46" s="16">
        <v>2</v>
      </c>
      <c r="E46" s="17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7" t="s">
        <v>8</v>
      </c>
      <c r="B47" s="16">
        <v>4</v>
      </c>
      <c r="C47" s="16" t="s">
        <v>53</v>
      </c>
      <c r="D47" s="16">
        <v>0</v>
      </c>
      <c r="E47" s="17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7" t="s">
        <v>9</v>
      </c>
      <c r="B48" s="16">
        <v>1</v>
      </c>
      <c r="C48" s="16" t="s">
        <v>53</v>
      </c>
      <c r="D48" s="16">
        <v>3</v>
      </c>
      <c r="E48" s="17" t="s">
        <v>8</v>
      </c>
      <c r="H48" s="16">
        <v>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7" t="s">
        <v>29</v>
      </c>
      <c r="B49" s="16">
        <v>1</v>
      </c>
      <c r="C49" s="16" t="s">
        <v>53</v>
      </c>
      <c r="D49" s="16">
        <v>2</v>
      </c>
      <c r="E49" s="17" t="s">
        <v>30</v>
      </c>
      <c r="H49" s="16">
        <v>10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27" t="s">
        <v>59</v>
      </c>
      <c r="B50" s="127"/>
      <c r="C50" s="127"/>
      <c r="D50" s="127"/>
      <c r="E50" s="127"/>
      <c r="J50" s="17" t="str">
        <f>IF(Tabela!L23="","",Tabela!L23)</f>
        <v/>
      </c>
      <c r="K50" s="128" t="s">
        <v>59</v>
      </c>
      <c r="L50" s="128"/>
      <c r="M50" s="128"/>
      <c r="N50" s="128"/>
      <c r="O50" s="128"/>
    </row>
    <row r="51" spans="1:15" x14ac:dyDescent="0.25">
      <c r="A51" s="17" t="s">
        <v>32</v>
      </c>
      <c r="B51" s="16">
        <v>2</v>
      </c>
      <c r="C51" s="16" t="s">
        <v>53</v>
      </c>
      <c r="D51" s="16">
        <v>0</v>
      </c>
      <c r="E51" s="17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7" t="s">
        <v>27</v>
      </c>
      <c r="B52" s="16">
        <v>2</v>
      </c>
      <c r="C52" s="16" t="s">
        <v>53</v>
      </c>
      <c r="D52" s="16">
        <v>1</v>
      </c>
      <c r="E52" s="17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7" t="s">
        <v>67</v>
      </c>
      <c r="B53" s="16">
        <v>0</v>
      </c>
      <c r="C53" s="16" t="s">
        <v>53</v>
      </c>
      <c r="D53" s="16">
        <v>2</v>
      </c>
      <c r="E53" s="17" t="s">
        <v>18</v>
      </c>
      <c r="H53" s="16">
        <v>10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7" t="s">
        <v>27</v>
      </c>
      <c r="B54" s="16">
        <v>1</v>
      </c>
      <c r="C54" s="16" t="s">
        <v>53</v>
      </c>
      <c r="D54" s="16">
        <v>2</v>
      </c>
      <c r="E54" s="17" t="s">
        <v>32</v>
      </c>
      <c r="H54" s="16">
        <v>0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7" t="s">
        <v>67</v>
      </c>
      <c r="B55" s="16">
        <v>0</v>
      </c>
      <c r="C55" s="16" t="s">
        <v>53</v>
      </c>
      <c r="D55" s="16">
        <v>2</v>
      </c>
      <c r="E55" s="17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7" t="s">
        <v>18</v>
      </c>
      <c r="B56" s="16">
        <v>2</v>
      </c>
      <c r="C56" s="16" t="s">
        <v>53</v>
      </c>
      <c r="D56" s="16">
        <v>1</v>
      </c>
      <c r="E56" s="17" t="s">
        <v>32</v>
      </c>
      <c r="H56" s="16">
        <v>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60" t="s">
        <v>173</v>
      </c>
    </row>
    <row r="58" spans="1:15" x14ac:dyDescent="0.25">
      <c r="A58" s="134" t="str">
        <f>_xlfn.CONCAT(W2,A57)</f>
        <v>Alex Sandro - Oitavas de Final</v>
      </c>
      <c r="B58" s="134"/>
      <c r="C58" s="134"/>
      <c r="D58" s="134"/>
      <c r="E58" s="134"/>
      <c r="K58" s="137" t="s">
        <v>171</v>
      </c>
      <c r="L58" s="137"/>
      <c r="M58" s="137"/>
      <c r="N58" s="137"/>
      <c r="O58" s="137"/>
    </row>
    <row r="59" spans="1:15" x14ac:dyDescent="0.25">
      <c r="A59" s="66" t="s">
        <v>19</v>
      </c>
      <c r="B59" s="2">
        <v>1</v>
      </c>
      <c r="C59" s="2" t="s">
        <v>53</v>
      </c>
      <c r="D59" s="2">
        <v>2</v>
      </c>
      <c r="E59" s="65" t="s">
        <v>166</v>
      </c>
      <c r="H59" s="16">
        <v>0</v>
      </c>
      <c r="J59" s="17" t="str">
        <f>IF(Tabela!F32="","",Tabela!F32)</f>
        <v/>
      </c>
      <c r="K59" s="67" t="str">
        <f>Tabela!A32</f>
        <v>Holanda</v>
      </c>
      <c r="L59" s="67">
        <f>Tabela!B32</f>
        <v>3</v>
      </c>
      <c r="M59" s="67" t="str">
        <f>Tabela!C32</f>
        <v>X</v>
      </c>
      <c r="N59" s="67">
        <f>Tabela!D32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1</v>
      </c>
      <c r="C60" s="2" t="s">
        <v>53</v>
      </c>
      <c r="D60" s="2">
        <v>1</v>
      </c>
      <c r="E60" s="65" t="s">
        <v>6</v>
      </c>
      <c r="J60" s="17" t="str">
        <f>IF(Tabela!F33="","",Tabela!F33)</f>
        <v>N</v>
      </c>
      <c r="K60" s="67" t="str">
        <f>Tabela!A33</f>
        <v>Argentina</v>
      </c>
      <c r="L60" s="67">
        <f>Tabela!B33</f>
        <v>0</v>
      </c>
      <c r="M60" s="67" t="str">
        <f>Tabela!C33</f>
        <v>X</v>
      </c>
      <c r="N60" s="67">
        <f>Tabela!D33</f>
        <v>0</v>
      </c>
      <c r="O60" s="67" t="str">
        <f>Tabela!E33</f>
        <v>Austrália</v>
      </c>
    </row>
    <row r="61" spans="1:15" x14ac:dyDescent="0.25">
      <c r="A61" s="66" t="s">
        <v>22</v>
      </c>
      <c r="B61" s="2">
        <v>0</v>
      </c>
      <c r="C61" s="2" t="s">
        <v>53</v>
      </c>
      <c r="D61" s="2">
        <v>2</v>
      </c>
      <c r="E61" s="65" t="s">
        <v>12</v>
      </c>
      <c r="J61" s="17" t="str">
        <f>IF(Tabela!F34="","",Tabela!F34)</f>
        <v>N</v>
      </c>
      <c r="K61" s="67" t="str">
        <f>Tabela!A34</f>
        <v>Japão</v>
      </c>
      <c r="L61" s="67">
        <f>Tabela!B34</f>
        <v>0</v>
      </c>
      <c r="M61" s="67" t="str">
        <f>Tabela!C34</f>
        <v>X</v>
      </c>
      <c r="N61" s="67">
        <f>Tabela!D34</f>
        <v>0</v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0</v>
      </c>
      <c r="E62" s="65" t="s">
        <v>167</v>
      </c>
      <c r="J62" s="17" t="str">
        <f>IF(Tabela!F35="","",Tabela!F35)</f>
        <v>N</v>
      </c>
      <c r="K62" s="67" t="str">
        <f>Tabela!A35</f>
        <v>Brasil</v>
      </c>
      <c r="L62" s="67">
        <f>Tabela!B35</f>
        <v>0</v>
      </c>
      <c r="M62" s="67" t="str">
        <f>Tabela!C35</f>
        <v>X</v>
      </c>
      <c r="N62" s="67">
        <f>Tabela!D35</f>
        <v>0</v>
      </c>
      <c r="O62" s="67" t="str">
        <f>Tabela!E35</f>
        <v>Coréia</v>
      </c>
    </row>
    <row r="63" spans="1:15" x14ac:dyDescent="0.25">
      <c r="A63" s="66" t="s">
        <v>20</v>
      </c>
      <c r="B63" s="2">
        <v>3</v>
      </c>
      <c r="C63" s="2" t="s">
        <v>53</v>
      </c>
      <c r="D63" s="2">
        <v>1</v>
      </c>
      <c r="E63" s="65" t="s">
        <v>28</v>
      </c>
      <c r="J63" s="17" t="str">
        <f>IF(Tabela!F36="","",Tabela!F36)</f>
        <v>N</v>
      </c>
      <c r="K63" s="67" t="str">
        <f>Tabela!A36</f>
        <v>Inglaterra</v>
      </c>
      <c r="L63" s="67">
        <f>Tabela!B36</f>
        <v>0</v>
      </c>
      <c r="M63" s="67" t="str">
        <f>Tabela!C36</f>
        <v>X</v>
      </c>
      <c r="N63" s="67">
        <f>Tabela!D36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2</v>
      </c>
      <c r="C64" s="2" t="s">
        <v>53</v>
      </c>
      <c r="D64" s="2">
        <v>0</v>
      </c>
      <c r="E64" s="65" t="s">
        <v>26</v>
      </c>
      <c r="J64" s="17" t="str">
        <f>IF(Tabela!F37="","",Tabela!F37)</f>
        <v>N</v>
      </c>
      <c r="K64" s="67" t="str">
        <f>Tabela!A37</f>
        <v>França</v>
      </c>
      <c r="L64" s="67">
        <f>Tabela!B37</f>
        <v>0</v>
      </c>
      <c r="M64" s="67" t="str">
        <f>Tabela!C37</f>
        <v>X</v>
      </c>
      <c r="N64" s="67">
        <f>Tabela!D37</f>
        <v>0</v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2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7">
        <f>Tabela!B38</f>
        <v>0</v>
      </c>
      <c r="M65" s="67" t="str">
        <f>Tabela!C38</f>
        <v>X</v>
      </c>
      <c r="N65" s="67">
        <f>Tabela!D38</f>
        <v>0</v>
      </c>
      <c r="O65" s="67" t="str">
        <f>Tabela!E38</f>
        <v>Espanha</v>
      </c>
    </row>
    <row r="66" spans="1:15" x14ac:dyDescent="0.25">
      <c r="A66" s="66" t="s">
        <v>27</v>
      </c>
      <c r="B66" s="2">
        <v>0</v>
      </c>
      <c r="C66" s="2" t="s">
        <v>53</v>
      </c>
      <c r="D66" s="2">
        <v>1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7">
        <f>Tabela!B39</f>
        <v>0</v>
      </c>
      <c r="M66" s="67" t="str">
        <f>Tabela!C39</f>
        <v>X</v>
      </c>
      <c r="N66" s="67">
        <f>Tabela!D39</f>
        <v>0</v>
      </c>
      <c r="O66" s="67" t="str">
        <f>Tabela!E39</f>
        <v>Suíça</v>
      </c>
    </row>
  </sheetData>
  <mergeCells count="70">
    <mergeCell ref="A58:E58"/>
    <mergeCell ref="K58:O58"/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1:E1"/>
    <mergeCell ref="A8:E8"/>
    <mergeCell ref="A15:E15"/>
    <mergeCell ref="A22:E22"/>
    <mergeCell ref="A29:E29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27:R27"/>
    <mergeCell ref="S27:T27"/>
    <mergeCell ref="U27:V27"/>
    <mergeCell ref="Q28:R28"/>
    <mergeCell ref="S28:T28"/>
    <mergeCell ref="U28:V2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DE6B19-5CD6-451C-AD0E-C9E1DA26EAEC}">
  <sheetPr codeName="Planilha13">
    <tabColor rgb="FF0070C0"/>
  </sheetPr>
  <dimension ref="A1:AE66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5" width="5.7109375" style="17" customWidth="1"/>
    <col min="36" max="16384" width="9.140625" style="17"/>
  </cols>
  <sheetData>
    <row r="1" spans="1:31" x14ac:dyDescent="0.25">
      <c r="A1" s="127" t="s">
        <v>58</v>
      </c>
      <c r="B1" s="127"/>
      <c r="C1" s="127"/>
      <c r="D1" s="127"/>
      <c r="E1" s="127"/>
      <c r="K1" s="128" t="s">
        <v>58</v>
      </c>
      <c r="L1" s="128"/>
      <c r="M1" s="128"/>
      <c r="N1" s="128"/>
      <c r="O1" s="128"/>
    </row>
    <row r="2" spans="1:31" x14ac:dyDescent="0.25">
      <c r="A2" s="133" t="s">
        <v>43</v>
      </c>
      <c r="B2" s="133"/>
      <c r="C2" s="133"/>
      <c r="D2" s="133"/>
      <c r="E2" s="133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31" t="s">
        <v>78</v>
      </c>
      <c r="X2" s="131"/>
      <c r="Y2" s="131"/>
      <c r="Z2" s="131"/>
      <c r="AA2" s="131"/>
      <c r="AB2" s="131"/>
      <c r="AC2" s="131"/>
      <c r="AD2" s="131"/>
      <c r="AE2" s="131"/>
    </row>
    <row r="3" spans="1:31" x14ac:dyDescent="0.25">
      <c r="A3" s="18" t="s">
        <v>28</v>
      </c>
      <c r="B3" s="16">
        <v>0</v>
      </c>
      <c r="C3" s="16" t="s">
        <v>53</v>
      </c>
      <c r="D3" s="16">
        <v>3</v>
      </c>
      <c r="E3" s="17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31"/>
      <c r="X3" s="131"/>
      <c r="Y3" s="131"/>
      <c r="Z3" s="131"/>
      <c r="AA3" s="131"/>
      <c r="AB3" s="131"/>
      <c r="AC3" s="131"/>
      <c r="AD3" s="131"/>
      <c r="AE3" s="131"/>
    </row>
    <row r="4" spans="1:31" x14ac:dyDescent="0.25">
      <c r="A4" s="18" t="s">
        <v>11</v>
      </c>
      <c r="B4" s="16">
        <v>1</v>
      </c>
      <c r="C4" s="16" t="s">
        <v>53</v>
      </c>
      <c r="D4" s="16">
        <v>2</v>
      </c>
      <c r="E4" s="17" t="s">
        <v>28</v>
      </c>
      <c r="H4" s="16">
        <v>15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31"/>
      <c r="X4" s="131"/>
      <c r="Y4" s="131"/>
      <c r="Z4" s="131"/>
      <c r="AA4" s="131"/>
      <c r="AB4" s="131"/>
      <c r="AC4" s="131"/>
      <c r="AD4" s="131"/>
      <c r="AE4" s="131"/>
    </row>
    <row r="5" spans="1:31" x14ac:dyDescent="0.25">
      <c r="A5" s="18" t="s">
        <v>19</v>
      </c>
      <c r="B5" s="16">
        <v>3</v>
      </c>
      <c r="C5" s="16" t="s">
        <v>53</v>
      </c>
      <c r="D5" s="16">
        <v>0</v>
      </c>
      <c r="E5" s="17" t="s">
        <v>14</v>
      </c>
      <c r="H5" s="16">
        <v>0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31"/>
      <c r="X5" s="131"/>
      <c r="Y5" s="131"/>
      <c r="Z5" s="131"/>
      <c r="AA5" s="131"/>
      <c r="AB5" s="131"/>
      <c r="AC5" s="131"/>
      <c r="AD5" s="131"/>
      <c r="AE5" s="131"/>
    </row>
    <row r="6" spans="1:31" x14ac:dyDescent="0.25">
      <c r="A6" s="18" t="s">
        <v>19</v>
      </c>
      <c r="B6" s="16">
        <v>2</v>
      </c>
      <c r="C6" s="16" t="s">
        <v>53</v>
      </c>
      <c r="D6" s="16">
        <v>1</v>
      </c>
      <c r="E6" s="17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31"/>
      <c r="X6" s="131"/>
      <c r="Y6" s="131"/>
      <c r="Z6" s="131"/>
      <c r="AA6" s="131"/>
      <c r="AB6" s="131"/>
      <c r="AC6" s="131"/>
      <c r="AD6" s="131"/>
      <c r="AE6" s="131"/>
    </row>
    <row r="7" spans="1:31" x14ac:dyDescent="0.25">
      <c r="A7" s="18" t="s">
        <v>14</v>
      </c>
      <c r="B7" s="16">
        <v>0</v>
      </c>
      <c r="C7" s="16" t="s">
        <v>53</v>
      </c>
      <c r="D7" s="16">
        <v>1</v>
      </c>
      <c r="E7" s="17" t="s">
        <v>28</v>
      </c>
      <c r="H7" s="16">
        <v>10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27" t="s">
        <v>65</v>
      </c>
      <c r="B8" s="127"/>
      <c r="C8" s="127"/>
      <c r="D8" s="127"/>
      <c r="E8" s="127"/>
      <c r="J8" s="17" t="str">
        <f>IF(Tabela!F9="","",Tabela!F9)</f>
        <v/>
      </c>
      <c r="K8" s="128" t="s">
        <v>65</v>
      </c>
      <c r="L8" s="128"/>
      <c r="M8" s="128"/>
      <c r="N8" s="128"/>
      <c r="O8" s="128"/>
    </row>
    <row r="9" spans="1:31" x14ac:dyDescent="0.25">
      <c r="A9" s="18" t="s">
        <v>20</v>
      </c>
      <c r="B9" s="16">
        <v>3</v>
      </c>
      <c r="C9" s="16" t="s">
        <v>53</v>
      </c>
      <c r="D9" s="16">
        <v>0</v>
      </c>
      <c r="E9" s="17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29" t="s">
        <v>66</v>
      </c>
      <c r="R9" s="129"/>
      <c r="S9" s="129"/>
      <c r="T9" s="129"/>
      <c r="U9" s="129"/>
      <c r="W9" s="68" t="s">
        <v>124</v>
      </c>
      <c r="X9" s="68"/>
      <c r="Y9" s="68"/>
      <c r="Z9" s="68"/>
      <c r="AA9" s="68"/>
      <c r="AB9" s="68"/>
      <c r="AC9" s="68"/>
      <c r="AD9" s="68"/>
      <c r="AE9" s="68"/>
    </row>
    <row r="10" spans="1:31" x14ac:dyDescent="0.25">
      <c r="A10" s="18" t="s">
        <v>54</v>
      </c>
      <c r="B10" s="16">
        <v>4</v>
      </c>
      <c r="C10" s="16" t="s">
        <v>53</v>
      </c>
      <c r="D10" s="16">
        <v>1</v>
      </c>
      <c r="E10" s="17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29"/>
      <c r="R10" s="129"/>
      <c r="S10" s="129"/>
      <c r="T10" s="129"/>
      <c r="U10" s="129"/>
      <c r="W10" s="68" t="s">
        <v>34</v>
      </c>
      <c r="X10" s="68"/>
      <c r="Y10" s="68"/>
      <c r="Z10" s="54">
        <v>0</v>
      </c>
      <c r="AB10" s="54">
        <v>3</v>
      </c>
      <c r="AC10" s="68" t="s">
        <v>20</v>
      </c>
      <c r="AD10" s="68"/>
      <c r="AE10" s="68"/>
    </row>
    <row r="11" spans="1:31" x14ac:dyDescent="0.25">
      <c r="A11" s="18" t="s">
        <v>34</v>
      </c>
      <c r="B11" s="16">
        <v>1</v>
      </c>
      <c r="C11" s="16" t="s">
        <v>53</v>
      </c>
      <c r="D11" s="16">
        <v>2</v>
      </c>
      <c r="E11" s="17" t="s">
        <v>21</v>
      </c>
      <c r="H11" s="16">
        <v>15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30">
        <f>SUM(H2:H66)</f>
        <v>430</v>
      </c>
      <c r="R11" s="130"/>
      <c r="S11" s="130"/>
      <c r="T11" s="130"/>
      <c r="U11" s="130"/>
      <c r="W11" s="68" t="s">
        <v>55</v>
      </c>
      <c r="X11" s="68"/>
      <c r="Y11" s="68"/>
      <c r="Z11" s="54">
        <v>1</v>
      </c>
      <c r="AB11" s="54">
        <v>2</v>
      </c>
      <c r="AC11" s="68" t="s">
        <v>24</v>
      </c>
      <c r="AD11" s="68"/>
      <c r="AE11" s="68"/>
    </row>
    <row r="12" spans="1:31" x14ac:dyDescent="0.25">
      <c r="A12" s="18" t="s">
        <v>20</v>
      </c>
      <c r="B12" s="16">
        <v>2</v>
      </c>
      <c r="C12" s="16" t="s">
        <v>53</v>
      </c>
      <c r="D12" s="16">
        <v>4</v>
      </c>
      <c r="E12" s="17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30"/>
      <c r="R12" s="130"/>
      <c r="S12" s="130"/>
      <c r="T12" s="130"/>
      <c r="U12" s="130"/>
      <c r="W12" s="68" t="s">
        <v>56</v>
      </c>
      <c r="X12" s="68"/>
      <c r="Y12" s="68"/>
      <c r="Z12" s="54">
        <v>2</v>
      </c>
      <c r="AB12" s="54">
        <v>4</v>
      </c>
      <c r="AC12" s="68" t="s">
        <v>4</v>
      </c>
      <c r="AD12" s="68"/>
      <c r="AE12" s="68"/>
    </row>
    <row r="13" spans="1:31" x14ac:dyDescent="0.25">
      <c r="A13" s="18" t="s">
        <v>21</v>
      </c>
      <c r="B13" s="16">
        <v>1</v>
      </c>
      <c r="C13" s="16" t="s">
        <v>53</v>
      </c>
      <c r="D13" s="16">
        <v>3</v>
      </c>
      <c r="E13" s="17" t="s">
        <v>54</v>
      </c>
      <c r="H13" s="16">
        <v>10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30"/>
      <c r="R13" s="130"/>
      <c r="S13" s="130"/>
      <c r="T13" s="130"/>
      <c r="U13" s="130"/>
      <c r="W13" s="68" t="s">
        <v>30</v>
      </c>
      <c r="X13" s="68"/>
      <c r="Y13" s="68"/>
      <c r="Z13" s="54">
        <v>1</v>
      </c>
      <c r="AB13" s="54">
        <v>0</v>
      </c>
      <c r="AC13" s="68" t="s">
        <v>9</v>
      </c>
      <c r="AD13" s="68"/>
      <c r="AE13" s="68"/>
    </row>
    <row r="14" spans="1:31" x14ac:dyDescent="0.25">
      <c r="A14" s="18" t="s">
        <v>34</v>
      </c>
      <c r="B14" s="16">
        <v>0</v>
      </c>
      <c r="C14" s="16" t="s">
        <v>53</v>
      </c>
      <c r="D14" s="16">
        <v>3</v>
      </c>
      <c r="E14" s="17" t="s">
        <v>20</v>
      </c>
      <c r="H14" s="16">
        <v>25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30"/>
      <c r="R14" s="130"/>
      <c r="S14" s="130"/>
      <c r="T14" s="130"/>
      <c r="U14" s="130"/>
      <c r="W14" s="68"/>
      <c r="X14" s="68"/>
      <c r="Y14" s="68"/>
      <c r="AC14" s="68"/>
      <c r="AD14" s="68"/>
      <c r="AE14" s="68"/>
    </row>
    <row r="15" spans="1:31" x14ac:dyDescent="0.25">
      <c r="A15" s="127" t="s">
        <v>64</v>
      </c>
      <c r="B15" s="127"/>
      <c r="C15" s="127"/>
      <c r="D15" s="127"/>
      <c r="E15" s="127"/>
      <c r="J15" s="17" t="str">
        <f>IF(Tabela!F16="","",Tabela!F16)</f>
        <v/>
      </c>
      <c r="K15" s="128" t="s">
        <v>64</v>
      </c>
      <c r="L15" s="128"/>
      <c r="M15" s="128"/>
      <c r="N15" s="128"/>
      <c r="O15" s="128"/>
      <c r="Q15" s="130"/>
      <c r="R15" s="130"/>
      <c r="S15" s="130"/>
      <c r="T15" s="130"/>
      <c r="U15" s="130"/>
      <c r="W15" s="68"/>
      <c r="X15" s="68"/>
      <c r="Y15" s="68"/>
      <c r="AC15" s="68"/>
      <c r="AD15" s="68"/>
      <c r="AE15" s="68"/>
    </row>
    <row r="16" spans="1:31" x14ac:dyDescent="0.25">
      <c r="A16" s="18" t="s">
        <v>5</v>
      </c>
      <c r="B16" s="16">
        <v>4</v>
      </c>
      <c r="C16" s="16" t="s">
        <v>53</v>
      </c>
      <c r="D16" s="16">
        <v>1</v>
      </c>
      <c r="E16" s="17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68"/>
      <c r="X16" s="68"/>
      <c r="Y16" s="68"/>
      <c r="AC16" s="68"/>
      <c r="AD16" s="68"/>
      <c r="AE16" s="68"/>
    </row>
    <row r="17" spans="1:31" x14ac:dyDescent="0.25">
      <c r="A17" s="18" t="s">
        <v>24</v>
      </c>
      <c r="B17" s="16">
        <v>2</v>
      </c>
      <c r="C17" s="16" t="s">
        <v>53</v>
      </c>
      <c r="D17" s="16">
        <v>1</v>
      </c>
      <c r="E17" s="17" t="s">
        <v>26</v>
      </c>
      <c r="H17" s="16">
        <v>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68"/>
      <c r="X17" s="68"/>
      <c r="Y17" s="68"/>
      <c r="AC17" s="68"/>
      <c r="AD17" s="68"/>
      <c r="AE17" s="68"/>
    </row>
    <row r="18" spans="1:31" x14ac:dyDescent="0.25">
      <c r="A18" s="18" t="s">
        <v>26</v>
      </c>
      <c r="B18" s="16">
        <v>2</v>
      </c>
      <c r="C18" s="16" t="s">
        <v>53</v>
      </c>
      <c r="D18" s="16">
        <v>1</v>
      </c>
      <c r="E18" s="17" t="s">
        <v>55</v>
      </c>
      <c r="H18" s="16">
        <v>15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W18" s="68"/>
      <c r="X18" s="68"/>
      <c r="Y18" s="68"/>
      <c r="AC18" s="68"/>
      <c r="AD18" s="68"/>
      <c r="AE18" s="68"/>
    </row>
    <row r="19" spans="1:31" x14ac:dyDescent="0.25">
      <c r="A19" s="18" t="s">
        <v>5</v>
      </c>
      <c r="B19" s="16">
        <v>2</v>
      </c>
      <c r="C19" s="16" t="s">
        <v>53</v>
      </c>
      <c r="D19" s="16">
        <v>3</v>
      </c>
      <c r="E19" s="17" t="s">
        <v>24</v>
      </c>
      <c r="H19" s="16">
        <v>5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W19" s="68"/>
      <c r="X19" s="68"/>
      <c r="Y19" s="68"/>
      <c r="AC19" s="68"/>
      <c r="AD19" s="68"/>
      <c r="AE19" s="68"/>
    </row>
    <row r="20" spans="1:31" x14ac:dyDescent="0.25">
      <c r="A20" s="18" t="s">
        <v>26</v>
      </c>
      <c r="B20" s="16">
        <v>1</v>
      </c>
      <c r="C20" s="16" t="s">
        <v>53</v>
      </c>
      <c r="D20" s="16">
        <v>3</v>
      </c>
      <c r="E20" s="17" t="s">
        <v>5</v>
      </c>
      <c r="H20" s="16">
        <v>10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68"/>
      <c r="X20" s="68"/>
      <c r="Y20" s="68"/>
      <c r="AC20" s="68"/>
      <c r="AD20" s="68"/>
      <c r="AE20" s="68"/>
    </row>
    <row r="21" spans="1:31" x14ac:dyDescent="0.25">
      <c r="A21" s="18" t="s">
        <v>55</v>
      </c>
      <c r="B21" s="16">
        <v>1</v>
      </c>
      <c r="C21" s="16" t="s">
        <v>53</v>
      </c>
      <c r="D21" s="16">
        <v>2</v>
      </c>
      <c r="E21" s="17" t="s">
        <v>24</v>
      </c>
      <c r="H21" s="16">
        <v>25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W21" s="68"/>
      <c r="X21" s="68"/>
      <c r="Y21" s="68"/>
      <c r="AC21" s="68"/>
      <c r="AD21" s="68"/>
      <c r="AE21" s="68"/>
    </row>
    <row r="22" spans="1:31" x14ac:dyDescent="0.25">
      <c r="A22" s="127" t="s">
        <v>63</v>
      </c>
      <c r="B22" s="127"/>
      <c r="C22" s="127"/>
      <c r="D22" s="127"/>
      <c r="E22" s="127"/>
      <c r="J22" s="17" t="str">
        <f>IF(Tabela!F23="","",Tabela!F23)</f>
        <v/>
      </c>
      <c r="K22" s="128" t="s">
        <v>63</v>
      </c>
      <c r="L22" s="128"/>
      <c r="M22" s="128"/>
      <c r="N22" s="128"/>
      <c r="O22" s="128"/>
      <c r="W22" s="68"/>
      <c r="X22" s="68"/>
      <c r="Y22" s="68"/>
      <c r="AC22" s="68"/>
      <c r="AD22" s="68"/>
      <c r="AE22" s="68"/>
    </row>
    <row r="23" spans="1:31" x14ac:dyDescent="0.25">
      <c r="A23" s="18" t="s">
        <v>13</v>
      </c>
      <c r="B23" s="16">
        <v>1</v>
      </c>
      <c r="C23" s="16" t="s">
        <v>53</v>
      </c>
      <c r="D23" s="16">
        <v>1</v>
      </c>
      <c r="E23" s="17" t="s">
        <v>31</v>
      </c>
      <c r="H23" s="16">
        <v>10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68"/>
      <c r="X23" s="68"/>
      <c r="Y23" s="68"/>
      <c r="AC23" s="68"/>
      <c r="AD23" s="68"/>
      <c r="AE23" s="68"/>
    </row>
    <row r="24" spans="1:31" x14ac:dyDescent="0.25">
      <c r="A24" s="18" t="s">
        <v>17</v>
      </c>
      <c r="B24" s="16">
        <v>4</v>
      </c>
      <c r="C24" s="16" t="s">
        <v>53</v>
      </c>
      <c r="D24" s="16">
        <v>0</v>
      </c>
      <c r="E24" s="17" t="s">
        <v>6</v>
      </c>
      <c r="H24" s="16">
        <v>15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Q24" s="17">
        <v>25</v>
      </c>
      <c r="R24" s="17">
        <v>15</v>
      </c>
      <c r="S24" s="17">
        <v>10</v>
      </c>
      <c r="T24" s="17">
        <v>5</v>
      </c>
      <c r="U24" s="17">
        <v>0</v>
      </c>
      <c r="W24" s="68"/>
      <c r="X24" s="68"/>
      <c r="Y24" s="68"/>
      <c r="AC24" s="68"/>
      <c r="AD24" s="68"/>
      <c r="AE24" s="68"/>
    </row>
    <row r="25" spans="1:31" x14ac:dyDescent="0.25">
      <c r="A25" s="18" t="s">
        <v>31</v>
      </c>
      <c r="B25" s="16">
        <v>1</v>
      </c>
      <c r="C25" s="16" t="s">
        <v>53</v>
      </c>
      <c r="D25" s="16">
        <v>2</v>
      </c>
      <c r="E25" s="17" t="s">
        <v>6</v>
      </c>
      <c r="H25" s="16">
        <v>10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Q25" s="22">
        <v>4</v>
      </c>
      <c r="R25" s="22">
        <v>11</v>
      </c>
      <c r="S25" s="22">
        <v>11</v>
      </c>
      <c r="T25" s="22">
        <v>11</v>
      </c>
      <c r="U25" s="22">
        <v>11</v>
      </c>
      <c r="W25" s="68"/>
      <c r="X25" s="68"/>
      <c r="Y25" s="68"/>
      <c r="AC25" s="68"/>
      <c r="AD25" s="68"/>
      <c r="AE25" s="68"/>
    </row>
    <row r="26" spans="1:31" x14ac:dyDescent="0.25">
      <c r="A26" s="18" t="s">
        <v>17</v>
      </c>
      <c r="B26" s="16">
        <v>3</v>
      </c>
      <c r="C26" s="16" t="s">
        <v>53</v>
      </c>
      <c r="D26" s="16">
        <v>1</v>
      </c>
      <c r="E26" s="17" t="s">
        <v>13</v>
      </c>
      <c r="H26" s="16">
        <v>15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68"/>
      <c r="X26" s="68"/>
      <c r="Y26" s="68"/>
      <c r="AC26" s="68"/>
      <c r="AD26" s="68"/>
      <c r="AE26" s="68"/>
    </row>
    <row r="27" spans="1:31" x14ac:dyDescent="0.25">
      <c r="A27" s="18" t="s">
        <v>31</v>
      </c>
      <c r="B27" s="16">
        <v>1</v>
      </c>
      <c r="C27" s="16" t="s">
        <v>53</v>
      </c>
      <c r="D27" s="16">
        <v>3</v>
      </c>
      <c r="E27" s="17" t="s">
        <v>17</v>
      </c>
      <c r="H27" s="16">
        <v>5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Q27" s="124" t="s">
        <v>42</v>
      </c>
      <c r="R27" s="124"/>
      <c r="S27" s="125" t="s">
        <v>8</v>
      </c>
      <c r="T27" s="125"/>
      <c r="U27" s="125" t="s">
        <v>4</v>
      </c>
      <c r="V27" s="125"/>
      <c r="W27" s="68"/>
      <c r="X27" s="68"/>
      <c r="Y27" s="68"/>
      <c r="AC27" s="68"/>
      <c r="AD27" s="68"/>
      <c r="AE27" s="68"/>
    </row>
    <row r="28" spans="1:31" x14ac:dyDescent="0.25">
      <c r="A28" s="18" t="s">
        <v>6</v>
      </c>
      <c r="B28" s="16">
        <v>1</v>
      </c>
      <c r="C28" s="16" t="s">
        <v>53</v>
      </c>
      <c r="D28" s="16">
        <v>1</v>
      </c>
      <c r="E28" s="17" t="s">
        <v>13</v>
      </c>
      <c r="H28" s="16">
        <v>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Q28" s="124" t="s">
        <v>41</v>
      </c>
      <c r="R28" s="124"/>
      <c r="S28" s="126" t="s">
        <v>128</v>
      </c>
      <c r="T28" s="126"/>
      <c r="U28" s="126" t="s">
        <v>133</v>
      </c>
      <c r="V28" s="126"/>
      <c r="W28" s="68"/>
      <c r="X28" s="68"/>
      <c r="Y28" s="68"/>
      <c r="AC28" s="68"/>
      <c r="AD28" s="68"/>
      <c r="AE28" s="68"/>
    </row>
    <row r="29" spans="1:31" x14ac:dyDescent="0.25">
      <c r="A29" s="127" t="s">
        <v>62</v>
      </c>
      <c r="B29" s="127"/>
      <c r="C29" s="127"/>
      <c r="D29" s="127"/>
      <c r="E29" s="127"/>
      <c r="K29" s="128" t="s">
        <v>62</v>
      </c>
      <c r="L29" s="128"/>
      <c r="M29" s="128"/>
      <c r="N29" s="128"/>
      <c r="O29" s="128"/>
      <c r="W29" s="68"/>
      <c r="X29" s="68"/>
      <c r="Y29" s="68"/>
      <c r="AC29" s="68"/>
      <c r="AD29" s="68"/>
      <c r="AE29" s="68"/>
    </row>
    <row r="30" spans="1:31" x14ac:dyDescent="0.25">
      <c r="A30" s="18" t="s">
        <v>4</v>
      </c>
      <c r="B30" s="16">
        <v>4</v>
      </c>
      <c r="C30" s="16" t="s">
        <v>53</v>
      </c>
      <c r="D30" s="16">
        <v>2</v>
      </c>
      <c r="E30" s="17" t="s">
        <v>22</v>
      </c>
      <c r="H30" s="16">
        <v>5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68"/>
      <c r="X30" s="68"/>
      <c r="Y30" s="68"/>
      <c r="AC30" s="68"/>
      <c r="AD30" s="68"/>
      <c r="AE30" s="68"/>
    </row>
    <row r="31" spans="1:31" x14ac:dyDescent="0.25">
      <c r="A31" s="18" t="s">
        <v>15</v>
      </c>
      <c r="B31" s="16">
        <v>3</v>
      </c>
      <c r="C31" s="16" t="s">
        <v>53</v>
      </c>
      <c r="D31" s="16">
        <v>1</v>
      </c>
      <c r="E31" s="17" t="s">
        <v>56</v>
      </c>
      <c r="H31" s="16">
        <v>10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2</v>
      </c>
      <c r="C32" s="16" t="s">
        <v>53</v>
      </c>
      <c r="D32" s="16">
        <v>2</v>
      </c>
      <c r="E32" s="17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1</v>
      </c>
      <c r="C33" s="16" t="s">
        <v>53</v>
      </c>
      <c r="D33" s="16">
        <v>3</v>
      </c>
      <c r="E33" s="17" t="s">
        <v>4</v>
      </c>
      <c r="H33" s="16">
        <v>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1</v>
      </c>
      <c r="C34" s="16" t="s">
        <v>53</v>
      </c>
      <c r="D34" s="16">
        <v>2</v>
      </c>
      <c r="E34" s="17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2</v>
      </c>
      <c r="C35" s="16" t="s">
        <v>53</v>
      </c>
      <c r="D35" s="16">
        <v>4</v>
      </c>
      <c r="E35" s="17" t="s">
        <v>4</v>
      </c>
      <c r="H35" s="16">
        <v>25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27" t="s">
        <v>61</v>
      </c>
      <c r="B36" s="127"/>
      <c r="C36" s="127"/>
      <c r="D36" s="127"/>
      <c r="E36" s="127"/>
      <c r="J36" s="17" t="str">
        <f>IF(Tabela!L9="","",Tabela!L9)</f>
        <v/>
      </c>
      <c r="K36" s="128" t="s">
        <v>61</v>
      </c>
      <c r="L36" s="128"/>
      <c r="M36" s="128"/>
      <c r="N36" s="128"/>
      <c r="O36" s="128"/>
    </row>
    <row r="37" spans="1:15" x14ac:dyDescent="0.25">
      <c r="A37" s="18" t="s">
        <v>23</v>
      </c>
      <c r="B37" s="16">
        <v>1</v>
      </c>
      <c r="C37" s="16" t="s">
        <v>53</v>
      </c>
      <c r="D37" s="16">
        <v>2</v>
      </c>
      <c r="E37" s="17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2</v>
      </c>
      <c r="C38" s="16" t="s">
        <v>53</v>
      </c>
      <c r="D38" s="16">
        <v>0</v>
      </c>
      <c r="E38" s="17" t="s">
        <v>10</v>
      </c>
      <c r="H38" s="16">
        <v>15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2</v>
      </c>
      <c r="C39" s="16" t="s">
        <v>53</v>
      </c>
      <c r="D39" s="16">
        <v>1</v>
      </c>
      <c r="E39" s="17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3</v>
      </c>
      <c r="C40" s="16" t="s">
        <v>53</v>
      </c>
      <c r="D40" s="16">
        <v>1</v>
      </c>
      <c r="E40" s="17" t="s">
        <v>10</v>
      </c>
      <c r="H40" s="16">
        <v>15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1</v>
      </c>
      <c r="C41" s="16" t="s">
        <v>53</v>
      </c>
      <c r="D41" s="16">
        <v>3</v>
      </c>
      <c r="E41" s="17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0</v>
      </c>
      <c r="E42" s="17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27" t="s">
        <v>60</v>
      </c>
      <c r="B43" s="127"/>
      <c r="C43" s="127"/>
      <c r="D43" s="127"/>
      <c r="E43" s="127"/>
      <c r="J43" s="17" t="str">
        <f>IF(Tabela!L16="","",Tabela!L16)</f>
        <v/>
      </c>
      <c r="K43" s="128" t="s">
        <v>60</v>
      </c>
      <c r="L43" s="128"/>
      <c r="M43" s="128"/>
      <c r="N43" s="128"/>
      <c r="O43" s="128"/>
    </row>
    <row r="44" spans="1:15" x14ac:dyDescent="0.25">
      <c r="A44" s="18" t="s">
        <v>30</v>
      </c>
      <c r="B44" s="16">
        <v>1</v>
      </c>
      <c r="C44" s="16" t="s">
        <v>53</v>
      </c>
      <c r="D44" s="16">
        <v>0</v>
      </c>
      <c r="E44" s="17" t="s">
        <v>9</v>
      </c>
      <c r="H44" s="16">
        <v>25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3</v>
      </c>
      <c r="C45" s="16" t="s">
        <v>53</v>
      </c>
      <c r="D45" s="16">
        <v>1</v>
      </c>
      <c r="E45" s="17" t="s">
        <v>29</v>
      </c>
      <c r="H45" s="16">
        <v>10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2</v>
      </c>
      <c r="E46" s="17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0</v>
      </c>
      <c r="E47" s="17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1</v>
      </c>
      <c r="C48" s="16" t="s">
        <v>53</v>
      </c>
      <c r="D48" s="16">
        <v>4</v>
      </c>
      <c r="E48" s="17" t="s">
        <v>8</v>
      </c>
      <c r="H48" s="16">
        <v>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3</v>
      </c>
      <c r="E49" s="17" t="s">
        <v>30</v>
      </c>
      <c r="H49" s="16">
        <v>15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27" t="s">
        <v>59</v>
      </c>
      <c r="B50" s="127"/>
      <c r="C50" s="127"/>
      <c r="D50" s="127"/>
      <c r="E50" s="127"/>
      <c r="J50" s="17" t="str">
        <f>IF(Tabela!L23="","",Tabela!L23)</f>
        <v/>
      </c>
      <c r="K50" s="128" t="s">
        <v>59</v>
      </c>
      <c r="L50" s="128"/>
      <c r="M50" s="128"/>
      <c r="N50" s="128"/>
      <c r="O50" s="128"/>
    </row>
    <row r="51" spans="1:15" x14ac:dyDescent="0.25">
      <c r="A51" s="18" t="s">
        <v>32</v>
      </c>
      <c r="B51" s="16">
        <v>4</v>
      </c>
      <c r="C51" s="16" t="s">
        <v>53</v>
      </c>
      <c r="D51" s="16">
        <v>1</v>
      </c>
      <c r="E51" s="17" t="s">
        <v>67</v>
      </c>
      <c r="H51" s="16">
        <v>0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4</v>
      </c>
      <c r="C52" s="16" t="s">
        <v>53</v>
      </c>
      <c r="D52" s="16">
        <v>0</v>
      </c>
      <c r="E52" s="17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1</v>
      </c>
      <c r="C53" s="16" t="s">
        <v>53</v>
      </c>
      <c r="D53" s="16">
        <v>2</v>
      </c>
      <c r="E53" s="17" t="s">
        <v>18</v>
      </c>
      <c r="H53" s="16">
        <v>10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2</v>
      </c>
      <c r="C54" s="16" t="s">
        <v>53</v>
      </c>
      <c r="D54" s="16">
        <v>2</v>
      </c>
      <c r="E54" s="17" t="s">
        <v>32</v>
      </c>
      <c r="H54" s="16">
        <v>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1</v>
      </c>
      <c r="E55" s="17" t="s">
        <v>27</v>
      </c>
      <c r="H55" s="16">
        <v>5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4</v>
      </c>
      <c r="E56" s="17" t="s">
        <v>32</v>
      </c>
      <c r="H56" s="16">
        <v>10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145" t="s">
        <v>173</v>
      </c>
    </row>
    <row r="58" spans="1:15" x14ac:dyDescent="0.25">
      <c r="A58" s="134" t="str">
        <f>_xlfn.CONCAT(W2,A57)</f>
        <v>Jean - Oitavas de Final</v>
      </c>
      <c r="B58" s="134"/>
      <c r="C58" s="134"/>
      <c r="D58" s="134"/>
      <c r="E58" s="134"/>
      <c r="K58" s="137" t="s">
        <v>171</v>
      </c>
      <c r="L58" s="137"/>
      <c r="M58" s="137"/>
      <c r="N58" s="137"/>
      <c r="O58" s="137"/>
    </row>
    <row r="59" spans="1:15" x14ac:dyDescent="0.25">
      <c r="A59" s="66" t="s">
        <v>19</v>
      </c>
      <c r="B59" s="2">
        <v>1</v>
      </c>
      <c r="C59" s="2" t="s">
        <v>53</v>
      </c>
      <c r="D59" s="2">
        <v>1</v>
      </c>
      <c r="E59" s="65" t="s">
        <v>166</v>
      </c>
      <c r="H59" s="16">
        <v>5</v>
      </c>
      <c r="J59" s="17" t="str">
        <f>IF(Tabela!F32="","",Tabela!F32)</f>
        <v/>
      </c>
      <c r="K59" s="67" t="str">
        <f>Tabela!A32</f>
        <v>Holanda</v>
      </c>
      <c r="L59" s="67">
        <f>Tabela!B32</f>
        <v>3</v>
      </c>
      <c r="M59" s="67" t="str">
        <f>Tabela!C32</f>
        <v>X</v>
      </c>
      <c r="N59" s="67">
        <f>Tabela!D32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1</v>
      </c>
      <c r="E60" s="65" t="s">
        <v>6</v>
      </c>
      <c r="J60" s="17" t="str">
        <f>IF(Tabela!F33="","",Tabela!F33)</f>
        <v>N</v>
      </c>
      <c r="K60" s="67" t="str">
        <f>Tabela!A33</f>
        <v>Argentina</v>
      </c>
      <c r="L60" s="67">
        <f>Tabela!B33</f>
        <v>0</v>
      </c>
      <c r="M60" s="67" t="str">
        <f>Tabela!C33</f>
        <v>X</v>
      </c>
      <c r="N60" s="67">
        <f>Tabela!D33</f>
        <v>0</v>
      </c>
      <c r="O60" s="67" t="str">
        <f>Tabela!E33</f>
        <v>Austrália</v>
      </c>
    </row>
    <row r="61" spans="1:15" x14ac:dyDescent="0.25">
      <c r="A61" s="66" t="s">
        <v>22</v>
      </c>
      <c r="B61" s="2">
        <v>2</v>
      </c>
      <c r="C61" s="2" t="s">
        <v>53</v>
      </c>
      <c r="D61" s="2">
        <v>0</v>
      </c>
      <c r="E61" s="65" t="s">
        <v>12</v>
      </c>
      <c r="J61" s="17" t="str">
        <f>IF(Tabela!F34="","",Tabela!F34)</f>
        <v>N</v>
      </c>
      <c r="K61" s="67" t="str">
        <f>Tabela!A34</f>
        <v>Japão</v>
      </c>
      <c r="L61" s="67">
        <f>Tabela!B34</f>
        <v>0</v>
      </c>
      <c r="M61" s="67" t="str">
        <f>Tabela!C34</f>
        <v>X</v>
      </c>
      <c r="N61" s="67">
        <f>Tabela!D34</f>
        <v>0</v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0</v>
      </c>
      <c r="E62" s="65" t="s">
        <v>167</v>
      </c>
      <c r="J62" s="17" t="str">
        <f>IF(Tabela!F35="","",Tabela!F35)</f>
        <v>N</v>
      </c>
      <c r="K62" s="67" t="str">
        <f>Tabela!A35</f>
        <v>Brasil</v>
      </c>
      <c r="L62" s="67">
        <f>Tabela!B35</f>
        <v>0</v>
      </c>
      <c r="M62" s="67" t="str">
        <f>Tabela!C35</f>
        <v>X</v>
      </c>
      <c r="N62" s="67">
        <f>Tabela!D35</f>
        <v>0</v>
      </c>
      <c r="O62" s="67" t="str">
        <f>Tabela!E35</f>
        <v>Coréia</v>
      </c>
    </row>
    <row r="63" spans="1:15" x14ac:dyDescent="0.25">
      <c r="A63" s="66" t="s">
        <v>20</v>
      </c>
      <c r="B63" s="2">
        <v>4</v>
      </c>
      <c r="C63" s="2" t="s">
        <v>53</v>
      </c>
      <c r="D63" s="2">
        <v>0</v>
      </c>
      <c r="E63" s="65" t="s">
        <v>28</v>
      </c>
      <c r="J63" s="17" t="str">
        <f>IF(Tabela!F36="","",Tabela!F36)</f>
        <v>N</v>
      </c>
      <c r="K63" s="67" t="str">
        <f>Tabela!A36</f>
        <v>Inglaterra</v>
      </c>
      <c r="L63" s="67">
        <f>Tabela!B36</f>
        <v>0</v>
      </c>
      <c r="M63" s="67" t="str">
        <f>Tabela!C36</f>
        <v>X</v>
      </c>
      <c r="N63" s="67">
        <f>Tabela!D36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2</v>
      </c>
      <c r="C64" s="2" t="s">
        <v>53</v>
      </c>
      <c r="D64" s="2">
        <v>1</v>
      </c>
      <c r="E64" s="65" t="s">
        <v>26</v>
      </c>
      <c r="J64" s="17" t="str">
        <f>IF(Tabela!F37="","",Tabela!F37)</f>
        <v>N</v>
      </c>
      <c r="K64" s="67" t="str">
        <f>Tabela!A37</f>
        <v>França</v>
      </c>
      <c r="L64" s="67">
        <f>Tabela!B37</f>
        <v>0</v>
      </c>
      <c r="M64" s="67" t="str">
        <f>Tabela!C37</f>
        <v>X</v>
      </c>
      <c r="N64" s="67">
        <f>Tabela!D37</f>
        <v>0</v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3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7">
        <f>Tabela!B38</f>
        <v>0</v>
      </c>
      <c r="M65" s="67" t="str">
        <f>Tabela!C38</f>
        <v>X</v>
      </c>
      <c r="N65" s="67">
        <f>Tabela!D38</f>
        <v>0</v>
      </c>
      <c r="O65" s="67" t="str">
        <f>Tabela!E38</f>
        <v>Espanha</v>
      </c>
    </row>
    <row r="66" spans="1:15" x14ac:dyDescent="0.25">
      <c r="A66" s="66" t="s">
        <v>27</v>
      </c>
      <c r="B66" s="2">
        <v>1</v>
      </c>
      <c r="C66" s="2" t="s">
        <v>53</v>
      </c>
      <c r="D66" s="2">
        <v>0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7">
        <f>Tabela!B39</f>
        <v>0</v>
      </c>
      <c r="M66" s="67" t="str">
        <f>Tabela!C39</f>
        <v>X</v>
      </c>
      <c r="N66" s="67">
        <f>Tabela!D39</f>
        <v>0</v>
      </c>
      <c r="O66" s="67" t="str">
        <f>Tabela!E39</f>
        <v>Suíça</v>
      </c>
    </row>
  </sheetData>
  <mergeCells count="71">
    <mergeCell ref="A58:E58"/>
    <mergeCell ref="K58:O58"/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2:E2"/>
    <mergeCell ref="A1:E1"/>
    <mergeCell ref="A8:E8"/>
    <mergeCell ref="A15:E15"/>
    <mergeCell ref="A22:E22"/>
    <mergeCell ref="A29:E29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27:R27"/>
    <mergeCell ref="S27:T27"/>
    <mergeCell ref="U27:V27"/>
    <mergeCell ref="Q28:R28"/>
    <mergeCell ref="S28:T28"/>
    <mergeCell ref="U28:V2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A4F992-1080-4619-B6C7-39002C2BE298}">
  <sheetPr codeName="Planilha14">
    <tabColor rgb="FF0070C0"/>
  </sheetPr>
  <dimension ref="A1:AE66"/>
  <sheetViews>
    <sheetView zoomScale="85" zoomScaleNormal="85" workbookViewId="0">
      <pane xSplit="15" ySplit="16" topLeftCell="P18" activePane="bottomRight" state="frozen"/>
      <selection pane="topRight" activeCell="P1" sqref="P1"/>
      <selection pane="bottomLeft" activeCell="A17" sqref="A17"/>
      <selection pane="bottomRight" activeCell="Q25" sqref="Q25:U25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5" width="5.7109375" style="17" customWidth="1"/>
    <col min="36" max="16384" width="9.140625" style="17"/>
  </cols>
  <sheetData>
    <row r="1" spans="1:31" x14ac:dyDescent="0.25">
      <c r="A1" s="127" t="s">
        <v>58</v>
      </c>
      <c r="B1" s="127"/>
      <c r="C1" s="127"/>
      <c r="D1" s="127"/>
      <c r="E1" s="127"/>
      <c r="K1" s="128" t="s">
        <v>58</v>
      </c>
      <c r="L1" s="128"/>
      <c r="M1" s="128"/>
      <c r="N1" s="128"/>
      <c r="O1" s="128"/>
    </row>
    <row r="2" spans="1:31" x14ac:dyDescent="0.25">
      <c r="A2" s="133" t="s">
        <v>43</v>
      </c>
      <c r="B2" s="133"/>
      <c r="C2" s="133"/>
      <c r="D2" s="133"/>
      <c r="E2" s="133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31" t="s">
        <v>79</v>
      </c>
      <c r="X2" s="131"/>
      <c r="Y2" s="131"/>
      <c r="Z2" s="131"/>
      <c r="AA2" s="131"/>
      <c r="AB2" s="131"/>
      <c r="AC2" s="131"/>
      <c r="AD2" s="131"/>
      <c r="AE2" s="131"/>
    </row>
    <row r="3" spans="1:31" x14ac:dyDescent="0.25">
      <c r="A3" s="18" t="s">
        <v>28</v>
      </c>
      <c r="B3" s="16">
        <v>0</v>
      </c>
      <c r="C3" s="16" t="s">
        <v>53</v>
      </c>
      <c r="D3" s="16">
        <v>3</v>
      </c>
      <c r="E3" s="19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31"/>
      <c r="X3" s="131"/>
      <c r="Y3" s="131"/>
      <c r="Z3" s="131"/>
      <c r="AA3" s="131"/>
      <c r="AB3" s="131"/>
      <c r="AC3" s="131"/>
      <c r="AD3" s="131"/>
      <c r="AE3" s="131"/>
    </row>
    <row r="4" spans="1:31" x14ac:dyDescent="0.25">
      <c r="A4" s="18" t="s">
        <v>11</v>
      </c>
      <c r="B4" s="16">
        <v>1</v>
      </c>
      <c r="C4" s="16" t="s">
        <v>53</v>
      </c>
      <c r="D4" s="16">
        <v>1</v>
      </c>
      <c r="E4" s="19" t="s">
        <v>28</v>
      </c>
      <c r="H4" s="16">
        <v>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31"/>
      <c r="X4" s="131"/>
      <c r="Y4" s="131"/>
      <c r="Z4" s="131"/>
      <c r="AA4" s="131"/>
      <c r="AB4" s="131"/>
      <c r="AC4" s="131"/>
      <c r="AD4" s="131"/>
      <c r="AE4" s="131"/>
    </row>
    <row r="5" spans="1:31" x14ac:dyDescent="0.25">
      <c r="A5" s="18" t="s">
        <v>19</v>
      </c>
      <c r="B5" s="16">
        <v>2</v>
      </c>
      <c r="C5" s="16" t="s">
        <v>53</v>
      </c>
      <c r="D5" s="16">
        <v>1</v>
      </c>
      <c r="E5" s="19" t="s">
        <v>14</v>
      </c>
      <c r="H5" s="16">
        <v>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31"/>
      <c r="X5" s="131"/>
      <c r="Y5" s="131"/>
      <c r="Z5" s="131"/>
      <c r="AA5" s="131"/>
      <c r="AB5" s="131"/>
      <c r="AC5" s="131"/>
      <c r="AD5" s="131"/>
      <c r="AE5" s="131"/>
    </row>
    <row r="6" spans="1:31" x14ac:dyDescent="0.25">
      <c r="A6" s="18" t="s">
        <v>19</v>
      </c>
      <c r="B6" s="16">
        <v>3</v>
      </c>
      <c r="C6" s="16" t="s">
        <v>53</v>
      </c>
      <c r="D6" s="16">
        <v>0</v>
      </c>
      <c r="E6" s="19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31"/>
      <c r="X6" s="131"/>
      <c r="Y6" s="131"/>
      <c r="Z6" s="131"/>
      <c r="AA6" s="131"/>
      <c r="AB6" s="131"/>
      <c r="AC6" s="131"/>
      <c r="AD6" s="131"/>
      <c r="AE6" s="131"/>
    </row>
    <row r="7" spans="1:31" x14ac:dyDescent="0.25">
      <c r="A7" s="18" t="s">
        <v>14</v>
      </c>
      <c r="B7" s="16">
        <v>2</v>
      </c>
      <c r="C7" s="16" t="s">
        <v>53</v>
      </c>
      <c r="D7" s="16">
        <v>0</v>
      </c>
      <c r="E7" s="19" t="s">
        <v>28</v>
      </c>
      <c r="H7" s="16">
        <v>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27" t="s">
        <v>65</v>
      </c>
      <c r="B8" s="127"/>
      <c r="C8" s="127"/>
      <c r="D8" s="127"/>
      <c r="E8" s="127"/>
      <c r="J8" s="17" t="str">
        <f>IF(Tabela!F9="","",Tabela!F9)</f>
        <v/>
      </c>
      <c r="K8" s="128" t="s">
        <v>65</v>
      </c>
      <c r="L8" s="128"/>
      <c r="M8" s="128"/>
      <c r="N8" s="128"/>
      <c r="O8" s="128"/>
    </row>
    <row r="9" spans="1:31" x14ac:dyDescent="0.25">
      <c r="A9" s="18" t="s">
        <v>20</v>
      </c>
      <c r="B9" s="16">
        <v>4</v>
      </c>
      <c r="C9" s="16" t="s">
        <v>53</v>
      </c>
      <c r="D9" s="16">
        <v>0</v>
      </c>
      <c r="E9" s="19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29" t="s">
        <v>66</v>
      </c>
      <c r="R9" s="129"/>
      <c r="S9" s="129"/>
      <c r="T9" s="129"/>
      <c r="U9" s="129"/>
      <c r="W9" s="68" t="s">
        <v>124</v>
      </c>
      <c r="X9" s="68"/>
      <c r="Y9" s="68"/>
      <c r="Z9" s="68"/>
      <c r="AA9" s="68"/>
      <c r="AB9" s="68"/>
      <c r="AC9" s="68"/>
      <c r="AD9" s="68"/>
      <c r="AE9" s="68"/>
    </row>
    <row r="10" spans="1:31" x14ac:dyDescent="0.25">
      <c r="A10" s="18" t="s">
        <v>54</v>
      </c>
      <c r="B10" s="16">
        <v>2</v>
      </c>
      <c r="C10" s="16" t="s">
        <v>53</v>
      </c>
      <c r="D10" s="16">
        <v>2</v>
      </c>
      <c r="E10" s="19" t="s">
        <v>34</v>
      </c>
      <c r="H10" s="16">
        <v>10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29"/>
      <c r="R10" s="129"/>
      <c r="S10" s="129"/>
      <c r="T10" s="129"/>
      <c r="U10" s="129"/>
      <c r="W10" s="68" t="s">
        <v>21</v>
      </c>
      <c r="X10" s="68"/>
      <c r="Y10" s="68"/>
      <c r="Z10" s="54">
        <v>0</v>
      </c>
      <c r="AB10" s="54">
        <v>1</v>
      </c>
      <c r="AC10" s="68" t="s">
        <v>16</v>
      </c>
      <c r="AD10" s="68"/>
      <c r="AE10" s="68"/>
    </row>
    <row r="11" spans="1:31" x14ac:dyDescent="0.25">
      <c r="A11" s="18" t="s">
        <v>34</v>
      </c>
      <c r="B11" s="16">
        <v>2</v>
      </c>
      <c r="C11" s="16" t="s">
        <v>53</v>
      </c>
      <c r="D11" s="16">
        <v>0</v>
      </c>
      <c r="E11" s="19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30">
        <f>SUM(H2:H66)</f>
        <v>395</v>
      </c>
      <c r="R11" s="130"/>
      <c r="S11" s="130"/>
      <c r="T11" s="130"/>
      <c r="U11" s="130"/>
      <c r="W11" s="68" t="s">
        <v>55</v>
      </c>
      <c r="X11" s="68"/>
      <c r="Y11" s="68"/>
      <c r="Z11" s="54">
        <v>1</v>
      </c>
      <c r="AB11" s="54">
        <v>2</v>
      </c>
      <c r="AC11" s="68" t="s">
        <v>24</v>
      </c>
      <c r="AD11" s="68"/>
      <c r="AE11" s="68"/>
    </row>
    <row r="12" spans="1:31" x14ac:dyDescent="0.25">
      <c r="A12" s="18" t="s">
        <v>20</v>
      </c>
      <c r="B12" s="16">
        <v>2</v>
      </c>
      <c r="C12" s="16" t="s">
        <v>53</v>
      </c>
      <c r="D12" s="16">
        <v>0</v>
      </c>
      <c r="E12" s="19" t="s">
        <v>54</v>
      </c>
      <c r="H12" s="16">
        <v>5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30"/>
      <c r="R12" s="130"/>
      <c r="S12" s="130"/>
      <c r="T12" s="130"/>
      <c r="U12" s="130"/>
      <c r="W12" s="68" t="s">
        <v>31</v>
      </c>
      <c r="X12" s="68"/>
      <c r="Y12" s="68"/>
      <c r="Z12" s="54">
        <v>0</v>
      </c>
      <c r="AB12" s="54">
        <v>1</v>
      </c>
      <c r="AC12" s="68" t="s">
        <v>6</v>
      </c>
      <c r="AD12" s="68"/>
      <c r="AE12" s="68"/>
    </row>
    <row r="13" spans="1:31" x14ac:dyDescent="0.25">
      <c r="A13" s="18" t="s">
        <v>21</v>
      </c>
      <c r="B13" s="16">
        <v>0</v>
      </c>
      <c r="C13" s="16" t="s">
        <v>53</v>
      </c>
      <c r="D13" s="16">
        <v>1</v>
      </c>
      <c r="E13" s="19" t="s">
        <v>54</v>
      </c>
      <c r="H13" s="16">
        <v>25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30"/>
      <c r="R13" s="130"/>
      <c r="S13" s="130"/>
      <c r="T13" s="130"/>
      <c r="U13" s="130"/>
      <c r="W13" s="68" t="s">
        <v>17</v>
      </c>
      <c r="X13" s="68"/>
      <c r="Y13" s="68"/>
      <c r="Z13" s="54">
        <v>2</v>
      </c>
      <c r="AB13" s="54">
        <v>1</v>
      </c>
      <c r="AC13" s="68" t="s">
        <v>13</v>
      </c>
      <c r="AD13" s="68"/>
      <c r="AE13" s="68"/>
    </row>
    <row r="14" spans="1:31" x14ac:dyDescent="0.25">
      <c r="A14" s="18" t="s">
        <v>34</v>
      </c>
      <c r="B14" s="16">
        <v>1</v>
      </c>
      <c r="C14" s="16" t="s">
        <v>53</v>
      </c>
      <c r="D14" s="16">
        <v>2</v>
      </c>
      <c r="E14" s="19" t="s">
        <v>20</v>
      </c>
      <c r="H14" s="16">
        <v>10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30"/>
      <c r="R14" s="130"/>
      <c r="S14" s="130"/>
      <c r="T14" s="130"/>
      <c r="U14" s="130"/>
      <c r="W14" s="68"/>
      <c r="X14" s="68"/>
      <c r="Y14" s="68"/>
      <c r="AC14" s="68"/>
      <c r="AD14" s="68"/>
      <c r="AE14" s="68"/>
    </row>
    <row r="15" spans="1:31" x14ac:dyDescent="0.25">
      <c r="A15" s="127" t="s">
        <v>64</v>
      </c>
      <c r="B15" s="127"/>
      <c r="C15" s="127"/>
      <c r="D15" s="127"/>
      <c r="E15" s="127"/>
      <c r="J15" s="17" t="str">
        <f>IF(Tabela!F16="","",Tabela!F16)</f>
        <v/>
      </c>
      <c r="K15" s="128" t="s">
        <v>64</v>
      </c>
      <c r="L15" s="128"/>
      <c r="M15" s="128"/>
      <c r="N15" s="128"/>
      <c r="O15" s="128"/>
      <c r="Q15" s="130"/>
      <c r="R15" s="130"/>
      <c r="S15" s="130"/>
      <c r="T15" s="130"/>
      <c r="U15" s="130"/>
      <c r="W15" s="68"/>
      <c r="X15" s="68"/>
      <c r="Y15" s="68"/>
      <c r="AC15" s="68"/>
      <c r="AD15" s="68"/>
      <c r="AE15" s="68"/>
    </row>
    <row r="16" spans="1:31" x14ac:dyDescent="0.25">
      <c r="A16" s="18" t="s">
        <v>5</v>
      </c>
      <c r="B16" s="16">
        <v>4</v>
      </c>
      <c r="C16" s="16" t="s">
        <v>53</v>
      </c>
      <c r="D16" s="16">
        <v>1</v>
      </c>
      <c r="E16" s="19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68"/>
      <c r="X16" s="68"/>
      <c r="Y16" s="68"/>
      <c r="AC16" s="68"/>
      <c r="AD16" s="68"/>
      <c r="AE16" s="68"/>
    </row>
    <row r="17" spans="1:31" x14ac:dyDescent="0.25">
      <c r="A17" s="18" t="s">
        <v>24</v>
      </c>
      <c r="B17" s="16">
        <v>1</v>
      </c>
      <c r="C17" s="16" t="s">
        <v>53</v>
      </c>
      <c r="D17" s="16">
        <v>1</v>
      </c>
      <c r="E17" s="19" t="s">
        <v>26</v>
      </c>
      <c r="H17" s="16">
        <v>10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68"/>
      <c r="X17" s="68"/>
      <c r="Y17" s="68"/>
      <c r="AC17" s="68"/>
      <c r="AD17" s="68"/>
      <c r="AE17" s="68"/>
    </row>
    <row r="18" spans="1:31" x14ac:dyDescent="0.25">
      <c r="A18" s="18" t="s">
        <v>26</v>
      </c>
      <c r="B18" s="16">
        <v>1</v>
      </c>
      <c r="C18" s="16" t="s">
        <v>53</v>
      </c>
      <c r="D18" s="16">
        <v>0</v>
      </c>
      <c r="E18" s="19" t="s">
        <v>55</v>
      </c>
      <c r="H18" s="16">
        <v>15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W18" s="68"/>
      <c r="X18" s="68"/>
      <c r="Y18" s="68"/>
      <c r="AC18" s="68"/>
      <c r="AD18" s="68"/>
      <c r="AE18" s="68"/>
    </row>
    <row r="19" spans="1:31" x14ac:dyDescent="0.25">
      <c r="A19" s="18" t="s">
        <v>5</v>
      </c>
      <c r="B19" s="16">
        <v>2</v>
      </c>
      <c r="C19" s="16" t="s">
        <v>53</v>
      </c>
      <c r="D19" s="16">
        <v>1</v>
      </c>
      <c r="E19" s="19" t="s">
        <v>24</v>
      </c>
      <c r="H19" s="16">
        <v>15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W19" s="68"/>
      <c r="X19" s="68"/>
      <c r="Y19" s="68"/>
      <c r="AC19" s="68"/>
      <c r="AD19" s="68"/>
      <c r="AE19" s="68"/>
    </row>
    <row r="20" spans="1:31" x14ac:dyDescent="0.25">
      <c r="A20" s="18" t="s">
        <v>26</v>
      </c>
      <c r="B20" s="16">
        <v>1</v>
      </c>
      <c r="C20" s="16" t="s">
        <v>53</v>
      </c>
      <c r="D20" s="16">
        <v>3</v>
      </c>
      <c r="E20" s="19" t="s">
        <v>5</v>
      </c>
      <c r="H20" s="16">
        <v>10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68"/>
      <c r="X20" s="68"/>
      <c r="Y20" s="68"/>
      <c r="AC20" s="68"/>
      <c r="AD20" s="68"/>
      <c r="AE20" s="68"/>
    </row>
    <row r="21" spans="1:31" x14ac:dyDescent="0.25">
      <c r="A21" s="18" t="s">
        <v>55</v>
      </c>
      <c r="B21" s="16">
        <v>1</v>
      </c>
      <c r="C21" s="16" t="s">
        <v>53</v>
      </c>
      <c r="D21" s="16">
        <v>2</v>
      </c>
      <c r="E21" s="19" t="s">
        <v>24</v>
      </c>
      <c r="H21" s="16">
        <v>25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W21" s="68"/>
      <c r="X21" s="68"/>
      <c r="Y21" s="68"/>
      <c r="AC21" s="68"/>
      <c r="AD21" s="68"/>
      <c r="AE21" s="68"/>
    </row>
    <row r="22" spans="1:31" x14ac:dyDescent="0.25">
      <c r="A22" s="127" t="s">
        <v>63</v>
      </c>
      <c r="B22" s="127"/>
      <c r="C22" s="127"/>
      <c r="D22" s="127"/>
      <c r="E22" s="127"/>
      <c r="J22" s="17" t="str">
        <f>IF(Tabela!F23="","",Tabela!F23)</f>
        <v/>
      </c>
      <c r="K22" s="128" t="s">
        <v>63</v>
      </c>
      <c r="L22" s="128"/>
      <c r="M22" s="128"/>
      <c r="N22" s="128"/>
      <c r="O22" s="128"/>
      <c r="W22" s="68"/>
      <c r="X22" s="68"/>
      <c r="Y22" s="68"/>
      <c r="AC22" s="68"/>
      <c r="AD22" s="68"/>
      <c r="AE22" s="68"/>
    </row>
    <row r="23" spans="1:31" x14ac:dyDescent="0.25">
      <c r="A23" s="18" t="s">
        <v>13</v>
      </c>
      <c r="B23" s="16">
        <v>1</v>
      </c>
      <c r="C23" s="16" t="s">
        <v>53</v>
      </c>
      <c r="D23" s="16">
        <v>1</v>
      </c>
      <c r="E23" s="19" t="s">
        <v>31</v>
      </c>
      <c r="H23" s="16">
        <v>10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68"/>
      <c r="X23" s="68"/>
      <c r="Y23" s="68"/>
      <c r="AC23" s="68"/>
      <c r="AD23" s="68"/>
      <c r="AE23" s="68"/>
    </row>
    <row r="24" spans="1:31" x14ac:dyDescent="0.25">
      <c r="A24" s="18" t="s">
        <v>17</v>
      </c>
      <c r="B24" s="16">
        <v>2</v>
      </c>
      <c r="C24" s="16" t="s">
        <v>53</v>
      </c>
      <c r="D24" s="16">
        <v>1</v>
      </c>
      <c r="E24" s="19" t="s">
        <v>6</v>
      </c>
      <c r="H24" s="16">
        <v>15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Q24" s="17">
        <v>25</v>
      </c>
      <c r="R24" s="17">
        <v>15</v>
      </c>
      <c r="S24" s="17">
        <v>10</v>
      </c>
      <c r="T24" s="17">
        <v>5</v>
      </c>
      <c r="U24" s="17">
        <v>0</v>
      </c>
      <c r="W24" s="68"/>
      <c r="X24" s="68"/>
      <c r="Y24" s="68"/>
      <c r="AC24" s="68"/>
      <c r="AD24" s="68"/>
      <c r="AE24" s="68"/>
    </row>
    <row r="25" spans="1:31" x14ac:dyDescent="0.25">
      <c r="A25" s="18" t="s">
        <v>31</v>
      </c>
      <c r="B25" s="16">
        <v>0</v>
      </c>
      <c r="C25" s="16" t="s">
        <v>53</v>
      </c>
      <c r="D25" s="16">
        <v>1</v>
      </c>
      <c r="E25" s="19" t="s">
        <v>6</v>
      </c>
      <c r="H25" s="16">
        <v>25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Q25" s="22">
        <v>4</v>
      </c>
      <c r="R25" s="22">
        <v>10</v>
      </c>
      <c r="S25" s="22">
        <v>9</v>
      </c>
      <c r="T25" s="22">
        <v>11</v>
      </c>
      <c r="U25" s="22">
        <v>14</v>
      </c>
      <c r="W25" s="68"/>
      <c r="X25" s="68"/>
      <c r="Y25" s="68"/>
      <c r="AC25" s="68"/>
      <c r="AD25" s="68"/>
      <c r="AE25" s="68"/>
    </row>
    <row r="26" spans="1:31" x14ac:dyDescent="0.25">
      <c r="A26" s="18" t="s">
        <v>17</v>
      </c>
      <c r="B26" s="16">
        <v>2</v>
      </c>
      <c r="C26" s="16" t="s">
        <v>53</v>
      </c>
      <c r="D26" s="16">
        <v>1</v>
      </c>
      <c r="E26" s="19" t="s">
        <v>13</v>
      </c>
      <c r="H26" s="16">
        <v>25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68"/>
      <c r="X26" s="68"/>
      <c r="Y26" s="68"/>
      <c r="AC26" s="68"/>
      <c r="AD26" s="68"/>
      <c r="AE26" s="68"/>
    </row>
    <row r="27" spans="1:31" x14ac:dyDescent="0.25">
      <c r="A27" s="18" t="s">
        <v>31</v>
      </c>
      <c r="B27" s="16">
        <v>1</v>
      </c>
      <c r="C27" s="16" t="s">
        <v>53</v>
      </c>
      <c r="D27" s="16">
        <v>3</v>
      </c>
      <c r="E27" s="19" t="s">
        <v>17</v>
      </c>
      <c r="H27" s="16">
        <v>5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Q27" s="124" t="s">
        <v>42</v>
      </c>
      <c r="R27" s="124"/>
      <c r="S27" s="125" t="s">
        <v>8</v>
      </c>
      <c r="T27" s="125"/>
      <c r="U27" s="125" t="s">
        <v>5</v>
      </c>
      <c r="V27" s="125"/>
      <c r="W27" s="68"/>
      <c r="X27" s="68"/>
      <c r="Y27" s="68"/>
      <c r="AC27" s="68"/>
      <c r="AD27" s="68"/>
      <c r="AE27" s="68"/>
    </row>
    <row r="28" spans="1:31" x14ac:dyDescent="0.25">
      <c r="A28" s="18" t="s">
        <v>6</v>
      </c>
      <c r="B28" s="16">
        <v>1</v>
      </c>
      <c r="C28" s="16" t="s">
        <v>53</v>
      </c>
      <c r="D28" s="16">
        <v>2</v>
      </c>
      <c r="E28" s="19" t="s">
        <v>13</v>
      </c>
      <c r="H28" s="16">
        <v>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Q28" s="124" t="s">
        <v>41</v>
      </c>
      <c r="R28" s="124"/>
      <c r="S28" s="126" t="s">
        <v>127</v>
      </c>
      <c r="T28" s="126"/>
      <c r="U28" s="126" t="s">
        <v>131</v>
      </c>
      <c r="V28" s="126"/>
      <c r="W28" s="68"/>
      <c r="X28" s="68"/>
      <c r="Y28" s="68"/>
      <c r="AC28" s="68"/>
      <c r="AD28" s="68"/>
      <c r="AE28" s="68"/>
    </row>
    <row r="29" spans="1:31" x14ac:dyDescent="0.25">
      <c r="A29" s="127" t="s">
        <v>62</v>
      </c>
      <c r="B29" s="127"/>
      <c r="C29" s="127"/>
      <c r="D29" s="127"/>
      <c r="E29" s="127"/>
      <c r="K29" s="128" t="s">
        <v>62</v>
      </c>
      <c r="L29" s="128"/>
      <c r="M29" s="128"/>
      <c r="N29" s="128"/>
      <c r="O29" s="128"/>
      <c r="W29" s="68"/>
      <c r="X29" s="68"/>
      <c r="Y29" s="68"/>
      <c r="AC29" s="68"/>
      <c r="AD29" s="68"/>
      <c r="AE29" s="68"/>
    </row>
    <row r="30" spans="1:31" x14ac:dyDescent="0.25">
      <c r="A30" s="18" t="s">
        <v>4</v>
      </c>
      <c r="B30" s="16">
        <v>2</v>
      </c>
      <c r="C30" s="16" t="s">
        <v>53</v>
      </c>
      <c r="D30" s="16">
        <v>0</v>
      </c>
      <c r="E30" s="19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68"/>
      <c r="X30" s="68"/>
      <c r="Y30" s="68"/>
      <c r="AC30" s="68"/>
      <c r="AD30" s="68"/>
      <c r="AE30" s="68"/>
    </row>
    <row r="31" spans="1:31" x14ac:dyDescent="0.25">
      <c r="A31" s="18" t="s">
        <v>15</v>
      </c>
      <c r="B31" s="16">
        <v>2</v>
      </c>
      <c r="C31" s="16" t="s">
        <v>53</v>
      </c>
      <c r="D31" s="16">
        <v>0</v>
      </c>
      <c r="E31" s="19" t="s">
        <v>56</v>
      </c>
      <c r="H31" s="16">
        <v>15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1</v>
      </c>
      <c r="C32" s="16" t="s">
        <v>53</v>
      </c>
      <c r="D32" s="16">
        <v>0</v>
      </c>
      <c r="E32" s="19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2</v>
      </c>
      <c r="C33" s="16" t="s">
        <v>53</v>
      </c>
      <c r="D33" s="16">
        <v>2</v>
      </c>
      <c r="E33" s="19" t="s">
        <v>4</v>
      </c>
      <c r="H33" s="16">
        <v>10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1</v>
      </c>
      <c r="C34" s="16" t="s">
        <v>53</v>
      </c>
      <c r="D34" s="16">
        <v>2</v>
      </c>
      <c r="E34" s="19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0</v>
      </c>
      <c r="C35" s="16" t="s">
        <v>53</v>
      </c>
      <c r="D35" s="16">
        <v>3</v>
      </c>
      <c r="E35" s="19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27" t="s">
        <v>61</v>
      </c>
      <c r="B36" s="127"/>
      <c r="C36" s="127"/>
      <c r="D36" s="127"/>
      <c r="E36" s="127"/>
      <c r="J36" s="17" t="str">
        <f>IF(Tabela!L9="","",Tabela!L9)</f>
        <v/>
      </c>
      <c r="K36" s="128" t="s">
        <v>61</v>
      </c>
      <c r="L36" s="128"/>
      <c r="M36" s="128"/>
      <c r="N36" s="128"/>
      <c r="O36" s="128"/>
    </row>
    <row r="37" spans="1:15" x14ac:dyDescent="0.25">
      <c r="A37" s="18" t="s">
        <v>23</v>
      </c>
      <c r="B37" s="16">
        <v>0</v>
      </c>
      <c r="C37" s="16" t="s">
        <v>53</v>
      </c>
      <c r="D37" s="16">
        <v>1</v>
      </c>
      <c r="E37" s="19" t="s">
        <v>12</v>
      </c>
      <c r="H37" s="16">
        <v>5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2</v>
      </c>
      <c r="C38" s="16" t="s">
        <v>53</v>
      </c>
      <c r="D38" s="16">
        <v>0</v>
      </c>
      <c r="E38" s="19" t="s">
        <v>10</v>
      </c>
      <c r="H38" s="16">
        <v>15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3</v>
      </c>
      <c r="C39" s="16" t="s">
        <v>53</v>
      </c>
      <c r="D39" s="16">
        <v>0</v>
      </c>
      <c r="E39" s="19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1</v>
      </c>
      <c r="C40" s="16" t="s">
        <v>53</v>
      </c>
      <c r="D40" s="16">
        <v>1</v>
      </c>
      <c r="E40" s="19" t="s">
        <v>10</v>
      </c>
      <c r="H40" s="16">
        <v>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1</v>
      </c>
      <c r="C41" s="16" t="s">
        <v>53</v>
      </c>
      <c r="D41" s="16">
        <v>3</v>
      </c>
      <c r="E41" s="19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2</v>
      </c>
      <c r="C42" s="16" t="s">
        <v>53</v>
      </c>
      <c r="D42" s="16">
        <v>2</v>
      </c>
      <c r="E42" s="19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27" t="s">
        <v>60</v>
      </c>
      <c r="B43" s="127"/>
      <c r="C43" s="127"/>
      <c r="D43" s="127"/>
      <c r="E43" s="127"/>
      <c r="J43" s="17" t="str">
        <f>IF(Tabela!L16="","",Tabela!L16)</f>
        <v/>
      </c>
      <c r="K43" s="128" t="s">
        <v>60</v>
      </c>
      <c r="L43" s="128"/>
      <c r="M43" s="128"/>
      <c r="N43" s="128"/>
      <c r="O43" s="128"/>
    </row>
    <row r="44" spans="1:15" x14ac:dyDescent="0.25">
      <c r="A44" s="18" t="s">
        <v>30</v>
      </c>
      <c r="B44" s="16">
        <v>0</v>
      </c>
      <c r="C44" s="16" t="s">
        <v>53</v>
      </c>
      <c r="D44" s="16">
        <v>0</v>
      </c>
      <c r="E44" s="19" t="s">
        <v>9</v>
      </c>
      <c r="H44" s="16">
        <v>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3</v>
      </c>
      <c r="C45" s="16" t="s">
        <v>53</v>
      </c>
      <c r="D45" s="16">
        <v>0</v>
      </c>
      <c r="E45" s="19" t="s">
        <v>29</v>
      </c>
      <c r="H45" s="16">
        <v>15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2</v>
      </c>
      <c r="E46" s="19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1</v>
      </c>
      <c r="E47" s="19" t="s">
        <v>30</v>
      </c>
      <c r="H47" s="16">
        <v>10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4</v>
      </c>
      <c r="E48" s="19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1</v>
      </c>
      <c r="E49" s="19" t="s">
        <v>30</v>
      </c>
      <c r="H49" s="16">
        <v>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27" t="s">
        <v>59</v>
      </c>
      <c r="B50" s="127"/>
      <c r="C50" s="127"/>
      <c r="D50" s="127"/>
      <c r="E50" s="127"/>
      <c r="J50" s="17" t="str">
        <f>IF(Tabela!L23="","",Tabela!L23)</f>
        <v/>
      </c>
      <c r="K50" s="128" t="s">
        <v>59</v>
      </c>
      <c r="L50" s="128"/>
      <c r="M50" s="128"/>
      <c r="N50" s="128"/>
      <c r="O50" s="128"/>
    </row>
    <row r="51" spans="1:15" x14ac:dyDescent="0.25">
      <c r="A51" s="18" t="s">
        <v>32</v>
      </c>
      <c r="B51" s="16">
        <v>2</v>
      </c>
      <c r="C51" s="16" t="s">
        <v>53</v>
      </c>
      <c r="D51" s="16">
        <v>1</v>
      </c>
      <c r="E51" s="19" t="s">
        <v>67</v>
      </c>
      <c r="H51" s="16">
        <v>0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3</v>
      </c>
      <c r="C52" s="16" t="s">
        <v>53</v>
      </c>
      <c r="D52" s="16">
        <v>1</v>
      </c>
      <c r="E52" s="19" t="s">
        <v>18</v>
      </c>
      <c r="H52" s="16">
        <v>15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2</v>
      </c>
      <c r="C53" s="16" t="s">
        <v>53</v>
      </c>
      <c r="D53" s="16">
        <v>1</v>
      </c>
      <c r="E53" s="19" t="s">
        <v>18</v>
      </c>
      <c r="H53" s="16">
        <v>5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2</v>
      </c>
      <c r="C54" s="16" t="s">
        <v>53</v>
      </c>
      <c r="D54" s="16">
        <v>2</v>
      </c>
      <c r="E54" s="19" t="s">
        <v>32</v>
      </c>
      <c r="H54" s="16">
        <v>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2</v>
      </c>
      <c r="E55" s="19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2</v>
      </c>
      <c r="E56" s="19" t="s">
        <v>32</v>
      </c>
      <c r="H56" s="16">
        <v>15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145" t="s">
        <v>173</v>
      </c>
    </row>
    <row r="58" spans="1:15" x14ac:dyDescent="0.25">
      <c r="A58" s="135" t="str">
        <f>_xlfn.CONCAT(W2,A57)</f>
        <v>Robert - Oitavas de Final</v>
      </c>
      <c r="B58" s="135"/>
      <c r="C58" s="135"/>
      <c r="D58" s="135"/>
      <c r="E58" s="135"/>
      <c r="K58" s="136" t="s">
        <v>171</v>
      </c>
      <c r="L58" s="136"/>
      <c r="M58" s="136"/>
      <c r="N58" s="136"/>
      <c r="O58" s="136"/>
    </row>
    <row r="59" spans="1:15" x14ac:dyDescent="0.25">
      <c r="A59" s="133" t="s">
        <v>170</v>
      </c>
      <c r="B59" s="133"/>
      <c r="C59" s="133"/>
      <c r="D59" s="133"/>
      <c r="E59" s="133"/>
      <c r="H59" s="16">
        <v>0</v>
      </c>
      <c r="J59" s="17" t="str">
        <f>IF(Tabela!F32="","",Tabela!F32)</f>
        <v/>
      </c>
      <c r="K59" s="67" t="str">
        <f>Tabela!A32</f>
        <v>Holanda</v>
      </c>
      <c r="L59" s="67">
        <f>Tabela!B32</f>
        <v>3</v>
      </c>
      <c r="M59" s="67" t="str">
        <f>Tabela!C32</f>
        <v>X</v>
      </c>
      <c r="N59" s="67">
        <f>Tabela!D32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0</v>
      </c>
      <c r="E60" s="65" t="s">
        <v>6</v>
      </c>
      <c r="J60" s="17" t="str">
        <f>IF(Tabela!F33="","",Tabela!F33)</f>
        <v>N</v>
      </c>
      <c r="K60" s="67" t="str">
        <f>Tabela!A33</f>
        <v>Argentina</v>
      </c>
      <c r="L60" s="67">
        <f>Tabela!B33</f>
        <v>0</v>
      </c>
      <c r="M60" s="67" t="str">
        <f>Tabela!C33</f>
        <v>X</v>
      </c>
      <c r="N60" s="67">
        <f>Tabela!D33</f>
        <v>0</v>
      </c>
      <c r="O60" s="67" t="str">
        <f>Tabela!E33</f>
        <v>Austrália</v>
      </c>
    </row>
    <row r="61" spans="1:15" x14ac:dyDescent="0.25">
      <c r="A61" s="66" t="s">
        <v>22</v>
      </c>
      <c r="B61" s="2">
        <v>2</v>
      </c>
      <c r="C61" s="2" t="s">
        <v>53</v>
      </c>
      <c r="D61" s="2">
        <v>1</v>
      </c>
      <c r="E61" s="65" t="s">
        <v>12</v>
      </c>
      <c r="J61" s="17" t="str">
        <f>IF(Tabela!F34="","",Tabela!F34)</f>
        <v>N</v>
      </c>
      <c r="K61" s="67" t="str">
        <f>Tabela!A34</f>
        <v>Japão</v>
      </c>
      <c r="L61" s="67">
        <f>Tabela!B34</f>
        <v>0</v>
      </c>
      <c r="M61" s="67" t="str">
        <f>Tabela!C34</f>
        <v>X</v>
      </c>
      <c r="N61" s="67">
        <f>Tabela!D34</f>
        <v>0</v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0</v>
      </c>
      <c r="E62" s="65" t="s">
        <v>167</v>
      </c>
      <c r="J62" s="17" t="str">
        <f>IF(Tabela!F35="","",Tabela!F35)</f>
        <v>N</v>
      </c>
      <c r="K62" s="67" t="str">
        <f>Tabela!A35</f>
        <v>Brasil</v>
      </c>
      <c r="L62" s="67">
        <f>Tabela!B35</f>
        <v>0</v>
      </c>
      <c r="M62" s="67" t="str">
        <f>Tabela!C35</f>
        <v>X</v>
      </c>
      <c r="N62" s="67">
        <f>Tabela!D35</f>
        <v>0</v>
      </c>
      <c r="O62" s="67" t="str">
        <f>Tabela!E35</f>
        <v>Coréia</v>
      </c>
    </row>
    <row r="63" spans="1:15" x14ac:dyDescent="0.25">
      <c r="A63" s="66" t="s">
        <v>20</v>
      </c>
      <c r="B63" s="2">
        <v>1</v>
      </c>
      <c r="C63" s="2" t="s">
        <v>53</v>
      </c>
      <c r="D63" s="2">
        <v>0</v>
      </c>
      <c r="E63" s="65" t="s">
        <v>28</v>
      </c>
      <c r="J63" s="17" t="str">
        <f>IF(Tabela!F36="","",Tabela!F36)</f>
        <v>N</v>
      </c>
      <c r="K63" s="67" t="str">
        <f>Tabela!A36</f>
        <v>Inglaterra</v>
      </c>
      <c r="L63" s="67">
        <f>Tabela!B36</f>
        <v>0</v>
      </c>
      <c r="M63" s="67" t="str">
        <f>Tabela!C36</f>
        <v>X</v>
      </c>
      <c r="N63" s="67">
        <f>Tabela!D36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3</v>
      </c>
      <c r="C64" s="2" t="s">
        <v>53</v>
      </c>
      <c r="D64" s="2">
        <v>0</v>
      </c>
      <c r="E64" s="65" t="s">
        <v>26</v>
      </c>
      <c r="J64" s="17" t="str">
        <f>IF(Tabela!F37="","",Tabela!F37)</f>
        <v>N</v>
      </c>
      <c r="K64" s="67" t="str">
        <f>Tabela!A37</f>
        <v>França</v>
      </c>
      <c r="L64" s="67">
        <f>Tabela!B37</f>
        <v>0</v>
      </c>
      <c r="M64" s="67" t="str">
        <f>Tabela!C37</f>
        <v>X</v>
      </c>
      <c r="N64" s="67">
        <f>Tabela!D37</f>
        <v>0</v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2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7">
        <f>Tabela!B38</f>
        <v>0</v>
      </c>
      <c r="M65" s="67" t="str">
        <f>Tabela!C38</f>
        <v>X</v>
      </c>
      <c r="N65" s="67">
        <f>Tabela!D38</f>
        <v>0</v>
      </c>
      <c r="O65" s="67" t="str">
        <f>Tabela!E38</f>
        <v>Espanha</v>
      </c>
    </row>
    <row r="66" spans="1:15" x14ac:dyDescent="0.25">
      <c r="A66" s="66" t="s">
        <v>27</v>
      </c>
      <c r="B66" s="2">
        <v>1</v>
      </c>
      <c r="C66" s="2" t="s">
        <v>53</v>
      </c>
      <c r="D66" s="2">
        <v>0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7">
        <f>Tabela!B39</f>
        <v>0</v>
      </c>
      <c r="M66" s="67" t="str">
        <f>Tabela!C39</f>
        <v>X</v>
      </c>
      <c r="N66" s="67">
        <f>Tabela!D39</f>
        <v>0</v>
      </c>
      <c r="O66" s="67" t="str">
        <f>Tabela!E39</f>
        <v>Suíça</v>
      </c>
    </row>
  </sheetData>
  <mergeCells count="72">
    <mergeCell ref="A58:E58"/>
    <mergeCell ref="K58:O58"/>
    <mergeCell ref="A59:E59"/>
    <mergeCell ref="W30:Y30"/>
    <mergeCell ref="AC30:AE30"/>
    <mergeCell ref="W27:Y27"/>
    <mergeCell ref="AC27:AE27"/>
    <mergeCell ref="W28:Y28"/>
    <mergeCell ref="AC28:AE28"/>
    <mergeCell ref="W29:Y29"/>
    <mergeCell ref="AC29:AE29"/>
    <mergeCell ref="K29:O29"/>
    <mergeCell ref="A36:E36"/>
    <mergeCell ref="A43:E43"/>
    <mergeCell ref="A50:E50"/>
    <mergeCell ref="A29:E29"/>
    <mergeCell ref="Q27:R27"/>
    <mergeCell ref="S27:T27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K1:O1"/>
    <mergeCell ref="K8:O8"/>
    <mergeCell ref="K36:O36"/>
    <mergeCell ref="K43:O43"/>
    <mergeCell ref="K50:O50"/>
    <mergeCell ref="A2:E2"/>
    <mergeCell ref="A1:E1"/>
    <mergeCell ref="A8:E8"/>
    <mergeCell ref="A15:E15"/>
    <mergeCell ref="A22:E22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5:Y15"/>
    <mergeCell ref="AC15:AE15"/>
    <mergeCell ref="W16:Y16"/>
    <mergeCell ref="U27:V27"/>
    <mergeCell ref="Q28:R28"/>
    <mergeCell ref="S28:T28"/>
    <mergeCell ref="U28:V28"/>
    <mergeCell ref="W2:AE6"/>
    <mergeCell ref="Q9:U10"/>
    <mergeCell ref="Q11:U15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17F9A-EC47-4C48-9AE7-DF29CDC027AD}">
  <sheetPr codeName="Planilha15">
    <tabColor rgb="FF0070C0"/>
  </sheetPr>
  <dimension ref="A1:AE66"/>
  <sheetViews>
    <sheetView zoomScale="85" zoomScaleNormal="85" workbookViewId="0">
      <pane xSplit="15" ySplit="16" topLeftCell="P18" activePane="bottomRight" state="frozen"/>
      <selection pane="topRight" activeCell="P1" sqref="P1"/>
      <selection pane="bottomLeft" activeCell="A17" sqref="A17"/>
      <selection pane="bottomRight" activeCell="Q25" sqref="Q25:U25"/>
    </sheetView>
  </sheetViews>
  <sheetFormatPr defaultRowHeight="15" x14ac:dyDescent="0.25"/>
  <cols>
    <col min="1" max="1" width="17.7109375" style="16" customWidth="1"/>
    <col min="2" max="4" width="5.7109375" style="16" customWidth="1"/>
    <col min="5" max="5" width="17.7109375" style="16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4" width="5.7109375" style="17" customWidth="1"/>
    <col min="35" max="16384" width="9.140625" style="17"/>
  </cols>
  <sheetData>
    <row r="1" spans="1:31" x14ac:dyDescent="0.25">
      <c r="A1" s="127" t="s">
        <v>58</v>
      </c>
      <c r="B1" s="127"/>
      <c r="C1" s="127"/>
      <c r="D1" s="127"/>
      <c r="E1" s="127"/>
      <c r="K1" s="128" t="s">
        <v>58</v>
      </c>
      <c r="L1" s="128"/>
      <c r="M1" s="128"/>
      <c r="N1" s="128"/>
      <c r="O1" s="128"/>
    </row>
    <row r="2" spans="1:31" x14ac:dyDescent="0.25">
      <c r="A2" s="133" t="s">
        <v>43</v>
      </c>
      <c r="B2" s="133"/>
      <c r="C2" s="133"/>
      <c r="D2" s="133"/>
      <c r="E2" s="133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31" t="s">
        <v>80</v>
      </c>
      <c r="X2" s="131"/>
      <c r="Y2" s="131"/>
      <c r="Z2" s="131"/>
      <c r="AA2" s="131"/>
      <c r="AB2" s="131"/>
      <c r="AC2" s="131"/>
      <c r="AD2" s="131"/>
      <c r="AE2" s="131"/>
    </row>
    <row r="3" spans="1:31" x14ac:dyDescent="0.25">
      <c r="A3" s="16" t="s">
        <v>28</v>
      </c>
      <c r="B3" s="16">
        <v>0</v>
      </c>
      <c r="C3" s="16" t="s">
        <v>53</v>
      </c>
      <c r="D3" s="16">
        <v>3</v>
      </c>
      <c r="E3" s="16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31"/>
      <c r="X3" s="131"/>
      <c r="Y3" s="131"/>
      <c r="Z3" s="131"/>
      <c r="AA3" s="131"/>
      <c r="AB3" s="131"/>
      <c r="AC3" s="131"/>
      <c r="AD3" s="131"/>
      <c r="AE3" s="131"/>
    </row>
    <row r="4" spans="1:31" x14ac:dyDescent="0.25">
      <c r="A4" s="16" t="s">
        <v>11</v>
      </c>
      <c r="B4" s="16">
        <v>1</v>
      </c>
      <c r="C4" s="16" t="s">
        <v>53</v>
      </c>
      <c r="D4" s="16">
        <v>0</v>
      </c>
      <c r="E4" s="16" t="s">
        <v>28</v>
      </c>
      <c r="H4" s="16">
        <v>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31"/>
      <c r="X4" s="131"/>
      <c r="Y4" s="131"/>
      <c r="Z4" s="131"/>
      <c r="AA4" s="131"/>
      <c r="AB4" s="131"/>
      <c r="AC4" s="131"/>
      <c r="AD4" s="131"/>
      <c r="AE4" s="131"/>
    </row>
    <row r="5" spans="1:31" x14ac:dyDescent="0.25">
      <c r="A5" s="16" t="s">
        <v>19</v>
      </c>
      <c r="B5" s="16">
        <v>3</v>
      </c>
      <c r="C5" s="16" t="s">
        <v>53</v>
      </c>
      <c r="D5" s="16">
        <v>1</v>
      </c>
      <c r="E5" s="16" t="s">
        <v>14</v>
      </c>
      <c r="H5" s="16">
        <v>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31"/>
      <c r="X5" s="131"/>
      <c r="Y5" s="131"/>
      <c r="Z5" s="131"/>
      <c r="AA5" s="131"/>
      <c r="AB5" s="131"/>
      <c r="AC5" s="131"/>
      <c r="AD5" s="131"/>
      <c r="AE5" s="131"/>
    </row>
    <row r="6" spans="1:31" x14ac:dyDescent="0.25">
      <c r="A6" s="16" t="s">
        <v>19</v>
      </c>
      <c r="B6" s="16">
        <v>2</v>
      </c>
      <c r="C6" s="16" t="s">
        <v>53</v>
      </c>
      <c r="D6" s="16">
        <v>0</v>
      </c>
      <c r="E6" s="16" t="s">
        <v>11</v>
      </c>
      <c r="H6" s="16">
        <v>25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31"/>
      <c r="X6" s="131"/>
      <c r="Y6" s="131"/>
      <c r="Z6" s="131"/>
      <c r="AA6" s="131"/>
      <c r="AB6" s="131"/>
      <c r="AC6" s="131"/>
      <c r="AD6" s="131"/>
      <c r="AE6" s="131"/>
    </row>
    <row r="7" spans="1:31" x14ac:dyDescent="0.25">
      <c r="A7" s="16" t="s">
        <v>14</v>
      </c>
      <c r="B7" s="16">
        <v>2</v>
      </c>
      <c r="C7" s="16" t="s">
        <v>53</v>
      </c>
      <c r="D7" s="16">
        <v>1</v>
      </c>
      <c r="E7" s="16" t="s">
        <v>28</v>
      </c>
      <c r="H7" s="16">
        <v>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27" t="s">
        <v>65</v>
      </c>
      <c r="B8" s="127"/>
      <c r="C8" s="127"/>
      <c r="D8" s="127"/>
      <c r="E8" s="127"/>
      <c r="J8" s="17" t="str">
        <f>IF(Tabela!F9="","",Tabela!F9)</f>
        <v/>
      </c>
      <c r="K8" s="128" t="s">
        <v>65</v>
      </c>
      <c r="L8" s="128"/>
      <c r="M8" s="128"/>
      <c r="N8" s="128"/>
      <c r="O8" s="128"/>
    </row>
    <row r="9" spans="1:31" x14ac:dyDescent="0.25">
      <c r="A9" s="16" t="s">
        <v>20</v>
      </c>
      <c r="B9" s="16">
        <v>3</v>
      </c>
      <c r="C9" s="16" t="s">
        <v>53</v>
      </c>
      <c r="D9" s="16">
        <v>0</v>
      </c>
      <c r="E9" s="16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29" t="s">
        <v>66</v>
      </c>
      <c r="R9" s="129"/>
      <c r="S9" s="129"/>
      <c r="T9" s="129"/>
      <c r="U9" s="129"/>
      <c r="W9" s="68" t="s">
        <v>124</v>
      </c>
      <c r="X9" s="68"/>
      <c r="Y9" s="68"/>
      <c r="Z9" s="68"/>
      <c r="AA9" s="68"/>
      <c r="AB9" s="68"/>
      <c r="AC9" s="68"/>
      <c r="AD9" s="68"/>
      <c r="AE9" s="68"/>
    </row>
    <row r="10" spans="1:31" x14ac:dyDescent="0.25">
      <c r="A10" s="16" t="s">
        <v>54</v>
      </c>
      <c r="B10" s="16">
        <v>0</v>
      </c>
      <c r="C10" s="16" t="s">
        <v>53</v>
      </c>
      <c r="D10" s="16">
        <v>1</v>
      </c>
      <c r="E10" s="16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29"/>
      <c r="R10" s="129"/>
      <c r="S10" s="129"/>
      <c r="T10" s="129"/>
      <c r="U10" s="129"/>
      <c r="W10" s="68" t="s">
        <v>19</v>
      </c>
      <c r="X10" s="68"/>
      <c r="Y10" s="68"/>
      <c r="Z10" s="54">
        <v>2</v>
      </c>
      <c r="AB10" s="54">
        <v>0</v>
      </c>
      <c r="AC10" s="68" t="s">
        <v>11</v>
      </c>
      <c r="AD10" s="68"/>
      <c r="AE10" s="68"/>
    </row>
    <row r="11" spans="1:31" x14ac:dyDescent="0.25">
      <c r="A11" s="16" t="s">
        <v>34</v>
      </c>
      <c r="B11" s="16">
        <v>0</v>
      </c>
      <c r="C11" s="16" t="s">
        <v>53</v>
      </c>
      <c r="D11" s="16">
        <v>0</v>
      </c>
      <c r="E11" s="16" t="s">
        <v>21</v>
      </c>
      <c r="H11" s="16">
        <v>5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30">
        <f>SUM(H2:H66)</f>
        <v>400</v>
      </c>
      <c r="R11" s="130"/>
      <c r="S11" s="130"/>
      <c r="T11" s="130"/>
      <c r="U11" s="130"/>
      <c r="W11" s="68" t="s">
        <v>56</v>
      </c>
      <c r="X11" s="68"/>
      <c r="Y11" s="68"/>
      <c r="Z11" s="54">
        <v>2</v>
      </c>
      <c r="AB11" s="54">
        <v>4</v>
      </c>
      <c r="AC11" s="68" t="s">
        <v>4</v>
      </c>
      <c r="AD11" s="68"/>
      <c r="AE11" s="68"/>
    </row>
    <row r="12" spans="1:31" x14ac:dyDescent="0.25">
      <c r="A12" s="16" t="s">
        <v>20</v>
      </c>
      <c r="B12" s="16">
        <v>3</v>
      </c>
      <c r="C12" s="16" t="s">
        <v>53</v>
      </c>
      <c r="D12" s="16">
        <v>2</v>
      </c>
      <c r="E12" s="16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30"/>
      <c r="R12" s="130"/>
      <c r="S12" s="130"/>
      <c r="T12" s="130"/>
      <c r="U12" s="130"/>
      <c r="W12" s="68" t="s">
        <v>32</v>
      </c>
      <c r="X12" s="68"/>
      <c r="Y12" s="68"/>
      <c r="Z12" s="54">
        <v>0</v>
      </c>
      <c r="AB12" s="54">
        <v>0</v>
      </c>
      <c r="AC12" s="68" t="s">
        <v>67</v>
      </c>
      <c r="AD12" s="68"/>
      <c r="AE12" s="68"/>
    </row>
    <row r="13" spans="1:31" x14ac:dyDescent="0.25">
      <c r="A13" s="16" t="s">
        <v>21</v>
      </c>
      <c r="B13" s="16">
        <v>1</v>
      </c>
      <c r="C13" s="16" t="s">
        <v>53</v>
      </c>
      <c r="D13" s="16">
        <v>1</v>
      </c>
      <c r="E13" s="16" t="s">
        <v>54</v>
      </c>
      <c r="H13" s="16">
        <v>5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30"/>
      <c r="R13" s="130"/>
      <c r="S13" s="130"/>
      <c r="T13" s="130"/>
      <c r="U13" s="130"/>
      <c r="W13" s="68"/>
      <c r="X13" s="68"/>
      <c r="Y13" s="68"/>
      <c r="AC13" s="68"/>
      <c r="AD13" s="68"/>
      <c r="AE13" s="68"/>
    </row>
    <row r="14" spans="1:31" x14ac:dyDescent="0.25">
      <c r="A14" s="16" t="s">
        <v>34</v>
      </c>
      <c r="B14" s="16">
        <v>0</v>
      </c>
      <c r="C14" s="16" t="s">
        <v>53</v>
      </c>
      <c r="D14" s="16">
        <v>2</v>
      </c>
      <c r="E14" s="16" t="s">
        <v>20</v>
      </c>
      <c r="H14" s="16">
        <v>15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30"/>
      <c r="R14" s="130"/>
      <c r="S14" s="130"/>
      <c r="T14" s="130"/>
      <c r="U14" s="130"/>
      <c r="W14" s="68"/>
      <c r="X14" s="68"/>
      <c r="Y14" s="68"/>
      <c r="AC14" s="68"/>
      <c r="AD14" s="68"/>
      <c r="AE14" s="68"/>
    </row>
    <row r="15" spans="1:31" x14ac:dyDescent="0.25">
      <c r="A15" s="127" t="s">
        <v>64</v>
      </c>
      <c r="B15" s="127"/>
      <c r="C15" s="127"/>
      <c r="D15" s="127"/>
      <c r="E15" s="127"/>
      <c r="J15" s="17" t="str">
        <f>IF(Tabela!F16="","",Tabela!F16)</f>
        <v/>
      </c>
      <c r="K15" s="128" t="s">
        <v>64</v>
      </c>
      <c r="L15" s="128"/>
      <c r="M15" s="128"/>
      <c r="N15" s="128"/>
      <c r="O15" s="128"/>
      <c r="Q15" s="130"/>
      <c r="R15" s="130"/>
      <c r="S15" s="130"/>
      <c r="T15" s="130"/>
      <c r="U15" s="130"/>
      <c r="W15" s="68"/>
      <c r="X15" s="68"/>
      <c r="Y15" s="68"/>
      <c r="AC15" s="68"/>
      <c r="AD15" s="68"/>
      <c r="AE15" s="68"/>
    </row>
    <row r="16" spans="1:31" x14ac:dyDescent="0.25">
      <c r="A16" s="16" t="s">
        <v>5</v>
      </c>
      <c r="B16" s="16">
        <v>3</v>
      </c>
      <c r="C16" s="16" t="s">
        <v>53</v>
      </c>
      <c r="D16" s="16">
        <v>1</v>
      </c>
      <c r="E16" s="16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68"/>
      <c r="X16" s="68"/>
      <c r="Y16" s="68"/>
      <c r="AC16" s="68"/>
      <c r="AD16" s="68"/>
      <c r="AE16" s="68"/>
    </row>
    <row r="17" spans="1:31" x14ac:dyDescent="0.25">
      <c r="A17" s="16" t="s">
        <v>24</v>
      </c>
      <c r="B17" s="16">
        <v>2</v>
      </c>
      <c r="C17" s="16" t="s">
        <v>53</v>
      </c>
      <c r="D17" s="16">
        <v>1</v>
      </c>
      <c r="E17" s="16" t="s">
        <v>26</v>
      </c>
      <c r="H17" s="16">
        <v>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68"/>
      <c r="X17" s="68"/>
      <c r="Y17" s="68"/>
      <c r="AC17" s="68"/>
      <c r="AD17" s="68"/>
      <c r="AE17" s="68"/>
    </row>
    <row r="18" spans="1:31" x14ac:dyDescent="0.25">
      <c r="A18" s="16" t="s">
        <v>26</v>
      </c>
      <c r="B18" s="16">
        <v>0</v>
      </c>
      <c r="C18" s="16" t="s">
        <v>53</v>
      </c>
      <c r="D18" s="16">
        <v>0</v>
      </c>
      <c r="E18" s="16" t="s">
        <v>55</v>
      </c>
      <c r="H18" s="16">
        <v>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W18" s="68"/>
      <c r="X18" s="68"/>
      <c r="Y18" s="68"/>
      <c r="AC18" s="68"/>
      <c r="AD18" s="68"/>
      <c r="AE18" s="68"/>
    </row>
    <row r="19" spans="1:31" x14ac:dyDescent="0.25">
      <c r="A19" s="16" t="s">
        <v>5</v>
      </c>
      <c r="B19" s="16">
        <v>1</v>
      </c>
      <c r="C19" s="16" t="s">
        <v>53</v>
      </c>
      <c r="D19" s="16">
        <v>2</v>
      </c>
      <c r="E19" s="16" t="s">
        <v>24</v>
      </c>
      <c r="H19" s="16">
        <v>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W19" s="68"/>
      <c r="X19" s="68"/>
      <c r="Y19" s="68"/>
      <c r="AC19" s="68"/>
      <c r="AD19" s="68"/>
      <c r="AE19" s="68"/>
    </row>
    <row r="20" spans="1:31" x14ac:dyDescent="0.25">
      <c r="A20" s="16" t="s">
        <v>26</v>
      </c>
      <c r="B20" s="16">
        <v>2</v>
      </c>
      <c r="C20" s="16" t="s">
        <v>53</v>
      </c>
      <c r="D20" s="16">
        <v>3</v>
      </c>
      <c r="E20" s="16" t="s">
        <v>5</v>
      </c>
      <c r="H20" s="16">
        <v>10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68"/>
      <c r="X20" s="68"/>
      <c r="Y20" s="68"/>
      <c r="AC20" s="68"/>
      <c r="AD20" s="68"/>
      <c r="AE20" s="68"/>
    </row>
    <row r="21" spans="1:31" x14ac:dyDescent="0.25">
      <c r="A21" s="16" t="s">
        <v>55</v>
      </c>
      <c r="B21" s="16">
        <v>2</v>
      </c>
      <c r="C21" s="16" t="s">
        <v>53</v>
      </c>
      <c r="D21" s="16">
        <v>3</v>
      </c>
      <c r="E21" s="16" t="s">
        <v>24</v>
      </c>
      <c r="H21" s="16">
        <v>10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W21" s="68"/>
      <c r="X21" s="68"/>
      <c r="Y21" s="68"/>
      <c r="AC21" s="68"/>
      <c r="AD21" s="68"/>
      <c r="AE21" s="68"/>
    </row>
    <row r="22" spans="1:31" x14ac:dyDescent="0.25">
      <c r="A22" s="127" t="s">
        <v>63</v>
      </c>
      <c r="B22" s="127"/>
      <c r="C22" s="127"/>
      <c r="D22" s="127"/>
      <c r="E22" s="127"/>
      <c r="J22" s="17" t="str">
        <f>IF(Tabela!F23="","",Tabela!F23)</f>
        <v/>
      </c>
      <c r="K22" s="128" t="s">
        <v>63</v>
      </c>
      <c r="L22" s="128"/>
      <c r="M22" s="128"/>
      <c r="N22" s="128"/>
      <c r="O22" s="128"/>
      <c r="W22" s="68"/>
      <c r="X22" s="68"/>
      <c r="Y22" s="68"/>
      <c r="AC22" s="68"/>
      <c r="AD22" s="68"/>
      <c r="AE22" s="68"/>
    </row>
    <row r="23" spans="1:31" x14ac:dyDescent="0.25">
      <c r="A23" s="16" t="s">
        <v>13</v>
      </c>
      <c r="B23" s="16">
        <v>3</v>
      </c>
      <c r="C23" s="16" t="s">
        <v>53</v>
      </c>
      <c r="D23" s="16">
        <v>0</v>
      </c>
      <c r="E23" s="16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68"/>
      <c r="X23" s="68"/>
      <c r="Y23" s="68"/>
      <c r="AC23" s="68"/>
      <c r="AD23" s="68"/>
      <c r="AE23" s="68"/>
    </row>
    <row r="24" spans="1:31" x14ac:dyDescent="0.25">
      <c r="A24" s="16" t="s">
        <v>17</v>
      </c>
      <c r="B24" s="16">
        <v>4</v>
      </c>
      <c r="C24" s="16" t="s">
        <v>53</v>
      </c>
      <c r="D24" s="16">
        <v>2</v>
      </c>
      <c r="E24" s="16" t="s">
        <v>6</v>
      </c>
      <c r="H24" s="16">
        <v>15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Q24" s="17">
        <v>25</v>
      </c>
      <c r="R24" s="17">
        <v>15</v>
      </c>
      <c r="S24" s="17">
        <v>10</v>
      </c>
      <c r="T24" s="17">
        <v>5</v>
      </c>
      <c r="U24" s="17">
        <v>0</v>
      </c>
      <c r="W24" s="68"/>
      <c r="X24" s="68"/>
      <c r="Y24" s="68"/>
      <c r="AC24" s="68"/>
      <c r="AD24" s="68"/>
      <c r="AE24" s="68"/>
    </row>
    <row r="25" spans="1:31" x14ac:dyDescent="0.25">
      <c r="A25" s="16" t="s">
        <v>31</v>
      </c>
      <c r="B25" s="16">
        <v>0</v>
      </c>
      <c r="C25" s="16" t="s">
        <v>53</v>
      </c>
      <c r="D25" s="16">
        <v>3</v>
      </c>
      <c r="E25" s="16" t="s">
        <v>6</v>
      </c>
      <c r="H25" s="16">
        <v>15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Q25" s="22">
        <v>3</v>
      </c>
      <c r="R25" s="22">
        <v>11</v>
      </c>
      <c r="S25" s="22">
        <v>9</v>
      </c>
      <c r="T25" s="22">
        <v>14</v>
      </c>
      <c r="U25" s="22">
        <v>11</v>
      </c>
      <c r="W25" s="68"/>
      <c r="X25" s="68"/>
      <c r="Y25" s="68"/>
      <c r="AC25" s="68"/>
      <c r="AD25" s="68"/>
      <c r="AE25" s="68"/>
    </row>
    <row r="26" spans="1:31" x14ac:dyDescent="0.25">
      <c r="A26" s="16" t="s">
        <v>17</v>
      </c>
      <c r="B26" s="16">
        <v>4</v>
      </c>
      <c r="C26" s="16" t="s">
        <v>53</v>
      </c>
      <c r="D26" s="16">
        <v>2</v>
      </c>
      <c r="E26" s="16" t="s">
        <v>13</v>
      </c>
      <c r="H26" s="16">
        <v>10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68"/>
      <c r="X26" s="68"/>
      <c r="Y26" s="68"/>
      <c r="AC26" s="68"/>
      <c r="AD26" s="68"/>
      <c r="AE26" s="68"/>
    </row>
    <row r="27" spans="1:31" x14ac:dyDescent="0.25">
      <c r="A27" s="16" t="s">
        <v>31</v>
      </c>
      <c r="B27" s="16">
        <v>0</v>
      </c>
      <c r="C27" s="16" t="s">
        <v>53</v>
      </c>
      <c r="D27" s="16">
        <v>1</v>
      </c>
      <c r="E27" s="16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Q27" s="124" t="s">
        <v>42</v>
      </c>
      <c r="R27" s="124"/>
      <c r="S27" s="125" t="s">
        <v>8</v>
      </c>
      <c r="T27" s="125"/>
      <c r="U27" s="125" t="s">
        <v>19</v>
      </c>
      <c r="V27" s="125"/>
      <c r="W27" s="68"/>
      <c r="X27" s="68"/>
      <c r="Y27" s="68"/>
      <c r="AC27" s="68"/>
      <c r="AD27" s="68"/>
      <c r="AE27" s="68"/>
    </row>
    <row r="28" spans="1:31" x14ac:dyDescent="0.25">
      <c r="A28" s="16" t="s">
        <v>6</v>
      </c>
      <c r="B28" s="16">
        <v>3</v>
      </c>
      <c r="C28" s="16" t="s">
        <v>53</v>
      </c>
      <c r="D28" s="16">
        <v>2</v>
      </c>
      <c r="E28" s="16" t="s">
        <v>13</v>
      </c>
      <c r="H28" s="16">
        <v>10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Q28" s="124" t="s">
        <v>41</v>
      </c>
      <c r="R28" s="124"/>
      <c r="S28" s="126" t="s">
        <v>127</v>
      </c>
      <c r="T28" s="126"/>
      <c r="U28" s="126" t="s">
        <v>130</v>
      </c>
      <c r="V28" s="126"/>
      <c r="W28" s="68"/>
      <c r="X28" s="68"/>
      <c r="Y28" s="68"/>
      <c r="AC28" s="68"/>
      <c r="AD28" s="68"/>
      <c r="AE28" s="68"/>
    </row>
    <row r="29" spans="1:31" x14ac:dyDescent="0.25">
      <c r="A29" s="127" t="s">
        <v>62</v>
      </c>
      <c r="B29" s="127"/>
      <c r="C29" s="127"/>
      <c r="D29" s="127"/>
      <c r="E29" s="127"/>
      <c r="K29" s="128" t="s">
        <v>62</v>
      </c>
      <c r="L29" s="128"/>
      <c r="M29" s="128"/>
      <c r="N29" s="128"/>
      <c r="O29" s="128"/>
      <c r="W29" s="68"/>
      <c r="X29" s="68"/>
      <c r="Y29" s="68"/>
      <c r="AC29" s="68"/>
      <c r="AD29" s="68"/>
      <c r="AE29" s="68"/>
    </row>
    <row r="30" spans="1:31" x14ac:dyDescent="0.25">
      <c r="A30" s="16" t="s">
        <v>4</v>
      </c>
      <c r="B30" s="16">
        <v>3</v>
      </c>
      <c r="C30" s="16" t="s">
        <v>53</v>
      </c>
      <c r="D30" s="16">
        <v>0</v>
      </c>
      <c r="E30" s="16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68"/>
      <c r="X30" s="68"/>
      <c r="Y30" s="68"/>
      <c r="AC30" s="68"/>
      <c r="AD30" s="68"/>
      <c r="AE30" s="68"/>
    </row>
    <row r="31" spans="1:31" x14ac:dyDescent="0.25">
      <c r="A31" s="16" t="s">
        <v>15</v>
      </c>
      <c r="B31" s="16">
        <v>3</v>
      </c>
      <c r="C31" s="16" t="s">
        <v>53</v>
      </c>
      <c r="D31" s="16">
        <v>0</v>
      </c>
      <c r="E31" s="16" t="s">
        <v>56</v>
      </c>
      <c r="H31" s="16">
        <v>15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6" t="s">
        <v>22</v>
      </c>
      <c r="B32" s="16">
        <v>0</v>
      </c>
      <c r="C32" s="16" t="s">
        <v>53</v>
      </c>
      <c r="D32" s="16">
        <v>3</v>
      </c>
      <c r="E32" s="16" t="s">
        <v>56</v>
      </c>
      <c r="H32" s="16">
        <v>15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6" t="s">
        <v>15</v>
      </c>
      <c r="B33" s="16">
        <v>0</v>
      </c>
      <c r="C33" s="16" t="s">
        <v>53</v>
      </c>
      <c r="D33" s="16">
        <v>0</v>
      </c>
      <c r="E33" s="16" t="s">
        <v>4</v>
      </c>
      <c r="H33" s="16">
        <v>10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6" t="s">
        <v>22</v>
      </c>
      <c r="B34" s="16">
        <v>1</v>
      </c>
      <c r="C34" s="16" t="s">
        <v>53</v>
      </c>
      <c r="D34" s="16">
        <v>2</v>
      </c>
      <c r="E34" s="16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6" t="s">
        <v>56</v>
      </c>
      <c r="B35" s="16">
        <v>2</v>
      </c>
      <c r="C35" s="16" t="s">
        <v>53</v>
      </c>
      <c r="D35" s="16">
        <v>4</v>
      </c>
      <c r="E35" s="16" t="s">
        <v>4</v>
      </c>
      <c r="H35" s="16">
        <v>25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27" t="s">
        <v>61</v>
      </c>
      <c r="B36" s="127"/>
      <c r="C36" s="127"/>
      <c r="D36" s="127"/>
      <c r="E36" s="127"/>
      <c r="J36" s="17" t="str">
        <f>IF(Tabela!L9="","",Tabela!L9)</f>
        <v/>
      </c>
      <c r="K36" s="128" t="s">
        <v>61</v>
      </c>
      <c r="L36" s="128"/>
      <c r="M36" s="128"/>
      <c r="N36" s="128"/>
      <c r="O36" s="128"/>
    </row>
    <row r="37" spans="1:15" x14ac:dyDescent="0.25">
      <c r="A37" s="16" t="s">
        <v>23</v>
      </c>
      <c r="B37" s="16">
        <v>1</v>
      </c>
      <c r="C37" s="16" t="s">
        <v>53</v>
      </c>
      <c r="D37" s="16">
        <v>2</v>
      </c>
      <c r="E37" s="16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6" t="s">
        <v>7</v>
      </c>
      <c r="B38" s="16">
        <v>3</v>
      </c>
      <c r="C38" s="16" t="s">
        <v>53</v>
      </c>
      <c r="D38" s="16">
        <v>0</v>
      </c>
      <c r="E38" s="16" t="s">
        <v>10</v>
      </c>
      <c r="H38" s="16">
        <v>15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6" t="s">
        <v>7</v>
      </c>
      <c r="B39" s="16">
        <v>0</v>
      </c>
      <c r="C39" s="16" t="s">
        <v>53</v>
      </c>
      <c r="D39" s="16">
        <v>0</v>
      </c>
      <c r="E39" s="16" t="s">
        <v>23</v>
      </c>
      <c r="H39" s="16">
        <v>5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6" t="s">
        <v>12</v>
      </c>
      <c r="B40" s="16">
        <v>3</v>
      </c>
      <c r="C40" s="16" t="s">
        <v>53</v>
      </c>
      <c r="D40" s="16">
        <v>1</v>
      </c>
      <c r="E40" s="16" t="s">
        <v>10</v>
      </c>
      <c r="H40" s="16">
        <v>15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6" t="s">
        <v>12</v>
      </c>
      <c r="B41" s="16">
        <v>1</v>
      </c>
      <c r="C41" s="16" t="s">
        <v>53</v>
      </c>
      <c r="D41" s="16">
        <v>1</v>
      </c>
      <c r="E41" s="16" t="s">
        <v>7</v>
      </c>
      <c r="H41" s="16">
        <v>10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6" t="s">
        <v>10</v>
      </c>
      <c r="B42" s="16">
        <v>2</v>
      </c>
      <c r="C42" s="16" t="s">
        <v>53</v>
      </c>
      <c r="D42" s="16">
        <v>2</v>
      </c>
      <c r="E42" s="16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27" t="s">
        <v>60</v>
      </c>
      <c r="B43" s="127"/>
      <c r="C43" s="127"/>
      <c r="D43" s="127"/>
      <c r="E43" s="127"/>
      <c r="J43" s="17" t="str">
        <f>IF(Tabela!L16="","",Tabela!L16)</f>
        <v/>
      </c>
      <c r="K43" s="128" t="s">
        <v>60</v>
      </c>
      <c r="L43" s="128"/>
      <c r="M43" s="128"/>
      <c r="N43" s="128"/>
      <c r="O43" s="128"/>
    </row>
    <row r="44" spans="1:15" x14ac:dyDescent="0.25">
      <c r="A44" s="16" t="s">
        <v>30</v>
      </c>
      <c r="B44" s="16">
        <v>0</v>
      </c>
      <c r="C44" s="16" t="s">
        <v>53</v>
      </c>
      <c r="D44" s="16">
        <v>3</v>
      </c>
      <c r="E44" s="16" t="s">
        <v>9</v>
      </c>
      <c r="H44" s="16">
        <v>0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6" t="s">
        <v>8</v>
      </c>
      <c r="B45" s="16">
        <v>1</v>
      </c>
      <c r="C45" s="16" t="s">
        <v>53</v>
      </c>
      <c r="D45" s="16">
        <v>0</v>
      </c>
      <c r="E45" s="16" t="s">
        <v>29</v>
      </c>
      <c r="H45" s="16">
        <v>15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6" t="s">
        <v>9</v>
      </c>
      <c r="B46" s="16">
        <v>3</v>
      </c>
      <c r="C46" s="16" t="s">
        <v>53</v>
      </c>
      <c r="D46" s="16">
        <v>0</v>
      </c>
      <c r="E46" s="16" t="s">
        <v>29</v>
      </c>
      <c r="H46" s="16">
        <v>5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6" t="s">
        <v>8</v>
      </c>
      <c r="B47" s="16">
        <v>2</v>
      </c>
      <c r="C47" s="16" t="s">
        <v>53</v>
      </c>
      <c r="D47" s="16">
        <v>0</v>
      </c>
      <c r="E47" s="16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6" t="s">
        <v>9</v>
      </c>
      <c r="B48" s="16">
        <v>1</v>
      </c>
      <c r="C48" s="16" t="s">
        <v>53</v>
      </c>
      <c r="D48" s="16">
        <v>2</v>
      </c>
      <c r="E48" s="16" t="s">
        <v>8</v>
      </c>
      <c r="H48" s="16">
        <v>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6" t="s">
        <v>29</v>
      </c>
      <c r="B49" s="16">
        <v>0</v>
      </c>
      <c r="C49" s="16" t="s">
        <v>53</v>
      </c>
      <c r="D49" s="16">
        <v>1</v>
      </c>
      <c r="E49" s="16" t="s">
        <v>30</v>
      </c>
      <c r="H49" s="16">
        <v>10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27" t="s">
        <v>59</v>
      </c>
      <c r="B50" s="127"/>
      <c r="C50" s="127"/>
      <c r="D50" s="127"/>
      <c r="E50" s="127"/>
      <c r="J50" s="17" t="str">
        <f>IF(Tabela!L23="","",Tabela!L23)</f>
        <v/>
      </c>
      <c r="K50" s="128" t="s">
        <v>59</v>
      </c>
      <c r="L50" s="128"/>
      <c r="M50" s="128"/>
      <c r="N50" s="128"/>
      <c r="O50" s="128"/>
    </row>
    <row r="51" spans="1:15" x14ac:dyDescent="0.25">
      <c r="A51" s="16" t="s">
        <v>32</v>
      </c>
      <c r="B51" s="16">
        <v>0</v>
      </c>
      <c r="C51" s="16" t="s">
        <v>53</v>
      </c>
      <c r="D51" s="16">
        <v>0</v>
      </c>
      <c r="E51" s="16" t="s">
        <v>67</v>
      </c>
      <c r="H51" s="16">
        <v>25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6" t="s">
        <v>27</v>
      </c>
      <c r="B52" s="16">
        <v>2</v>
      </c>
      <c r="C52" s="16" t="s">
        <v>53</v>
      </c>
      <c r="D52" s="16">
        <v>2</v>
      </c>
      <c r="E52" s="16" t="s">
        <v>18</v>
      </c>
      <c r="H52" s="16">
        <v>5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6" t="s">
        <v>67</v>
      </c>
      <c r="B53" s="16">
        <v>2</v>
      </c>
      <c r="C53" s="16" t="s">
        <v>53</v>
      </c>
      <c r="D53" s="16">
        <v>2</v>
      </c>
      <c r="E53" s="16" t="s">
        <v>18</v>
      </c>
      <c r="H53" s="16">
        <v>5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6" t="s">
        <v>27</v>
      </c>
      <c r="B54" s="16">
        <v>2</v>
      </c>
      <c r="C54" s="16" t="s">
        <v>53</v>
      </c>
      <c r="D54" s="16">
        <v>3</v>
      </c>
      <c r="E54" s="16" t="s">
        <v>32</v>
      </c>
      <c r="H54" s="16">
        <v>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6" t="s">
        <v>67</v>
      </c>
      <c r="B55" s="16">
        <v>0</v>
      </c>
      <c r="C55" s="16" t="s">
        <v>53</v>
      </c>
      <c r="D55" s="16">
        <v>0</v>
      </c>
      <c r="E55" s="16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6" t="s">
        <v>18</v>
      </c>
      <c r="B56" s="16">
        <v>0</v>
      </c>
      <c r="C56" s="16" t="s">
        <v>53</v>
      </c>
      <c r="D56" s="16">
        <v>1</v>
      </c>
      <c r="E56" s="16" t="s">
        <v>32</v>
      </c>
      <c r="H56" s="16">
        <v>15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147" t="s">
        <v>173</v>
      </c>
    </row>
    <row r="58" spans="1:15" x14ac:dyDescent="0.25">
      <c r="A58" s="135" t="str">
        <f>_xlfn.CONCAT(W2,A57)</f>
        <v>Roberto - Oitavas de Final</v>
      </c>
      <c r="B58" s="135"/>
      <c r="C58" s="135"/>
      <c r="D58" s="135"/>
      <c r="E58" s="135"/>
      <c r="K58" s="136" t="s">
        <v>171</v>
      </c>
      <c r="L58" s="136"/>
      <c r="M58" s="136"/>
      <c r="N58" s="136"/>
      <c r="O58" s="136"/>
    </row>
    <row r="59" spans="1:15" x14ac:dyDescent="0.25">
      <c r="A59" s="66" t="s">
        <v>19</v>
      </c>
      <c r="B59" s="2">
        <v>1</v>
      </c>
      <c r="C59" s="2" t="s">
        <v>53</v>
      </c>
      <c r="D59" s="2">
        <v>0</v>
      </c>
      <c r="E59" s="65" t="s">
        <v>166</v>
      </c>
      <c r="H59" s="16">
        <v>10</v>
      </c>
      <c r="J59" s="17" t="str">
        <f>IF(Tabela!F32="","",Tabela!F32)</f>
        <v/>
      </c>
      <c r="K59" s="67" t="str">
        <f>Tabela!A32</f>
        <v>Holanda</v>
      </c>
      <c r="L59" s="67">
        <f>Tabela!B32</f>
        <v>3</v>
      </c>
      <c r="M59" s="67" t="str">
        <f>Tabela!C32</f>
        <v>X</v>
      </c>
      <c r="N59" s="67">
        <f>Tabela!D32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0</v>
      </c>
      <c r="C60" s="2" t="s">
        <v>53</v>
      </c>
      <c r="D60" s="2">
        <v>1</v>
      </c>
      <c r="E60" s="65" t="s">
        <v>6</v>
      </c>
      <c r="J60" s="17" t="str">
        <f>IF(Tabela!F33="","",Tabela!F33)</f>
        <v>N</v>
      </c>
      <c r="K60" s="67" t="str">
        <f>Tabela!A33</f>
        <v>Argentina</v>
      </c>
      <c r="L60" s="67">
        <f>Tabela!B33</f>
        <v>0</v>
      </c>
      <c r="M60" s="67" t="str">
        <f>Tabela!C33</f>
        <v>X</v>
      </c>
      <c r="N60" s="67">
        <f>Tabela!D33</f>
        <v>0</v>
      </c>
      <c r="O60" s="67" t="str">
        <f>Tabela!E33</f>
        <v>Austrália</v>
      </c>
    </row>
    <row r="61" spans="1:15" x14ac:dyDescent="0.25">
      <c r="A61" s="66" t="s">
        <v>22</v>
      </c>
      <c r="B61" s="2">
        <v>1</v>
      </c>
      <c r="C61" s="2" t="s">
        <v>53</v>
      </c>
      <c r="D61" s="2">
        <v>0</v>
      </c>
      <c r="E61" s="65" t="s">
        <v>12</v>
      </c>
      <c r="J61" s="17" t="str">
        <f>IF(Tabela!F34="","",Tabela!F34)</f>
        <v>N</v>
      </c>
      <c r="K61" s="67" t="str">
        <f>Tabela!A34</f>
        <v>Japão</v>
      </c>
      <c r="L61" s="67">
        <f>Tabela!B34</f>
        <v>0</v>
      </c>
      <c r="M61" s="67" t="str">
        <f>Tabela!C34</f>
        <v>X</v>
      </c>
      <c r="N61" s="67">
        <f>Tabela!D34</f>
        <v>0</v>
      </c>
      <c r="O61" s="67" t="str">
        <f>Tabela!E34</f>
        <v>Croácia</v>
      </c>
    </row>
    <row r="62" spans="1:15" x14ac:dyDescent="0.25">
      <c r="A62" s="66" t="s">
        <v>8</v>
      </c>
      <c r="B62" s="2">
        <v>0</v>
      </c>
      <c r="C62" s="2" t="s">
        <v>53</v>
      </c>
      <c r="D62" s="2">
        <v>1</v>
      </c>
      <c r="E62" s="65" t="s">
        <v>167</v>
      </c>
      <c r="J62" s="17" t="str">
        <f>IF(Tabela!F35="","",Tabela!F35)</f>
        <v>N</v>
      </c>
      <c r="K62" s="67" t="str">
        <f>Tabela!A35</f>
        <v>Brasil</v>
      </c>
      <c r="L62" s="67">
        <f>Tabela!B35</f>
        <v>0</v>
      </c>
      <c r="M62" s="67" t="str">
        <f>Tabela!C35</f>
        <v>X</v>
      </c>
      <c r="N62" s="67">
        <f>Tabela!D35</f>
        <v>0</v>
      </c>
      <c r="O62" s="67" t="str">
        <f>Tabela!E35</f>
        <v>Coréia</v>
      </c>
    </row>
    <row r="63" spans="1:15" x14ac:dyDescent="0.25">
      <c r="A63" s="66" t="s">
        <v>20</v>
      </c>
      <c r="B63" s="2">
        <v>1</v>
      </c>
      <c r="C63" s="2" t="s">
        <v>53</v>
      </c>
      <c r="D63" s="2">
        <v>0</v>
      </c>
      <c r="E63" s="65" t="s">
        <v>28</v>
      </c>
      <c r="J63" s="17" t="str">
        <f>IF(Tabela!F36="","",Tabela!F36)</f>
        <v>N</v>
      </c>
      <c r="K63" s="67" t="str">
        <f>Tabela!A36</f>
        <v>Inglaterra</v>
      </c>
      <c r="L63" s="67">
        <f>Tabela!B36</f>
        <v>0</v>
      </c>
      <c r="M63" s="67" t="str">
        <f>Tabela!C36</f>
        <v>X</v>
      </c>
      <c r="N63" s="67">
        <f>Tabela!D36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1</v>
      </c>
      <c r="C64" s="2" t="s">
        <v>53</v>
      </c>
      <c r="D64" s="2">
        <v>0</v>
      </c>
      <c r="E64" s="65" t="s">
        <v>26</v>
      </c>
      <c r="J64" s="17" t="str">
        <f>IF(Tabela!F37="","",Tabela!F37)</f>
        <v>N</v>
      </c>
      <c r="K64" s="67" t="str">
        <f>Tabela!A37</f>
        <v>França</v>
      </c>
      <c r="L64" s="67">
        <f>Tabela!B37</f>
        <v>0</v>
      </c>
      <c r="M64" s="67" t="str">
        <f>Tabela!C37</f>
        <v>X</v>
      </c>
      <c r="N64" s="67">
        <f>Tabela!D37</f>
        <v>0</v>
      </c>
      <c r="O64" s="67" t="str">
        <f>Tabela!E37</f>
        <v>Polônia</v>
      </c>
    </row>
    <row r="65" spans="1:15" x14ac:dyDescent="0.25">
      <c r="A65" s="66" t="s">
        <v>23</v>
      </c>
      <c r="B65" s="2">
        <v>0</v>
      </c>
      <c r="C65" s="2" t="s">
        <v>53</v>
      </c>
      <c r="D65" s="2">
        <v>1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7">
        <f>Tabela!B38</f>
        <v>0</v>
      </c>
      <c r="M65" s="67" t="str">
        <f>Tabela!C38</f>
        <v>X</v>
      </c>
      <c r="N65" s="67">
        <f>Tabela!D38</f>
        <v>0</v>
      </c>
      <c r="O65" s="67" t="str">
        <f>Tabela!E38</f>
        <v>Espanha</v>
      </c>
    </row>
    <row r="66" spans="1:15" x14ac:dyDescent="0.25">
      <c r="A66" s="66" t="s">
        <v>27</v>
      </c>
      <c r="B66" s="2">
        <v>1</v>
      </c>
      <c r="C66" s="2" t="s">
        <v>53</v>
      </c>
      <c r="D66" s="2">
        <v>0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7">
        <f>Tabela!B39</f>
        <v>0</v>
      </c>
      <c r="M66" s="67" t="str">
        <f>Tabela!C39</f>
        <v>X</v>
      </c>
      <c r="N66" s="67">
        <f>Tabela!D39</f>
        <v>0</v>
      </c>
      <c r="O66" s="67" t="str">
        <f>Tabela!E39</f>
        <v>Suíça</v>
      </c>
    </row>
  </sheetData>
  <mergeCells count="71">
    <mergeCell ref="A58:E58"/>
    <mergeCell ref="K58:O58"/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2:E2"/>
    <mergeCell ref="A1:E1"/>
    <mergeCell ref="A8:E8"/>
    <mergeCell ref="A15:E15"/>
    <mergeCell ref="A22:E22"/>
    <mergeCell ref="A29:E29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27:R27"/>
    <mergeCell ref="S27:T27"/>
    <mergeCell ref="U27:V27"/>
    <mergeCell ref="Q28:R28"/>
    <mergeCell ref="S28:T28"/>
    <mergeCell ref="U28:V2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7AEF9-F28F-4DD6-8299-AB1ADF00DE8A}">
  <sheetPr codeName="Planilha16">
    <tabColor rgb="FF0070C0"/>
  </sheetPr>
  <dimension ref="A1:AE66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25" sqref="Q25:U25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3" width="5.7109375" style="17" customWidth="1"/>
    <col min="34" max="16384" width="9.140625" style="17"/>
  </cols>
  <sheetData>
    <row r="1" spans="1:31" x14ac:dyDescent="0.25">
      <c r="A1" s="127" t="s">
        <v>58</v>
      </c>
      <c r="B1" s="127"/>
      <c r="C1" s="127"/>
      <c r="D1" s="127"/>
      <c r="E1" s="127"/>
      <c r="K1" s="128" t="s">
        <v>58</v>
      </c>
      <c r="L1" s="128"/>
      <c r="M1" s="128"/>
      <c r="N1" s="128"/>
      <c r="O1" s="128"/>
    </row>
    <row r="2" spans="1:31" x14ac:dyDescent="0.25">
      <c r="A2" s="133" t="s">
        <v>43</v>
      </c>
      <c r="B2" s="133"/>
      <c r="C2" s="133"/>
      <c r="D2" s="133"/>
      <c r="E2" s="133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31" t="s">
        <v>81</v>
      </c>
      <c r="X2" s="131"/>
      <c r="Y2" s="131"/>
      <c r="Z2" s="131"/>
      <c r="AA2" s="131"/>
      <c r="AB2" s="131"/>
      <c r="AC2" s="131"/>
      <c r="AD2" s="131"/>
      <c r="AE2" s="131"/>
    </row>
    <row r="3" spans="1:31" x14ac:dyDescent="0.25">
      <c r="A3" s="18" t="s">
        <v>28</v>
      </c>
      <c r="B3" s="16">
        <v>1</v>
      </c>
      <c r="C3" s="16" t="s">
        <v>53</v>
      </c>
      <c r="D3" s="16">
        <v>2</v>
      </c>
      <c r="E3" s="19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31"/>
      <c r="X3" s="131"/>
      <c r="Y3" s="131"/>
      <c r="Z3" s="131"/>
      <c r="AA3" s="131"/>
      <c r="AB3" s="131"/>
      <c r="AC3" s="131"/>
      <c r="AD3" s="131"/>
      <c r="AE3" s="131"/>
    </row>
    <row r="4" spans="1:31" x14ac:dyDescent="0.25">
      <c r="A4" s="18" t="s">
        <v>11</v>
      </c>
      <c r="B4" s="16">
        <v>1</v>
      </c>
      <c r="C4" s="16" t="s">
        <v>53</v>
      </c>
      <c r="D4" s="16">
        <v>1</v>
      </c>
      <c r="E4" s="19" t="s">
        <v>28</v>
      </c>
      <c r="H4" s="16">
        <v>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31"/>
      <c r="X4" s="131"/>
      <c r="Y4" s="131"/>
      <c r="Z4" s="131"/>
      <c r="AA4" s="131"/>
      <c r="AB4" s="131"/>
      <c r="AC4" s="131"/>
      <c r="AD4" s="131"/>
      <c r="AE4" s="131"/>
    </row>
    <row r="5" spans="1:31" x14ac:dyDescent="0.25">
      <c r="A5" s="18" t="s">
        <v>19</v>
      </c>
      <c r="B5" s="16">
        <v>2</v>
      </c>
      <c r="C5" s="16" t="s">
        <v>53</v>
      </c>
      <c r="D5" s="16">
        <v>0</v>
      </c>
      <c r="E5" s="19" t="s">
        <v>14</v>
      </c>
      <c r="H5" s="16">
        <v>0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31"/>
      <c r="X5" s="131"/>
      <c r="Y5" s="131"/>
      <c r="Z5" s="131"/>
      <c r="AA5" s="131"/>
      <c r="AB5" s="131"/>
      <c r="AC5" s="131"/>
      <c r="AD5" s="131"/>
      <c r="AE5" s="131"/>
    </row>
    <row r="6" spans="1:31" x14ac:dyDescent="0.25">
      <c r="A6" s="18" t="s">
        <v>19</v>
      </c>
      <c r="B6" s="16">
        <v>4</v>
      </c>
      <c r="C6" s="16" t="s">
        <v>53</v>
      </c>
      <c r="D6" s="16">
        <v>1</v>
      </c>
      <c r="E6" s="19" t="s">
        <v>11</v>
      </c>
      <c r="H6" s="16">
        <v>10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31"/>
      <c r="X6" s="131"/>
      <c r="Y6" s="131"/>
      <c r="Z6" s="131"/>
      <c r="AA6" s="131"/>
      <c r="AB6" s="131"/>
      <c r="AC6" s="131"/>
      <c r="AD6" s="131"/>
      <c r="AE6" s="131"/>
    </row>
    <row r="7" spans="1:31" x14ac:dyDescent="0.25">
      <c r="A7" s="18" t="s">
        <v>14</v>
      </c>
      <c r="B7" s="16">
        <v>1</v>
      </c>
      <c r="C7" s="16" t="s">
        <v>53</v>
      </c>
      <c r="D7" s="16">
        <v>1</v>
      </c>
      <c r="E7" s="19" t="s">
        <v>28</v>
      </c>
      <c r="H7" s="16">
        <v>5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27" t="s">
        <v>65</v>
      </c>
      <c r="B8" s="127"/>
      <c r="C8" s="127"/>
      <c r="D8" s="127"/>
      <c r="E8" s="127"/>
      <c r="J8" s="17" t="str">
        <f>IF(Tabela!F9="","",Tabela!F9)</f>
        <v/>
      </c>
      <c r="K8" s="128" t="s">
        <v>65</v>
      </c>
      <c r="L8" s="128"/>
      <c r="M8" s="128"/>
      <c r="N8" s="128"/>
      <c r="O8" s="128"/>
    </row>
    <row r="9" spans="1:31" x14ac:dyDescent="0.25">
      <c r="A9" s="18" t="s">
        <v>20</v>
      </c>
      <c r="B9" s="16">
        <v>2</v>
      </c>
      <c r="C9" s="16" t="s">
        <v>53</v>
      </c>
      <c r="D9" s="16">
        <v>1</v>
      </c>
      <c r="E9" s="19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29" t="s">
        <v>66</v>
      </c>
      <c r="R9" s="129"/>
      <c r="S9" s="129"/>
      <c r="T9" s="129"/>
      <c r="U9" s="129"/>
      <c r="W9" s="68" t="s">
        <v>124</v>
      </c>
      <c r="X9" s="68"/>
      <c r="Y9" s="68"/>
      <c r="Z9" s="68"/>
      <c r="AA9" s="68"/>
      <c r="AB9" s="68"/>
      <c r="AC9" s="68"/>
      <c r="AD9" s="68"/>
      <c r="AE9" s="68"/>
    </row>
    <row r="10" spans="1:31" x14ac:dyDescent="0.25">
      <c r="A10" s="18" t="s">
        <v>54</v>
      </c>
      <c r="B10" s="16">
        <v>3</v>
      </c>
      <c r="C10" s="16" t="s">
        <v>53</v>
      </c>
      <c r="D10" s="16">
        <v>2</v>
      </c>
      <c r="E10" s="19" t="s">
        <v>34</v>
      </c>
      <c r="H10" s="16">
        <v>0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29"/>
      <c r="R10" s="129"/>
      <c r="S10" s="129"/>
      <c r="T10" s="129"/>
      <c r="U10" s="129"/>
      <c r="W10" s="68"/>
      <c r="X10" s="68"/>
      <c r="Y10" s="68"/>
      <c r="AC10" s="68"/>
      <c r="AD10" s="68"/>
      <c r="AE10" s="68"/>
    </row>
    <row r="11" spans="1:31" x14ac:dyDescent="0.25">
      <c r="A11" s="18" t="s">
        <v>34</v>
      </c>
      <c r="B11" s="16">
        <v>0</v>
      </c>
      <c r="C11" s="16" t="s">
        <v>53</v>
      </c>
      <c r="D11" s="16">
        <v>0</v>
      </c>
      <c r="E11" s="19" t="s">
        <v>21</v>
      </c>
      <c r="H11" s="16">
        <v>5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30">
        <f>SUM(H2:H66)</f>
        <v>245</v>
      </c>
      <c r="R11" s="130"/>
      <c r="S11" s="130"/>
      <c r="T11" s="130"/>
      <c r="U11" s="130"/>
      <c r="W11" s="68"/>
      <c r="X11" s="68"/>
      <c r="Y11" s="68"/>
      <c r="AC11" s="68"/>
      <c r="AD11" s="68"/>
      <c r="AE11" s="68"/>
    </row>
    <row r="12" spans="1:31" x14ac:dyDescent="0.25">
      <c r="A12" s="18" t="s">
        <v>20</v>
      </c>
      <c r="B12" s="16">
        <v>1</v>
      </c>
      <c r="C12" s="16" t="s">
        <v>53</v>
      </c>
      <c r="D12" s="16">
        <v>1</v>
      </c>
      <c r="E12" s="19" t="s">
        <v>54</v>
      </c>
      <c r="H12" s="16">
        <v>10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30"/>
      <c r="R12" s="130"/>
      <c r="S12" s="130"/>
      <c r="T12" s="130"/>
      <c r="U12" s="130"/>
      <c r="W12" s="68"/>
      <c r="X12" s="68"/>
      <c r="Y12" s="68"/>
      <c r="AC12" s="68"/>
      <c r="AD12" s="68"/>
      <c r="AE12" s="68"/>
    </row>
    <row r="13" spans="1:31" x14ac:dyDescent="0.25">
      <c r="A13" s="18" t="s">
        <v>21</v>
      </c>
      <c r="B13" s="16">
        <v>2</v>
      </c>
      <c r="C13" s="16" t="s">
        <v>53</v>
      </c>
      <c r="D13" s="16">
        <v>4</v>
      </c>
      <c r="E13" s="19" t="s">
        <v>54</v>
      </c>
      <c r="H13" s="16">
        <v>10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30"/>
      <c r="R13" s="130"/>
      <c r="S13" s="130"/>
      <c r="T13" s="130"/>
      <c r="U13" s="130"/>
      <c r="W13" s="68"/>
      <c r="X13" s="68"/>
      <c r="Y13" s="68"/>
      <c r="AC13" s="68"/>
      <c r="AD13" s="68"/>
      <c r="AE13" s="68"/>
    </row>
    <row r="14" spans="1:31" x14ac:dyDescent="0.25">
      <c r="A14" s="18" t="s">
        <v>34</v>
      </c>
      <c r="B14" s="16">
        <v>1</v>
      </c>
      <c r="C14" s="16" t="s">
        <v>53</v>
      </c>
      <c r="D14" s="16">
        <v>2</v>
      </c>
      <c r="E14" s="19" t="s">
        <v>20</v>
      </c>
      <c r="H14" s="16">
        <v>10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30"/>
      <c r="R14" s="130"/>
      <c r="S14" s="130"/>
      <c r="T14" s="130"/>
      <c r="U14" s="130"/>
      <c r="W14" s="68"/>
      <c r="X14" s="68"/>
      <c r="Y14" s="68"/>
      <c r="AC14" s="68"/>
      <c r="AD14" s="68"/>
      <c r="AE14" s="68"/>
    </row>
    <row r="15" spans="1:31" x14ac:dyDescent="0.25">
      <c r="A15" s="127" t="s">
        <v>64</v>
      </c>
      <c r="B15" s="127"/>
      <c r="C15" s="127"/>
      <c r="D15" s="127"/>
      <c r="E15" s="127"/>
      <c r="J15" s="17" t="str">
        <f>IF(Tabela!F16="","",Tabela!F16)</f>
        <v/>
      </c>
      <c r="K15" s="128" t="s">
        <v>64</v>
      </c>
      <c r="L15" s="128"/>
      <c r="M15" s="128"/>
      <c r="N15" s="128"/>
      <c r="O15" s="128"/>
      <c r="Q15" s="130"/>
      <c r="R15" s="130"/>
      <c r="S15" s="130"/>
      <c r="T15" s="130"/>
      <c r="U15" s="130"/>
      <c r="W15" s="68"/>
      <c r="X15" s="68"/>
      <c r="Y15" s="68"/>
      <c r="AC15" s="68"/>
      <c r="AD15" s="68"/>
      <c r="AE15" s="68"/>
    </row>
    <row r="16" spans="1:31" x14ac:dyDescent="0.25">
      <c r="A16" s="18" t="s">
        <v>5</v>
      </c>
      <c r="B16" s="16">
        <v>4</v>
      </c>
      <c r="C16" s="16" t="s">
        <v>53</v>
      </c>
      <c r="D16" s="16">
        <v>2</v>
      </c>
      <c r="E16" s="19" t="s">
        <v>55</v>
      </c>
      <c r="H16" s="16">
        <v>5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68"/>
      <c r="X16" s="68"/>
      <c r="Y16" s="68"/>
      <c r="AC16" s="68"/>
      <c r="AD16" s="68"/>
      <c r="AE16" s="68"/>
    </row>
    <row r="17" spans="1:31" x14ac:dyDescent="0.25">
      <c r="A17" s="18" t="s">
        <v>24</v>
      </c>
      <c r="B17" s="16">
        <v>3</v>
      </c>
      <c r="C17" s="16" t="s">
        <v>53</v>
      </c>
      <c r="D17" s="16">
        <v>1</v>
      </c>
      <c r="E17" s="19" t="s">
        <v>26</v>
      </c>
      <c r="H17" s="16">
        <v>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68"/>
      <c r="X17" s="68"/>
      <c r="Y17" s="68"/>
      <c r="AC17" s="68"/>
      <c r="AD17" s="68"/>
      <c r="AE17" s="68"/>
    </row>
    <row r="18" spans="1:31" x14ac:dyDescent="0.25">
      <c r="A18" s="18" t="s">
        <v>26</v>
      </c>
      <c r="B18" s="16">
        <v>1</v>
      </c>
      <c r="C18" s="16" t="s">
        <v>53</v>
      </c>
      <c r="D18" s="16">
        <v>1</v>
      </c>
      <c r="E18" s="19" t="s">
        <v>55</v>
      </c>
      <c r="H18" s="16">
        <v>0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W18" s="68"/>
      <c r="X18" s="68"/>
      <c r="Y18" s="68"/>
      <c r="AC18" s="68"/>
      <c r="AD18" s="68"/>
      <c r="AE18" s="68"/>
    </row>
    <row r="19" spans="1:31" x14ac:dyDescent="0.25">
      <c r="A19" s="18" t="s">
        <v>5</v>
      </c>
      <c r="B19" s="16">
        <v>3</v>
      </c>
      <c r="C19" s="16" t="s">
        <v>53</v>
      </c>
      <c r="D19" s="16">
        <v>1</v>
      </c>
      <c r="E19" s="19" t="s">
        <v>24</v>
      </c>
      <c r="H19" s="16">
        <v>10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W19" s="68"/>
      <c r="X19" s="68"/>
      <c r="Y19" s="68"/>
      <c r="AC19" s="68"/>
      <c r="AD19" s="68"/>
      <c r="AE19" s="68"/>
    </row>
    <row r="20" spans="1:31" x14ac:dyDescent="0.25">
      <c r="A20" s="18" t="s">
        <v>26</v>
      </c>
      <c r="B20" s="16">
        <v>3</v>
      </c>
      <c r="C20" s="16" t="s">
        <v>53</v>
      </c>
      <c r="D20" s="16">
        <v>4</v>
      </c>
      <c r="E20" s="19" t="s">
        <v>5</v>
      </c>
      <c r="H20" s="16">
        <v>10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68"/>
      <c r="X20" s="68"/>
      <c r="Y20" s="68"/>
      <c r="AC20" s="68"/>
      <c r="AD20" s="68"/>
      <c r="AE20" s="68"/>
    </row>
    <row r="21" spans="1:31" x14ac:dyDescent="0.25">
      <c r="A21" s="18" t="s">
        <v>55</v>
      </c>
      <c r="B21" s="16">
        <v>0</v>
      </c>
      <c r="C21" s="16" t="s">
        <v>53</v>
      </c>
      <c r="D21" s="16">
        <v>1</v>
      </c>
      <c r="E21" s="19" t="s">
        <v>24</v>
      </c>
      <c r="H21" s="16">
        <v>10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W21" s="68"/>
      <c r="X21" s="68"/>
      <c r="Y21" s="68"/>
      <c r="AC21" s="68"/>
      <c r="AD21" s="68"/>
      <c r="AE21" s="68"/>
    </row>
    <row r="22" spans="1:31" x14ac:dyDescent="0.25">
      <c r="A22" s="127" t="s">
        <v>63</v>
      </c>
      <c r="B22" s="127"/>
      <c r="C22" s="127"/>
      <c r="D22" s="127"/>
      <c r="E22" s="127"/>
      <c r="J22" s="17" t="str">
        <f>IF(Tabela!F23="","",Tabela!F23)</f>
        <v/>
      </c>
      <c r="K22" s="128" t="s">
        <v>63</v>
      </c>
      <c r="L22" s="128"/>
      <c r="M22" s="128"/>
      <c r="N22" s="128"/>
      <c r="O22" s="128"/>
      <c r="W22" s="68"/>
      <c r="X22" s="68"/>
      <c r="Y22" s="68"/>
      <c r="AC22" s="68"/>
      <c r="AD22" s="68"/>
      <c r="AE22" s="68"/>
    </row>
    <row r="23" spans="1:31" x14ac:dyDescent="0.25">
      <c r="A23" s="18" t="s">
        <v>13</v>
      </c>
      <c r="B23" s="16">
        <v>2</v>
      </c>
      <c r="C23" s="16" t="s">
        <v>53</v>
      </c>
      <c r="D23" s="16">
        <v>1</v>
      </c>
      <c r="E23" s="19" t="s">
        <v>31</v>
      </c>
      <c r="H23" s="16">
        <v>0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68"/>
      <c r="X23" s="68"/>
      <c r="Y23" s="68"/>
      <c r="AC23" s="68"/>
      <c r="AD23" s="68"/>
      <c r="AE23" s="68"/>
    </row>
    <row r="24" spans="1:31" x14ac:dyDescent="0.25">
      <c r="A24" s="18" t="s">
        <v>17</v>
      </c>
      <c r="B24" s="16">
        <v>2</v>
      </c>
      <c r="C24" s="16" t="s">
        <v>53</v>
      </c>
      <c r="D24" s="16">
        <v>2</v>
      </c>
      <c r="E24" s="19" t="s">
        <v>6</v>
      </c>
      <c r="H24" s="16">
        <v>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Q24" s="17">
        <v>25</v>
      </c>
      <c r="R24" s="17">
        <v>15</v>
      </c>
      <c r="S24" s="17">
        <v>10</v>
      </c>
      <c r="T24" s="17">
        <v>5</v>
      </c>
      <c r="U24" s="17">
        <v>0</v>
      </c>
      <c r="W24" s="68"/>
      <c r="X24" s="68"/>
      <c r="Y24" s="68"/>
      <c r="AC24" s="68"/>
      <c r="AD24" s="68"/>
      <c r="AE24" s="68"/>
    </row>
    <row r="25" spans="1:31" x14ac:dyDescent="0.25">
      <c r="A25" s="18" t="s">
        <v>31</v>
      </c>
      <c r="B25" s="16">
        <v>1</v>
      </c>
      <c r="C25" s="16" t="s">
        <v>53</v>
      </c>
      <c r="D25" s="16">
        <v>2</v>
      </c>
      <c r="E25" s="19" t="s">
        <v>6</v>
      </c>
      <c r="H25" s="16">
        <v>10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Q25" s="22"/>
      <c r="R25" s="22">
        <v>3</v>
      </c>
      <c r="S25" s="22">
        <v>15</v>
      </c>
      <c r="T25" s="22">
        <v>10</v>
      </c>
      <c r="U25" s="22">
        <v>20</v>
      </c>
      <c r="W25" s="68"/>
      <c r="X25" s="68"/>
      <c r="Y25" s="68"/>
      <c r="AC25" s="68"/>
      <c r="AD25" s="68"/>
      <c r="AE25" s="68"/>
    </row>
    <row r="26" spans="1:31" x14ac:dyDescent="0.25">
      <c r="A26" s="18" t="s">
        <v>17</v>
      </c>
      <c r="B26" s="16">
        <v>3</v>
      </c>
      <c r="C26" s="16" t="s">
        <v>53</v>
      </c>
      <c r="D26" s="16">
        <v>0</v>
      </c>
      <c r="E26" s="19" t="s">
        <v>13</v>
      </c>
      <c r="H26" s="16">
        <v>10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68"/>
      <c r="X26" s="68"/>
      <c r="Y26" s="68"/>
      <c r="AC26" s="68"/>
      <c r="AD26" s="68"/>
      <c r="AE26" s="68"/>
    </row>
    <row r="27" spans="1:31" x14ac:dyDescent="0.25">
      <c r="A27" s="18" t="s">
        <v>31</v>
      </c>
      <c r="B27" s="16">
        <v>2</v>
      </c>
      <c r="C27" s="16" t="s">
        <v>53</v>
      </c>
      <c r="D27" s="16">
        <v>2</v>
      </c>
      <c r="E27" s="19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Q27" s="124" t="s">
        <v>42</v>
      </c>
      <c r="R27" s="124"/>
      <c r="S27" s="125" t="s">
        <v>8</v>
      </c>
      <c r="T27" s="125"/>
      <c r="U27" s="125" t="s">
        <v>5</v>
      </c>
      <c r="V27" s="125"/>
      <c r="W27" s="68"/>
      <c r="X27" s="68"/>
      <c r="Y27" s="68"/>
      <c r="AC27" s="68"/>
      <c r="AD27" s="68"/>
      <c r="AE27" s="68"/>
    </row>
    <row r="28" spans="1:31" x14ac:dyDescent="0.25">
      <c r="A28" s="18" t="s">
        <v>6</v>
      </c>
      <c r="B28" s="16">
        <v>3</v>
      </c>
      <c r="C28" s="16" t="s">
        <v>53</v>
      </c>
      <c r="D28" s="16">
        <v>3</v>
      </c>
      <c r="E28" s="19" t="s">
        <v>13</v>
      </c>
      <c r="H28" s="16">
        <v>0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Q28" s="124" t="s">
        <v>41</v>
      </c>
      <c r="R28" s="124"/>
      <c r="S28" s="126" t="s">
        <v>127</v>
      </c>
      <c r="T28" s="126"/>
      <c r="U28" s="126" t="s">
        <v>131</v>
      </c>
      <c r="V28" s="126"/>
      <c r="W28" s="68"/>
      <c r="X28" s="68"/>
      <c r="Y28" s="68"/>
      <c r="AC28" s="68"/>
      <c r="AD28" s="68"/>
      <c r="AE28" s="68"/>
    </row>
    <row r="29" spans="1:31" x14ac:dyDescent="0.25">
      <c r="A29" s="127" t="s">
        <v>62</v>
      </c>
      <c r="B29" s="127"/>
      <c r="C29" s="127"/>
      <c r="D29" s="127"/>
      <c r="E29" s="127"/>
      <c r="K29" s="128" t="s">
        <v>62</v>
      </c>
      <c r="L29" s="128"/>
      <c r="M29" s="128"/>
      <c r="N29" s="128"/>
      <c r="O29" s="128"/>
      <c r="W29" s="68"/>
      <c r="X29" s="68"/>
      <c r="Y29" s="68"/>
      <c r="AC29" s="68"/>
      <c r="AD29" s="68"/>
      <c r="AE29" s="68"/>
    </row>
    <row r="30" spans="1:31" x14ac:dyDescent="0.25">
      <c r="A30" s="18" t="s">
        <v>4</v>
      </c>
      <c r="B30" s="16">
        <v>1</v>
      </c>
      <c r="C30" s="16" t="s">
        <v>53</v>
      </c>
      <c r="D30" s="16">
        <v>0</v>
      </c>
      <c r="E30" s="19" t="s">
        <v>22</v>
      </c>
      <c r="H30" s="16">
        <v>5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68"/>
      <c r="X30" s="68"/>
      <c r="Y30" s="68"/>
      <c r="AC30" s="68"/>
      <c r="AD30" s="68"/>
      <c r="AE30" s="68"/>
    </row>
    <row r="31" spans="1:31" x14ac:dyDescent="0.25">
      <c r="A31" s="18" t="s">
        <v>15</v>
      </c>
      <c r="B31" s="16">
        <v>2</v>
      </c>
      <c r="C31" s="16" t="s">
        <v>53</v>
      </c>
      <c r="D31" s="16">
        <v>1</v>
      </c>
      <c r="E31" s="19" t="s">
        <v>56</v>
      </c>
      <c r="H31" s="16">
        <v>10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0</v>
      </c>
      <c r="C32" s="16" t="s">
        <v>53</v>
      </c>
      <c r="D32" s="16">
        <v>2</v>
      </c>
      <c r="E32" s="19" t="s">
        <v>56</v>
      </c>
      <c r="H32" s="16">
        <v>15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2</v>
      </c>
      <c r="C33" s="16" t="s">
        <v>53</v>
      </c>
      <c r="D33" s="16">
        <v>1</v>
      </c>
      <c r="E33" s="19" t="s">
        <v>4</v>
      </c>
      <c r="H33" s="16">
        <v>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0</v>
      </c>
      <c r="C34" s="16" t="s">
        <v>53</v>
      </c>
      <c r="D34" s="16">
        <v>1</v>
      </c>
      <c r="E34" s="19" t="s">
        <v>15</v>
      </c>
      <c r="H34" s="16">
        <v>5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1</v>
      </c>
      <c r="C35" s="16" t="s">
        <v>53</v>
      </c>
      <c r="D35" s="16">
        <v>1</v>
      </c>
      <c r="E35" s="19" t="s">
        <v>4</v>
      </c>
      <c r="H35" s="16">
        <v>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27" t="s">
        <v>61</v>
      </c>
      <c r="B36" s="127"/>
      <c r="C36" s="127"/>
      <c r="D36" s="127"/>
      <c r="E36" s="127"/>
      <c r="J36" s="17" t="str">
        <f>IF(Tabela!L9="","",Tabela!L9)</f>
        <v/>
      </c>
      <c r="K36" s="128" t="s">
        <v>61</v>
      </c>
      <c r="L36" s="128"/>
      <c r="M36" s="128"/>
      <c r="N36" s="128"/>
      <c r="O36" s="128"/>
    </row>
    <row r="37" spans="1:15" x14ac:dyDescent="0.25">
      <c r="A37" s="18" t="s">
        <v>23</v>
      </c>
      <c r="B37" s="16">
        <v>1</v>
      </c>
      <c r="C37" s="16" t="s">
        <v>53</v>
      </c>
      <c r="D37" s="16">
        <v>1</v>
      </c>
      <c r="E37" s="19" t="s">
        <v>12</v>
      </c>
      <c r="H37" s="16">
        <v>10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2</v>
      </c>
      <c r="C38" s="16" t="s">
        <v>53</v>
      </c>
      <c r="D38" s="16">
        <v>2</v>
      </c>
      <c r="E38" s="19" t="s">
        <v>10</v>
      </c>
      <c r="H38" s="16">
        <v>0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1</v>
      </c>
      <c r="C39" s="16" t="s">
        <v>53</v>
      </c>
      <c r="D39" s="16">
        <v>1</v>
      </c>
      <c r="E39" s="19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2</v>
      </c>
      <c r="C40" s="16" t="s">
        <v>53</v>
      </c>
      <c r="D40" s="16">
        <v>0</v>
      </c>
      <c r="E40" s="19" t="s">
        <v>10</v>
      </c>
      <c r="H40" s="16">
        <v>10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2</v>
      </c>
      <c r="C41" s="16" t="s">
        <v>53</v>
      </c>
      <c r="D41" s="16">
        <v>1</v>
      </c>
      <c r="E41" s="19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2</v>
      </c>
      <c r="C42" s="16" t="s">
        <v>53</v>
      </c>
      <c r="D42" s="16">
        <v>1</v>
      </c>
      <c r="E42" s="19" t="s">
        <v>23</v>
      </c>
      <c r="H42" s="16">
        <v>0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27" t="s">
        <v>60</v>
      </c>
      <c r="B43" s="127"/>
      <c r="C43" s="127"/>
      <c r="D43" s="127"/>
      <c r="E43" s="127"/>
      <c r="J43" s="17" t="str">
        <f>IF(Tabela!L16="","",Tabela!L16)</f>
        <v/>
      </c>
      <c r="K43" s="128" t="s">
        <v>60</v>
      </c>
      <c r="L43" s="128"/>
      <c r="M43" s="128"/>
      <c r="N43" s="128"/>
      <c r="O43" s="128"/>
    </row>
    <row r="44" spans="1:15" x14ac:dyDescent="0.25">
      <c r="A44" s="18" t="s">
        <v>30</v>
      </c>
      <c r="B44" s="16">
        <v>1</v>
      </c>
      <c r="C44" s="16" t="s">
        <v>53</v>
      </c>
      <c r="D44" s="16">
        <v>3</v>
      </c>
      <c r="E44" s="19" t="s">
        <v>9</v>
      </c>
      <c r="H44" s="16">
        <v>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3</v>
      </c>
      <c r="C45" s="16" t="s">
        <v>53</v>
      </c>
      <c r="D45" s="16">
        <v>1</v>
      </c>
      <c r="E45" s="19" t="s">
        <v>29</v>
      </c>
      <c r="H45" s="16">
        <v>10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2</v>
      </c>
      <c r="C46" s="16" t="s">
        <v>53</v>
      </c>
      <c r="D46" s="16">
        <v>1</v>
      </c>
      <c r="E46" s="19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1</v>
      </c>
      <c r="E47" s="19" t="s">
        <v>30</v>
      </c>
      <c r="H47" s="16">
        <v>10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1</v>
      </c>
      <c r="C48" s="16" t="s">
        <v>53</v>
      </c>
      <c r="D48" s="16">
        <v>4</v>
      </c>
      <c r="E48" s="19" t="s">
        <v>8</v>
      </c>
      <c r="H48" s="16">
        <v>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1</v>
      </c>
      <c r="E49" s="19" t="s">
        <v>30</v>
      </c>
      <c r="H49" s="16">
        <v>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27" t="s">
        <v>59</v>
      </c>
      <c r="B50" s="127"/>
      <c r="C50" s="127"/>
      <c r="D50" s="127"/>
      <c r="E50" s="127"/>
      <c r="J50" s="17" t="str">
        <f>IF(Tabela!L23="","",Tabela!L23)</f>
        <v/>
      </c>
      <c r="K50" s="128" t="s">
        <v>59</v>
      </c>
      <c r="L50" s="128"/>
      <c r="M50" s="128"/>
      <c r="N50" s="128"/>
      <c r="O50" s="128"/>
    </row>
    <row r="51" spans="1:15" x14ac:dyDescent="0.25">
      <c r="A51" s="18" t="s">
        <v>32</v>
      </c>
      <c r="B51" s="16">
        <v>2</v>
      </c>
      <c r="C51" s="16" t="s">
        <v>53</v>
      </c>
      <c r="D51" s="16">
        <v>1</v>
      </c>
      <c r="E51" s="19" t="s">
        <v>67</v>
      </c>
      <c r="H51" s="16">
        <v>0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1</v>
      </c>
      <c r="C52" s="16" t="s">
        <v>53</v>
      </c>
      <c r="D52" s="16">
        <v>1</v>
      </c>
      <c r="E52" s="19" t="s">
        <v>18</v>
      </c>
      <c r="H52" s="16">
        <v>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1</v>
      </c>
      <c r="C53" s="16" t="s">
        <v>53</v>
      </c>
      <c r="D53" s="16">
        <v>0</v>
      </c>
      <c r="E53" s="19" t="s">
        <v>18</v>
      </c>
      <c r="H53" s="16">
        <v>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2</v>
      </c>
      <c r="C54" s="16" t="s">
        <v>53</v>
      </c>
      <c r="D54" s="16">
        <v>1</v>
      </c>
      <c r="E54" s="19" t="s">
        <v>32</v>
      </c>
      <c r="H54" s="16">
        <v>15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1</v>
      </c>
      <c r="E55" s="19" t="s">
        <v>27</v>
      </c>
      <c r="H55" s="16">
        <v>5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0</v>
      </c>
      <c r="E56" s="19" t="s">
        <v>32</v>
      </c>
      <c r="H56" s="16">
        <v>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145" t="s">
        <v>173</v>
      </c>
    </row>
    <row r="58" spans="1:15" x14ac:dyDescent="0.25">
      <c r="A58" s="135" t="str">
        <f>_xlfn.CONCAT(W2,A57)</f>
        <v>Andréia - Oitavas de Final</v>
      </c>
      <c r="B58" s="135"/>
      <c r="C58" s="135"/>
      <c r="D58" s="135"/>
      <c r="E58" s="135"/>
      <c r="K58" s="136" t="s">
        <v>171</v>
      </c>
      <c r="L58" s="136"/>
      <c r="M58" s="136"/>
      <c r="N58" s="136"/>
      <c r="O58" s="136"/>
    </row>
    <row r="59" spans="1:15" x14ac:dyDescent="0.25">
      <c r="A59" s="66" t="s">
        <v>19</v>
      </c>
      <c r="B59" s="2">
        <v>1</v>
      </c>
      <c r="C59" s="2" t="s">
        <v>53</v>
      </c>
      <c r="D59" s="2">
        <v>2</v>
      </c>
      <c r="E59" s="65" t="s">
        <v>166</v>
      </c>
      <c r="H59" s="16">
        <v>0</v>
      </c>
      <c r="J59" s="17" t="str">
        <f>IF(Tabela!F32="","",Tabela!F32)</f>
        <v/>
      </c>
      <c r="K59" s="67" t="str">
        <f>Tabela!A32</f>
        <v>Holanda</v>
      </c>
      <c r="L59" s="67">
        <f>Tabela!B32</f>
        <v>3</v>
      </c>
      <c r="M59" s="67" t="str">
        <f>Tabela!C32</f>
        <v>X</v>
      </c>
      <c r="N59" s="67">
        <f>Tabela!D32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1</v>
      </c>
      <c r="E60" s="65" t="s">
        <v>6</v>
      </c>
      <c r="J60" s="17" t="str">
        <f>IF(Tabela!F33="","",Tabela!F33)</f>
        <v>N</v>
      </c>
      <c r="K60" s="67" t="str">
        <f>Tabela!A33</f>
        <v>Argentina</v>
      </c>
      <c r="L60" s="67">
        <f>Tabela!B33</f>
        <v>0</v>
      </c>
      <c r="M60" s="67" t="str">
        <f>Tabela!C33</f>
        <v>X</v>
      </c>
      <c r="N60" s="67">
        <f>Tabela!D33</f>
        <v>0</v>
      </c>
      <c r="O60" s="67" t="str">
        <f>Tabela!E33</f>
        <v>Austrália</v>
      </c>
    </row>
    <row r="61" spans="1:15" x14ac:dyDescent="0.25">
      <c r="A61" s="66" t="s">
        <v>22</v>
      </c>
      <c r="B61" s="2">
        <v>2</v>
      </c>
      <c r="C61" s="2" t="s">
        <v>53</v>
      </c>
      <c r="D61" s="2">
        <v>1</v>
      </c>
      <c r="E61" s="65" t="s">
        <v>12</v>
      </c>
      <c r="J61" s="17" t="str">
        <f>IF(Tabela!F34="","",Tabela!F34)</f>
        <v>N</v>
      </c>
      <c r="K61" s="67" t="str">
        <f>Tabela!A34</f>
        <v>Japão</v>
      </c>
      <c r="L61" s="67">
        <f>Tabela!B34</f>
        <v>0</v>
      </c>
      <c r="M61" s="67" t="str">
        <f>Tabela!C34</f>
        <v>X</v>
      </c>
      <c r="N61" s="67">
        <f>Tabela!D34</f>
        <v>0</v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1</v>
      </c>
      <c r="E62" s="65" t="s">
        <v>167</v>
      </c>
      <c r="J62" s="17" t="str">
        <f>IF(Tabela!F35="","",Tabela!F35)</f>
        <v>N</v>
      </c>
      <c r="K62" s="67" t="str">
        <f>Tabela!A35</f>
        <v>Brasil</v>
      </c>
      <c r="L62" s="67">
        <f>Tabela!B35</f>
        <v>0</v>
      </c>
      <c r="M62" s="67" t="str">
        <f>Tabela!C35</f>
        <v>X</v>
      </c>
      <c r="N62" s="67">
        <f>Tabela!D35</f>
        <v>0</v>
      </c>
      <c r="O62" s="67" t="str">
        <f>Tabela!E35</f>
        <v>Coréia</v>
      </c>
    </row>
    <row r="63" spans="1:15" x14ac:dyDescent="0.25">
      <c r="A63" s="66" t="s">
        <v>20</v>
      </c>
      <c r="B63" s="2">
        <v>1</v>
      </c>
      <c r="C63" s="2" t="s">
        <v>53</v>
      </c>
      <c r="D63" s="2">
        <v>2</v>
      </c>
      <c r="E63" s="65" t="s">
        <v>28</v>
      </c>
      <c r="J63" s="17" t="str">
        <f>IF(Tabela!F36="","",Tabela!F36)</f>
        <v>N</v>
      </c>
      <c r="K63" s="67" t="str">
        <f>Tabela!A36</f>
        <v>Inglaterra</v>
      </c>
      <c r="L63" s="67">
        <f>Tabela!B36</f>
        <v>0</v>
      </c>
      <c r="M63" s="67" t="str">
        <f>Tabela!C36</f>
        <v>X</v>
      </c>
      <c r="N63" s="67">
        <f>Tabela!D36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2</v>
      </c>
      <c r="C64" s="2" t="s">
        <v>53</v>
      </c>
      <c r="D64" s="2">
        <v>1</v>
      </c>
      <c r="E64" s="65" t="s">
        <v>26</v>
      </c>
      <c r="J64" s="17" t="str">
        <f>IF(Tabela!F37="","",Tabela!F37)</f>
        <v>N</v>
      </c>
      <c r="K64" s="67" t="str">
        <f>Tabela!A37</f>
        <v>França</v>
      </c>
      <c r="L64" s="67">
        <f>Tabela!B37</f>
        <v>0</v>
      </c>
      <c r="M64" s="67" t="str">
        <f>Tabela!C37</f>
        <v>X</v>
      </c>
      <c r="N64" s="67">
        <f>Tabela!D37</f>
        <v>0</v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2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7">
        <f>Tabela!B38</f>
        <v>0</v>
      </c>
      <c r="M65" s="67" t="str">
        <f>Tabela!C38</f>
        <v>X</v>
      </c>
      <c r="N65" s="67">
        <f>Tabela!D38</f>
        <v>0</v>
      </c>
      <c r="O65" s="67" t="str">
        <f>Tabela!E38</f>
        <v>Espanha</v>
      </c>
    </row>
    <row r="66" spans="1:15" x14ac:dyDescent="0.25">
      <c r="A66" s="66" t="s">
        <v>27</v>
      </c>
      <c r="B66" s="2">
        <v>2</v>
      </c>
      <c r="C66" s="2" t="s">
        <v>53</v>
      </c>
      <c r="D66" s="2">
        <v>1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7">
        <f>Tabela!B39</f>
        <v>0</v>
      </c>
      <c r="M66" s="67" t="str">
        <f>Tabela!C39</f>
        <v>X</v>
      </c>
      <c r="N66" s="67">
        <f>Tabela!D39</f>
        <v>0</v>
      </c>
      <c r="O66" s="67" t="str">
        <f>Tabela!E39</f>
        <v>Suíça</v>
      </c>
    </row>
  </sheetData>
  <mergeCells count="71">
    <mergeCell ref="A58:E58"/>
    <mergeCell ref="K58:O58"/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2:E2"/>
    <mergeCell ref="A1:E1"/>
    <mergeCell ref="A8:E8"/>
    <mergeCell ref="A15:E15"/>
    <mergeCell ref="A22:E22"/>
    <mergeCell ref="A29:E29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27:R27"/>
    <mergeCell ref="S27:T27"/>
    <mergeCell ref="U27:V27"/>
    <mergeCell ref="Q28:R28"/>
    <mergeCell ref="S28:T28"/>
    <mergeCell ref="U28:V2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B75744-B0E8-4C30-B782-AF415E37229F}">
  <sheetPr codeName="Planilha17">
    <tabColor rgb="FF0070C0"/>
  </sheetPr>
  <dimension ref="A1:AE66"/>
  <sheetViews>
    <sheetView zoomScale="85" zoomScaleNormal="85" workbookViewId="0">
      <pane xSplit="15" ySplit="16" topLeftCell="P18" activePane="bottomRight" state="frozen"/>
      <selection pane="topRight" activeCell="P1" sqref="P1"/>
      <selection pane="bottomLeft" activeCell="A17" sqref="A17"/>
      <selection pane="bottomRight" activeCell="Q25" sqref="Q25:U25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41" width="5.7109375" style="17" customWidth="1"/>
    <col min="42" max="16384" width="9.140625" style="17"/>
  </cols>
  <sheetData>
    <row r="1" spans="1:31" x14ac:dyDescent="0.25">
      <c r="A1" s="127" t="s">
        <v>58</v>
      </c>
      <c r="B1" s="127"/>
      <c r="C1" s="127"/>
      <c r="D1" s="127"/>
      <c r="E1" s="127"/>
      <c r="K1" s="128" t="s">
        <v>58</v>
      </c>
      <c r="L1" s="128"/>
      <c r="M1" s="128"/>
      <c r="N1" s="128"/>
      <c r="O1" s="128"/>
    </row>
    <row r="2" spans="1:31" x14ac:dyDescent="0.25">
      <c r="A2" s="133" t="s">
        <v>43</v>
      </c>
      <c r="B2" s="133"/>
      <c r="C2" s="133"/>
      <c r="D2" s="133"/>
      <c r="E2" s="133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31" t="s">
        <v>82</v>
      </c>
      <c r="X2" s="131"/>
      <c r="Y2" s="131"/>
      <c r="Z2" s="131"/>
      <c r="AA2" s="131"/>
      <c r="AB2" s="131"/>
      <c r="AC2" s="131"/>
      <c r="AD2" s="131"/>
      <c r="AE2" s="131"/>
    </row>
    <row r="3" spans="1:31" x14ac:dyDescent="0.25">
      <c r="A3" s="18" t="s">
        <v>28</v>
      </c>
      <c r="B3" s="16">
        <v>0</v>
      </c>
      <c r="C3" s="16" t="s">
        <v>53</v>
      </c>
      <c r="D3" s="16">
        <v>1</v>
      </c>
      <c r="E3" s="19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31"/>
      <c r="X3" s="131"/>
      <c r="Y3" s="131"/>
      <c r="Z3" s="131"/>
      <c r="AA3" s="131"/>
      <c r="AB3" s="131"/>
      <c r="AC3" s="131"/>
      <c r="AD3" s="131"/>
      <c r="AE3" s="131"/>
    </row>
    <row r="4" spans="1:31" x14ac:dyDescent="0.25">
      <c r="A4" s="18" t="s">
        <v>11</v>
      </c>
      <c r="B4" s="16">
        <v>0</v>
      </c>
      <c r="C4" s="16" t="s">
        <v>53</v>
      </c>
      <c r="D4" s="16">
        <v>1</v>
      </c>
      <c r="E4" s="19" t="s">
        <v>28</v>
      </c>
      <c r="H4" s="16">
        <v>10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31"/>
      <c r="X4" s="131"/>
      <c r="Y4" s="131"/>
      <c r="Z4" s="131"/>
      <c r="AA4" s="131"/>
      <c r="AB4" s="131"/>
      <c r="AC4" s="131"/>
      <c r="AD4" s="131"/>
      <c r="AE4" s="131"/>
    </row>
    <row r="5" spans="1:31" x14ac:dyDescent="0.25">
      <c r="A5" s="18" t="s">
        <v>19</v>
      </c>
      <c r="B5" s="16">
        <v>0</v>
      </c>
      <c r="C5" s="16" t="s">
        <v>53</v>
      </c>
      <c r="D5" s="16">
        <v>1</v>
      </c>
      <c r="E5" s="19" t="s">
        <v>14</v>
      </c>
      <c r="H5" s="16">
        <v>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31"/>
      <c r="X5" s="131"/>
      <c r="Y5" s="131"/>
      <c r="Z5" s="131"/>
      <c r="AA5" s="131"/>
      <c r="AB5" s="131"/>
      <c r="AC5" s="131"/>
      <c r="AD5" s="131"/>
      <c r="AE5" s="131"/>
    </row>
    <row r="6" spans="1:31" x14ac:dyDescent="0.25">
      <c r="A6" s="18" t="s">
        <v>19</v>
      </c>
      <c r="B6" s="16">
        <v>0</v>
      </c>
      <c r="C6" s="16" t="s">
        <v>53</v>
      </c>
      <c r="D6" s="16">
        <v>1</v>
      </c>
      <c r="E6" s="19" t="s">
        <v>11</v>
      </c>
      <c r="H6" s="16">
        <v>0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31"/>
      <c r="X6" s="131"/>
      <c r="Y6" s="131"/>
      <c r="Z6" s="131"/>
      <c r="AA6" s="131"/>
      <c r="AB6" s="131"/>
      <c r="AC6" s="131"/>
      <c r="AD6" s="131"/>
      <c r="AE6" s="131"/>
    </row>
    <row r="7" spans="1:31" x14ac:dyDescent="0.25">
      <c r="A7" s="18" t="s">
        <v>14</v>
      </c>
      <c r="B7" s="16">
        <v>0</v>
      </c>
      <c r="C7" s="16" t="s">
        <v>53</v>
      </c>
      <c r="D7" s="16">
        <v>1</v>
      </c>
      <c r="E7" s="19" t="s">
        <v>28</v>
      </c>
      <c r="H7" s="16">
        <v>10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27" t="s">
        <v>65</v>
      </c>
      <c r="B8" s="127"/>
      <c r="C8" s="127"/>
      <c r="D8" s="127"/>
      <c r="E8" s="127"/>
      <c r="J8" s="17" t="str">
        <f>IF(Tabela!F9="","",Tabela!F9)</f>
        <v/>
      </c>
      <c r="K8" s="128" t="s">
        <v>65</v>
      </c>
      <c r="L8" s="128"/>
      <c r="M8" s="128"/>
      <c r="N8" s="128"/>
      <c r="O8" s="128"/>
    </row>
    <row r="9" spans="1:31" x14ac:dyDescent="0.25">
      <c r="A9" s="18" t="s">
        <v>20</v>
      </c>
      <c r="B9" s="16">
        <v>0</v>
      </c>
      <c r="C9" s="16" t="s">
        <v>53</v>
      </c>
      <c r="D9" s="16">
        <v>1</v>
      </c>
      <c r="E9" s="19" t="s">
        <v>21</v>
      </c>
      <c r="H9" s="16">
        <v>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29" t="s">
        <v>66</v>
      </c>
      <c r="R9" s="129"/>
      <c r="S9" s="129"/>
      <c r="T9" s="129"/>
      <c r="U9" s="129"/>
      <c r="W9" s="68" t="s">
        <v>124</v>
      </c>
      <c r="X9" s="68"/>
      <c r="Y9" s="68"/>
      <c r="Z9" s="68"/>
      <c r="AA9" s="68"/>
      <c r="AB9" s="68"/>
      <c r="AC9" s="68"/>
      <c r="AD9" s="68"/>
      <c r="AE9" s="68"/>
    </row>
    <row r="10" spans="1:31" x14ac:dyDescent="0.25">
      <c r="A10" s="18" t="s">
        <v>54</v>
      </c>
      <c r="B10" s="16">
        <v>0</v>
      </c>
      <c r="C10" s="16" t="s">
        <v>53</v>
      </c>
      <c r="D10" s="16">
        <v>1</v>
      </c>
      <c r="E10" s="19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29"/>
      <c r="R10" s="129"/>
      <c r="S10" s="129"/>
      <c r="T10" s="129"/>
      <c r="U10" s="129"/>
      <c r="W10" s="68" t="s">
        <v>21</v>
      </c>
      <c r="X10" s="68"/>
      <c r="Y10" s="68"/>
      <c r="Z10" s="54">
        <v>0</v>
      </c>
      <c r="AB10" s="54">
        <v>1</v>
      </c>
      <c r="AC10" s="68" t="s">
        <v>16</v>
      </c>
      <c r="AD10" s="68"/>
      <c r="AE10" s="68"/>
    </row>
    <row r="11" spans="1:31" x14ac:dyDescent="0.25">
      <c r="A11" s="18" t="s">
        <v>34</v>
      </c>
      <c r="B11" s="16">
        <v>0</v>
      </c>
      <c r="C11" s="16" t="s">
        <v>53</v>
      </c>
      <c r="D11" s="16">
        <v>1</v>
      </c>
      <c r="E11" s="19" t="s">
        <v>21</v>
      </c>
      <c r="H11" s="16">
        <v>15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30">
        <f>SUM(H2:H66)</f>
        <v>325</v>
      </c>
      <c r="R11" s="130"/>
      <c r="S11" s="130"/>
      <c r="T11" s="130"/>
      <c r="U11" s="130"/>
      <c r="W11" s="68" t="s">
        <v>31</v>
      </c>
      <c r="X11" s="68"/>
      <c r="Y11" s="68"/>
      <c r="Z11" s="54">
        <v>0</v>
      </c>
      <c r="AB11" s="54">
        <v>1</v>
      </c>
      <c r="AC11" s="68" t="s">
        <v>6</v>
      </c>
      <c r="AD11" s="68"/>
      <c r="AE11" s="68"/>
    </row>
    <row r="12" spans="1:31" x14ac:dyDescent="0.25">
      <c r="A12" s="18" t="s">
        <v>20</v>
      </c>
      <c r="B12" s="16">
        <v>0</v>
      </c>
      <c r="C12" s="16" t="s">
        <v>53</v>
      </c>
      <c r="D12" s="16">
        <v>1</v>
      </c>
      <c r="E12" s="19" t="s">
        <v>54</v>
      </c>
      <c r="H12" s="16">
        <v>5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30"/>
      <c r="R12" s="130"/>
      <c r="S12" s="130"/>
      <c r="T12" s="130"/>
      <c r="U12" s="130"/>
      <c r="W12" s="68" t="s">
        <v>22</v>
      </c>
      <c r="X12" s="68"/>
      <c r="Y12" s="68"/>
      <c r="Z12" s="54">
        <v>0</v>
      </c>
      <c r="AB12" s="54">
        <v>1</v>
      </c>
      <c r="AC12" s="68" t="s">
        <v>56</v>
      </c>
      <c r="AD12" s="68"/>
      <c r="AE12" s="68"/>
    </row>
    <row r="13" spans="1:31" x14ac:dyDescent="0.25">
      <c r="A13" s="18" t="s">
        <v>21</v>
      </c>
      <c r="B13" s="16">
        <v>0</v>
      </c>
      <c r="C13" s="16" t="s">
        <v>53</v>
      </c>
      <c r="D13" s="16">
        <v>1</v>
      </c>
      <c r="E13" s="19" t="s">
        <v>54</v>
      </c>
      <c r="H13" s="16">
        <v>25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30"/>
      <c r="R13" s="130"/>
      <c r="S13" s="130"/>
      <c r="T13" s="130"/>
      <c r="U13" s="130"/>
      <c r="W13" s="68"/>
      <c r="X13" s="68"/>
      <c r="Y13" s="68"/>
      <c r="AC13" s="68"/>
      <c r="AD13" s="68"/>
      <c r="AE13" s="68"/>
    </row>
    <row r="14" spans="1:31" x14ac:dyDescent="0.25">
      <c r="A14" s="18" t="s">
        <v>34</v>
      </c>
      <c r="B14" s="16">
        <v>0</v>
      </c>
      <c r="C14" s="16" t="s">
        <v>53</v>
      </c>
      <c r="D14" s="16">
        <v>1</v>
      </c>
      <c r="E14" s="19" t="s">
        <v>20</v>
      </c>
      <c r="H14" s="16">
        <v>15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30"/>
      <c r="R14" s="130"/>
      <c r="S14" s="130"/>
      <c r="T14" s="130"/>
      <c r="U14" s="130"/>
      <c r="W14" s="68"/>
      <c r="X14" s="68"/>
      <c r="Y14" s="68"/>
      <c r="AC14" s="68"/>
      <c r="AD14" s="68"/>
      <c r="AE14" s="68"/>
    </row>
    <row r="15" spans="1:31" x14ac:dyDescent="0.25">
      <c r="A15" s="127" t="s">
        <v>64</v>
      </c>
      <c r="B15" s="127"/>
      <c r="C15" s="127"/>
      <c r="D15" s="127"/>
      <c r="E15" s="127"/>
      <c r="J15" s="17" t="str">
        <f>IF(Tabela!F16="","",Tabela!F16)</f>
        <v/>
      </c>
      <c r="K15" s="128" t="s">
        <v>64</v>
      </c>
      <c r="L15" s="128"/>
      <c r="M15" s="128"/>
      <c r="N15" s="128"/>
      <c r="O15" s="128"/>
      <c r="Q15" s="130"/>
      <c r="R15" s="130"/>
      <c r="S15" s="130"/>
      <c r="T15" s="130"/>
      <c r="U15" s="130"/>
      <c r="W15" s="68"/>
      <c r="X15" s="68"/>
      <c r="Y15" s="68"/>
      <c r="AC15" s="68"/>
      <c r="AD15" s="68"/>
      <c r="AE15" s="68"/>
    </row>
    <row r="16" spans="1:31" x14ac:dyDescent="0.25">
      <c r="A16" s="18" t="s">
        <v>5</v>
      </c>
      <c r="B16" s="16">
        <v>0</v>
      </c>
      <c r="C16" s="16" t="s">
        <v>53</v>
      </c>
      <c r="D16" s="16">
        <v>1</v>
      </c>
      <c r="E16" s="19" t="s">
        <v>55</v>
      </c>
      <c r="H16" s="16">
        <v>10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68"/>
      <c r="X16" s="68"/>
      <c r="Y16" s="68"/>
      <c r="AC16" s="68"/>
      <c r="AD16" s="68"/>
      <c r="AE16" s="68"/>
    </row>
    <row r="17" spans="1:31" x14ac:dyDescent="0.25">
      <c r="A17" s="18" t="s">
        <v>24</v>
      </c>
      <c r="B17" s="16">
        <v>0</v>
      </c>
      <c r="C17" s="16" t="s">
        <v>53</v>
      </c>
      <c r="D17" s="16">
        <v>1</v>
      </c>
      <c r="E17" s="19" t="s">
        <v>26</v>
      </c>
      <c r="H17" s="16">
        <v>5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68"/>
      <c r="X17" s="68"/>
      <c r="Y17" s="68"/>
      <c r="AC17" s="68"/>
      <c r="AD17" s="68"/>
      <c r="AE17" s="68"/>
    </row>
    <row r="18" spans="1:31" x14ac:dyDescent="0.25">
      <c r="A18" s="18" t="s">
        <v>26</v>
      </c>
      <c r="B18" s="16">
        <v>0</v>
      </c>
      <c r="C18" s="16" t="s">
        <v>53</v>
      </c>
      <c r="D18" s="16">
        <v>1</v>
      </c>
      <c r="E18" s="19" t="s">
        <v>55</v>
      </c>
      <c r="H18" s="16">
        <v>0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W18" s="68"/>
      <c r="X18" s="68"/>
      <c r="Y18" s="68"/>
      <c r="AC18" s="68"/>
      <c r="AD18" s="68"/>
      <c r="AE18" s="68"/>
    </row>
    <row r="19" spans="1:31" x14ac:dyDescent="0.25">
      <c r="A19" s="18" t="s">
        <v>5</v>
      </c>
      <c r="B19" s="16">
        <v>0</v>
      </c>
      <c r="C19" s="16" t="s">
        <v>53</v>
      </c>
      <c r="D19" s="16">
        <v>1</v>
      </c>
      <c r="E19" s="19" t="s">
        <v>24</v>
      </c>
      <c r="H19" s="16">
        <v>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W19" s="68"/>
      <c r="X19" s="68"/>
      <c r="Y19" s="68"/>
      <c r="AC19" s="68"/>
      <c r="AD19" s="68"/>
      <c r="AE19" s="68"/>
    </row>
    <row r="20" spans="1:31" x14ac:dyDescent="0.25">
      <c r="A20" s="18" t="s">
        <v>26</v>
      </c>
      <c r="B20" s="16">
        <v>0</v>
      </c>
      <c r="C20" s="16" t="s">
        <v>53</v>
      </c>
      <c r="D20" s="16">
        <v>1</v>
      </c>
      <c r="E20" s="19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68"/>
      <c r="X20" s="68"/>
      <c r="Y20" s="68"/>
      <c r="AC20" s="68"/>
      <c r="AD20" s="68"/>
      <c r="AE20" s="68"/>
    </row>
    <row r="21" spans="1:31" x14ac:dyDescent="0.25">
      <c r="A21" s="18" t="s">
        <v>55</v>
      </c>
      <c r="B21" s="16">
        <v>0</v>
      </c>
      <c r="C21" s="16" t="s">
        <v>53</v>
      </c>
      <c r="D21" s="16">
        <v>1</v>
      </c>
      <c r="E21" s="19" t="s">
        <v>24</v>
      </c>
      <c r="H21" s="16">
        <v>10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W21" s="68"/>
      <c r="X21" s="68"/>
      <c r="Y21" s="68"/>
      <c r="AC21" s="68"/>
      <c r="AD21" s="68"/>
      <c r="AE21" s="68"/>
    </row>
    <row r="22" spans="1:31" x14ac:dyDescent="0.25">
      <c r="A22" s="127" t="s">
        <v>63</v>
      </c>
      <c r="B22" s="127"/>
      <c r="C22" s="127"/>
      <c r="D22" s="127"/>
      <c r="E22" s="127"/>
      <c r="J22" s="17" t="str">
        <f>IF(Tabela!F23="","",Tabela!F23)</f>
        <v/>
      </c>
      <c r="K22" s="128" t="s">
        <v>63</v>
      </c>
      <c r="L22" s="128"/>
      <c r="M22" s="128"/>
      <c r="N22" s="128"/>
      <c r="O22" s="128"/>
      <c r="W22" s="68"/>
      <c r="X22" s="68"/>
      <c r="Y22" s="68"/>
      <c r="AC22" s="68"/>
      <c r="AD22" s="68"/>
      <c r="AE22" s="68"/>
    </row>
    <row r="23" spans="1:31" x14ac:dyDescent="0.25">
      <c r="A23" s="18" t="s">
        <v>13</v>
      </c>
      <c r="B23" s="16">
        <v>0</v>
      </c>
      <c r="C23" s="16" t="s">
        <v>53</v>
      </c>
      <c r="D23" s="16">
        <v>1</v>
      </c>
      <c r="E23" s="19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68"/>
      <c r="X23" s="68"/>
      <c r="Y23" s="68"/>
      <c r="AC23" s="68"/>
      <c r="AD23" s="68"/>
      <c r="AE23" s="68"/>
    </row>
    <row r="24" spans="1:31" x14ac:dyDescent="0.25">
      <c r="A24" s="18" t="s">
        <v>17</v>
      </c>
      <c r="B24" s="16">
        <v>0</v>
      </c>
      <c r="C24" s="16" t="s">
        <v>53</v>
      </c>
      <c r="D24" s="16">
        <v>1</v>
      </c>
      <c r="E24" s="19" t="s">
        <v>6</v>
      </c>
      <c r="H24" s="16">
        <v>5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Q24" s="17">
        <v>25</v>
      </c>
      <c r="R24" s="17">
        <v>15</v>
      </c>
      <c r="S24" s="17">
        <v>10</v>
      </c>
      <c r="T24" s="17">
        <v>5</v>
      </c>
      <c r="U24" s="17">
        <v>0</v>
      </c>
      <c r="W24" s="68"/>
      <c r="X24" s="68"/>
      <c r="Y24" s="68"/>
      <c r="AC24" s="68"/>
      <c r="AD24" s="68"/>
      <c r="AE24" s="68"/>
    </row>
    <row r="25" spans="1:31" x14ac:dyDescent="0.25">
      <c r="A25" s="18" t="s">
        <v>31</v>
      </c>
      <c r="B25" s="16">
        <v>0</v>
      </c>
      <c r="C25" s="16" t="s">
        <v>53</v>
      </c>
      <c r="D25" s="16">
        <v>1</v>
      </c>
      <c r="E25" s="19" t="s">
        <v>6</v>
      </c>
      <c r="H25" s="16">
        <v>25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Q25" s="22">
        <v>3</v>
      </c>
      <c r="R25" s="22">
        <v>6</v>
      </c>
      <c r="S25" s="22">
        <v>9</v>
      </c>
      <c r="T25" s="22">
        <v>14</v>
      </c>
      <c r="U25" s="22">
        <v>16</v>
      </c>
      <c r="W25" s="68"/>
      <c r="X25" s="68"/>
      <c r="Y25" s="68"/>
      <c r="AC25" s="68"/>
      <c r="AD25" s="68"/>
      <c r="AE25" s="68"/>
    </row>
    <row r="26" spans="1:31" x14ac:dyDescent="0.25">
      <c r="A26" s="18" t="s">
        <v>17</v>
      </c>
      <c r="B26" s="16">
        <v>0</v>
      </c>
      <c r="C26" s="16" t="s">
        <v>53</v>
      </c>
      <c r="D26" s="16">
        <v>1</v>
      </c>
      <c r="E26" s="19" t="s">
        <v>13</v>
      </c>
      <c r="H26" s="16">
        <v>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68"/>
      <c r="X26" s="68"/>
      <c r="Y26" s="68"/>
      <c r="AC26" s="68"/>
      <c r="AD26" s="68"/>
      <c r="AE26" s="68"/>
    </row>
    <row r="27" spans="1:31" x14ac:dyDescent="0.25">
      <c r="A27" s="18" t="s">
        <v>31</v>
      </c>
      <c r="B27" s="16">
        <v>0</v>
      </c>
      <c r="C27" s="16" t="s">
        <v>53</v>
      </c>
      <c r="D27" s="16">
        <v>1</v>
      </c>
      <c r="E27" s="19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Q27" s="124" t="s">
        <v>42</v>
      </c>
      <c r="R27" s="124"/>
      <c r="S27" s="125" t="s">
        <v>15</v>
      </c>
      <c r="T27" s="125"/>
      <c r="U27" s="125" t="s">
        <v>6</v>
      </c>
      <c r="V27" s="125"/>
      <c r="W27" s="68"/>
      <c r="X27" s="68"/>
      <c r="Y27" s="68"/>
      <c r="AC27" s="68"/>
      <c r="AD27" s="68"/>
      <c r="AE27" s="68"/>
    </row>
    <row r="28" spans="1:31" x14ac:dyDescent="0.25">
      <c r="A28" s="18" t="s">
        <v>6</v>
      </c>
      <c r="B28" s="16">
        <v>0</v>
      </c>
      <c r="C28" s="16" t="s">
        <v>53</v>
      </c>
      <c r="D28" s="16">
        <v>1</v>
      </c>
      <c r="E28" s="19" t="s">
        <v>13</v>
      </c>
      <c r="H28" s="16">
        <v>0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Q28" s="124" t="s">
        <v>41</v>
      </c>
      <c r="R28" s="124"/>
      <c r="S28" s="126" t="s">
        <v>127</v>
      </c>
      <c r="T28" s="126"/>
      <c r="U28" s="126" t="s">
        <v>132</v>
      </c>
      <c r="V28" s="126"/>
      <c r="W28" s="68"/>
      <c r="X28" s="68"/>
      <c r="Y28" s="68"/>
      <c r="AC28" s="68"/>
      <c r="AD28" s="68"/>
      <c r="AE28" s="68"/>
    </row>
    <row r="29" spans="1:31" x14ac:dyDescent="0.25">
      <c r="A29" s="127" t="s">
        <v>62</v>
      </c>
      <c r="B29" s="127"/>
      <c r="C29" s="127"/>
      <c r="D29" s="127"/>
      <c r="E29" s="127"/>
      <c r="K29" s="128" t="s">
        <v>62</v>
      </c>
      <c r="L29" s="128"/>
      <c r="M29" s="128"/>
      <c r="N29" s="128"/>
      <c r="O29" s="128"/>
      <c r="W29" s="68"/>
      <c r="X29" s="68"/>
      <c r="Y29" s="68"/>
      <c r="AC29" s="68"/>
      <c r="AD29" s="68"/>
      <c r="AE29" s="68"/>
    </row>
    <row r="30" spans="1:31" x14ac:dyDescent="0.25">
      <c r="A30" s="18" t="s">
        <v>4</v>
      </c>
      <c r="B30" s="16">
        <v>0</v>
      </c>
      <c r="C30" s="16" t="s">
        <v>53</v>
      </c>
      <c r="D30" s="16">
        <v>1</v>
      </c>
      <c r="E30" s="19" t="s">
        <v>22</v>
      </c>
      <c r="H30" s="16">
        <v>10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68"/>
      <c r="X30" s="68"/>
      <c r="Y30" s="68"/>
      <c r="AC30" s="68"/>
      <c r="AD30" s="68"/>
      <c r="AE30" s="68"/>
    </row>
    <row r="31" spans="1:31" x14ac:dyDescent="0.25">
      <c r="A31" s="18" t="s">
        <v>15</v>
      </c>
      <c r="B31" s="16">
        <v>0</v>
      </c>
      <c r="C31" s="16" t="s">
        <v>53</v>
      </c>
      <c r="D31" s="16">
        <v>1</v>
      </c>
      <c r="E31" s="19" t="s">
        <v>56</v>
      </c>
      <c r="H31" s="16">
        <v>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0</v>
      </c>
      <c r="C32" s="16" t="s">
        <v>53</v>
      </c>
      <c r="D32" s="16">
        <v>1</v>
      </c>
      <c r="E32" s="19" t="s">
        <v>56</v>
      </c>
      <c r="H32" s="16">
        <v>25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0</v>
      </c>
      <c r="C33" s="16" t="s">
        <v>53</v>
      </c>
      <c r="D33" s="16">
        <v>1</v>
      </c>
      <c r="E33" s="19" t="s">
        <v>4</v>
      </c>
      <c r="H33" s="16">
        <v>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0</v>
      </c>
      <c r="C34" s="16" t="s">
        <v>53</v>
      </c>
      <c r="D34" s="16">
        <v>1</v>
      </c>
      <c r="E34" s="19" t="s">
        <v>15</v>
      </c>
      <c r="H34" s="16">
        <v>5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0</v>
      </c>
      <c r="C35" s="16" t="s">
        <v>53</v>
      </c>
      <c r="D35" s="16">
        <v>1</v>
      </c>
      <c r="E35" s="19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27" t="s">
        <v>61</v>
      </c>
      <c r="B36" s="127"/>
      <c r="C36" s="127"/>
      <c r="D36" s="127"/>
      <c r="E36" s="127"/>
      <c r="J36" s="17" t="str">
        <f>IF(Tabela!L9="","",Tabela!L9)</f>
        <v/>
      </c>
      <c r="K36" s="128" t="s">
        <v>61</v>
      </c>
      <c r="L36" s="128"/>
      <c r="M36" s="128"/>
      <c r="N36" s="128"/>
      <c r="O36" s="128"/>
    </row>
    <row r="37" spans="1:15" x14ac:dyDescent="0.25">
      <c r="A37" s="18" t="s">
        <v>23</v>
      </c>
      <c r="B37" s="16">
        <v>0</v>
      </c>
      <c r="C37" s="16" t="s">
        <v>53</v>
      </c>
      <c r="D37" s="16">
        <v>1</v>
      </c>
      <c r="E37" s="19" t="s">
        <v>12</v>
      </c>
      <c r="H37" s="16">
        <v>5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0</v>
      </c>
      <c r="C38" s="16" t="s">
        <v>53</v>
      </c>
      <c r="D38" s="16">
        <v>1</v>
      </c>
      <c r="E38" s="19" t="s">
        <v>10</v>
      </c>
      <c r="H38" s="16">
        <v>0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0</v>
      </c>
      <c r="C39" s="16" t="s">
        <v>53</v>
      </c>
      <c r="D39" s="16">
        <v>1</v>
      </c>
      <c r="E39" s="19" t="s">
        <v>23</v>
      </c>
      <c r="H39" s="16">
        <v>15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0</v>
      </c>
      <c r="C40" s="16" t="s">
        <v>53</v>
      </c>
      <c r="D40" s="16">
        <v>1</v>
      </c>
      <c r="E40" s="19" t="s">
        <v>10</v>
      </c>
      <c r="H40" s="16">
        <v>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0</v>
      </c>
      <c r="C41" s="16" t="s">
        <v>53</v>
      </c>
      <c r="D41" s="16">
        <v>1</v>
      </c>
      <c r="E41" s="19" t="s">
        <v>7</v>
      </c>
      <c r="H41" s="16">
        <v>5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0</v>
      </c>
      <c r="C42" s="16" t="s">
        <v>53</v>
      </c>
      <c r="D42" s="16">
        <v>1</v>
      </c>
      <c r="E42" s="19" t="s">
        <v>23</v>
      </c>
      <c r="H42" s="16">
        <v>10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27" t="s">
        <v>60</v>
      </c>
      <c r="B43" s="127"/>
      <c r="C43" s="127"/>
      <c r="D43" s="127"/>
      <c r="E43" s="127"/>
      <c r="J43" s="17" t="str">
        <f>IF(Tabela!L16="","",Tabela!L16)</f>
        <v/>
      </c>
      <c r="K43" s="128" t="s">
        <v>60</v>
      </c>
      <c r="L43" s="128"/>
      <c r="M43" s="128"/>
      <c r="N43" s="128"/>
      <c r="O43" s="128"/>
    </row>
    <row r="44" spans="1:15" x14ac:dyDescent="0.25">
      <c r="A44" s="18" t="s">
        <v>30</v>
      </c>
      <c r="B44" s="16">
        <v>0</v>
      </c>
      <c r="C44" s="16" t="s">
        <v>53</v>
      </c>
      <c r="D44" s="16">
        <v>1</v>
      </c>
      <c r="E44" s="19" t="s">
        <v>9</v>
      </c>
      <c r="H44" s="16">
        <v>0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0</v>
      </c>
      <c r="C45" s="16" t="s">
        <v>53</v>
      </c>
      <c r="D45" s="16">
        <v>1</v>
      </c>
      <c r="E45" s="19" t="s">
        <v>29</v>
      </c>
      <c r="H45" s="16">
        <v>0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0</v>
      </c>
      <c r="C46" s="16" t="s">
        <v>53</v>
      </c>
      <c r="D46" s="16">
        <v>1</v>
      </c>
      <c r="E46" s="19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0</v>
      </c>
      <c r="C47" s="16" t="s">
        <v>53</v>
      </c>
      <c r="D47" s="16">
        <v>1</v>
      </c>
      <c r="E47" s="19" t="s">
        <v>30</v>
      </c>
      <c r="H47" s="16">
        <v>0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1</v>
      </c>
      <c r="E48" s="19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0</v>
      </c>
      <c r="C49" s="16" t="s">
        <v>53</v>
      </c>
      <c r="D49" s="16">
        <v>1</v>
      </c>
      <c r="E49" s="19" t="s">
        <v>30</v>
      </c>
      <c r="H49" s="16">
        <v>10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27" t="s">
        <v>59</v>
      </c>
      <c r="B50" s="127"/>
      <c r="C50" s="127"/>
      <c r="D50" s="127"/>
      <c r="E50" s="127"/>
      <c r="J50" s="17" t="str">
        <f>IF(Tabela!L23="","",Tabela!L23)</f>
        <v/>
      </c>
      <c r="K50" s="128" t="s">
        <v>59</v>
      </c>
      <c r="L50" s="128"/>
      <c r="M50" s="128"/>
      <c r="N50" s="128"/>
      <c r="O50" s="128"/>
    </row>
    <row r="51" spans="1:15" x14ac:dyDescent="0.25">
      <c r="A51" s="18" t="s">
        <v>32</v>
      </c>
      <c r="B51" s="16">
        <v>0</v>
      </c>
      <c r="C51" s="16" t="s">
        <v>53</v>
      </c>
      <c r="D51" s="16">
        <v>1</v>
      </c>
      <c r="E51" s="19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0</v>
      </c>
      <c r="C52" s="16" t="s">
        <v>53</v>
      </c>
      <c r="D52" s="16">
        <v>1</v>
      </c>
      <c r="E52" s="19" t="s">
        <v>18</v>
      </c>
      <c r="H52" s="16">
        <v>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0</v>
      </c>
      <c r="C53" s="16" t="s">
        <v>53</v>
      </c>
      <c r="D53" s="16">
        <v>1</v>
      </c>
      <c r="E53" s="19" t="s">
        <v>18</v>
      </c>
      <c r="H53" s="16">
        <v>10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0</v>
      </c>
      <c r="C54" s="16" t="s">
        <v>53</v>
      </c>
      <c r="D54" s="16">
        <v>1</v>
      </c>
      <c r="E54" s="19" t="s">
        <v>32</v>
      </c>
      <c r="H54" s="16">
        <v>0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0</v>
      </c>
      <c r="C55" s="16" t="s">
        <v>53</v>
      </c>
      <c r="D55" s="16">
        <v>1</v>
      </c>
      <c r="E55" s="19" t="s">
        <v>27</v>
      </c>
      <c r="H55" s="16">
        <v>5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0</v>
      </c>
      <c r="C56" s="16" t="s">
        <v>53</v>
      </c>
      <c r="D56" s="16">
        <v>1</v>
      </c>
      <c r="E56" s="19" t="s">
        <v>32</v>
      </c>
      <c r="H56" s="16">
        <v>15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145" t="s">
        <v>173</v>
      </c>
    </row>
    <row r="58" spans="1:15" x14ac:dyDescent="0.25">
      <c r="A58" s="135" t="str">
        <f>_xlfn.CONCAT(W2,A57)</f>
        <v>Joseir_1 - Oitavas de Final</v>
      </c>
      <c r="B58" s="135"/>
      <c r="C58" s="135"/>
      <c r="D58" s="135"/>
      <c r="E58" s="135"/>
      <c r="K58" s="136" t="s">
        <v>171</v>
      </c>
      <c r="L58" s="136"/>
      <c r="M58" s="136"/>
      <c r="N58" s="136"/>
      <c r="O58" s="136"/>
    </row>
    <row r="59" spans="1:15" x14ac:dyDescent="0.25">
      <c r="A59" s="66" t="s">
        <v>19</v>
      </c>
      <c r="B59" s="2">
        <v>1</v>
      </c>
      <c r="C59" s="2" t="s">
        <v>53</v>
      </c>
      <c r="D59" s="2">
        <v>2</v>
      </c>
      <c r="E59" s="65" t="s">
        <v>166</v>
      </c>
      <c r="H59" s="16">
        <v>0</v>
      </c>
      <c r="J59" s="17" t="str">
        <f>IF(Tabela!F32="","",Tabela!F32)</f>
        <v/>
      </c>
      <c r="K59" s="67" t="str">
        <f>Tabela!A32</f>
        <v>Holanda</v>
      </c>
      <c r="L59" s="67">
        <f>Tabela!B32</f>
        <v>3</v>
      </c>
      <c r="M59" s="67" t="str">
        <f>Tabela!C32</f>
        <v>X</v>
      </c>
      <c r="N59" s="67">
        <f>Tabela!D32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1</v>
      </c>
      <c r="C60" s="2" t="s">
        <v>53</v>
      </c>
      <c r="D60" s="2">
        <v>0</v>
      </c>
      <c r="E60" s="65" t="s">
        <v>6</v>
      </c>
      <c r="J60" s="17" t="str">
        <f>IF(Tabela!F33="","",Tabela!F33)</f>
        <v>N</v>
      </c>
      <c r="K60" s="67" t="str">
        <f>Tabela!A33</f>
        <v>Argentina</v>
      </c>
      <c r="L60" s="67">
        <f>Tabela!B33</f>
        <v>0</v>
      </c>
      <c r="M60" s="67" t="str">
        <f>Tabela!C33</f>
        <v>X</v>
      </c>
      <c r="N60" s="67">
        <f>Tabela!D33</f>
        <v>0</v>
      </c>
      <c r="O60" s="67" t="str">
        <f>Tabela!E33</f>
        <v>Austrália</v>
      </c>
    </row>
    <row r="61" spans="1:15" x14ac:dyDescent="0.25">
      <c r="A61" s="66" t="s">
        <v>22</v>
      </c>
      <c r="B61" s="2">
        <v>2</v>
      </c>
      <c r="C61" s="2" t="s">
        <v>53</v>
      </c>
      <c r="D61" s="2">
        <v>1</v>
      </c>
      <c r="E61" s="65" t="s">
        <v>12</v>
      </c>
      <c r="J61" s="17" t="str">
        <f>IF(Tabela!F34="","",Tabela!F34)</f>
        <v>N</v>
      </c>
      <c r="K61" s="67" t="str">
        <f>Tabela!A34</f>
        <v>Japão</v>
      </c>
      <c r="L61" s="67">
        <f>Tabela!B34</f>
        <v>0</v>
      </c>
      <c r="M61" s="67" t="str">
        <f>Tabela!C34</f>
        <v>X</v>
      </c>
      <c r="N61" s="67">
        <f>Tabela!D34</f>
        <v>0</v>
      </c>
      <c r="O61" s="67" t="str">
        <f>Tabela!E34</f>
        <v>Croácia</v>
      </c>
    </row>
    <row r="62" spans="1:15" x14ac:dyDescent="0.25">
      <c r="A62" s="66" t="s">
        <v>8</v>
      </c>
      <c r="B62" s="2">
        <v>1</v>
      </c>
      <c r="C62" s="2" t="s">
        <v>53</v>
      </c>
      <c r="D62" s="2">
        <v>0</v>
      </c>
      <c r="E62" s="65" t="s">
        <v>167</v>
      </c>
      <c r="J62" s="17" t="str">
        <f>IF(Tabela!F35="","",Tabela!F35)</f>
        <v>N</v>
      </c>
      <c r="K62" s="67" t="str">
        <f>Tabela!A35</f>
        <v>Brasil</v>
      </c>
      <c r="L62" s="67">
        <f>Tabela!B35</f>
        <v>0</v>
      </c>
      <c r="M62" s="67" t="str">
        <f>Tabela!C35</f>
        <v>X</v>
      </c>
      <c r="N62" s="67">
        <f>Tabela!D35</f>
        <v>0</v>
      </c>
      <c r="O62" s="67" t="str">
        <f>Tabela!E35</f>
        <v>Coréia</v>
      </c>
    </row>
    <row r="63" spans="1:15" x14ac:dyDescent="0.25">
      <c r="A63" s="66" t="s">
        <v>20</v>
      </c>
      <c r="B63" s="2">
        <v>0</v>
      </c>
      <c r="C63" s="2" t="s">
        <v>53</v>
      </c>
      <c r="D63" s="2">
        <v>1</v>
      </c>
      <c r="E63" s="65" t="s">
        <v>28</v>
      </c>
      <c r="J63" s="17" t="str">
        <f>IF(Tabela!F36="","",Tabela!F36)</f>
        <v>N</v>
      </c>
      <c r="K63" s="67" t="str">
        <f>Tabela!A36</f>
        <v>Inglaterra</v>
      </c>
      <c r="L63" s="67">
        <f>Tabela!B36</f>
        <v>0</v>
      </c>
      <c r="M63" s="67" t="str">
        <f>Tabela!C36</f>
        <v>X</v>
      </c>
      <c r="N63" s="67">
        <f>Tabela!D36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2</v>
      </c>
      <c r="C64" s="2" t="s">
        <v>53</v>
      </c>
      <c r="D64" s="2">
        <v>0</v>
      </c>
      <c r="E64" s="65" t="s">
        <v>26</v>
      </c>
      <c r="J64" s="17" t="str">
        <f>IF(Tabela!F37="","",Tabela!F37)</f>
        <v>N</v>
      </c>
      <c r="K64" s="67" t="str">
        <f>Tabela!A37</f>
        <v>França</v>
      </c>
      <c r="L64" s="67">
        <f>Tabela!B37</f>
        <v>0</v>
      </c>
      <c r="M64" s="67" t="str">
        <f>Tabela!C37</f>
        <v>X</v>
      </c>
      <c r="N64" s="67">
        <f>Tabela!D37</f>
        <v>0</v>
      </c>
      <c r="O64" s="67" t="str">
        <f>Tabela!E37</f>
        <v>Polônia</v>
      </c>
    </row>
    <row r="65" spans="1:15" x14ac:dyDescent="0.25">
      <c r="A65" s="66" t="s">
        <v>23</v>
      </c>
      <c r="B65" s="2">
        <v>0</v>
      </c>
      <c r="C65" s="2" t="s">
        <v>53</v>
      </c>
      <c r="D65" s="2">
        <v>2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7">
        <f>Tabela!B38</f>
        <v>0</v>
      </c>
      <c r="M65" s="67" t="str">
        <f>Tabela!C38</f>
        <v>X</v>
      </c>
      <c r="N65" s="67">
        <f>Tabela!D38</f>
        <v>0</v>
      </c>
      <c r="O65" s="67" t="str">
        <f>Tabela!E38</f>
        <v>Espanha</v>
      </c>
    </row>
    <row r="66" spans="1:15" x14ac:dyDescent="0.25">
      <c r="A66" s="66" t="s">
        <v>27</v>
      </c>
      <c r="B66" s="2">
        <v>1</v>
      </c>
      <c r="C66" s="2" t="s">
        <v>53</v>
      </c>
      <c r="D66" s="2">
        <v>1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7">
        <f>Tabela!B39</f>
        <v>0</v>
      </c>
      <c r="M66" s="67" t="str">
        <f>Tabela!C39</f>
        <v>X</v>
      </c>
      <c r="N66" s="67">
        <f>Tabela!D39</f>
        <v>0</v>
      </c>
      <c r="O66" s="67" t="str">
        <f>Tabela!E39</f>
        <v>Suíça</v>
      </c>
    </row>
  </sheetData>
  <mergeCells count="71">
    <mergeCell ref="A58:E58"/>
    <mergeCell ref="K58:O58"/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2:E2"/>
    <mergeCell ref="A1:E1"/>
    <mergeCell ref="A8:E8"/>
    <mergeCell ref="A15:E15"/>
    <mergeCell ref="A22:E22"/>
    <mergeCell ref="A29:E29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27:R27"/>
    <mergeCell ref="S27:T27"/>
    <mergeCell ref="U27:V27"/>
    <mergeCell ref="Q28:R28"/>
    <mergeCell ref="S28:T28"/>
    <mergeCell ref="U28:V2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53289E-FFA8-4469-A8A7-CA3E93CFF68C}">
  <sheetPr codeName="Planilha18">
    <tabColor rgb="FF0070C0"/>
    <pageSetUpPr autoPageBreaks="0"/>
  </sheetPr>
  <dimension ref="A1:AE66"/>
  <sheetViews>
    <sheetView zoomScale="85" zoomScaleNormal="85" workbookViewId="0">
      <pane xSplit="15" ySplit="16" topLeftCell="P18" activePane="bottomRight" state="frozen"/>
      <selection pane="topRight" activeCell="P1" sqref="P1"/>
      <selection pane="bottomLeft" activeCell="A17" sqref="A17"/>
      <selection pane="bottomRight" activeCell="Q25" sqref="Q25:U25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5" width="5.7109375" style="17" customWidth="1"/>
    <col min="36" max="16384" width="9.140625" style="17"/>
  </cols>
  <sheetData>
    <row r="1" spans="1:31" x14ac:dyDescent="0.25">
      <c r="A1" s="127" t="s">
        <v>58</v>
      </c>
      <c r="B1" s="127"/>
      <c r="C1" s="127"/>
      <c r="D1" s="127"/>
      <c r="E1" s="127"/>
      <c r="K1" s="128" t="s">
        <v>58</v>
      </c>
      <c r="L1" s="128"/>
      <c r="M1" s="128"/>
      <c r="N1" s="128"/>
      <c r="O1" s="128"/>
    </row>
    <row r="2" spans="1:31" x14ac:dyDescent="0.25">
      <c r="A2" s="133" t="s">
        <v>43</v>
      </c>
      <c r="B2" s="133"/>
      <c r="C2" s="133"/>
      <c r="D2" s="133"/>
      <c r="E2" s="133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31" t="s">
        <v>83</v>
      </c>
      <c r="X2" s="131"/>
      <c r="Y2" s="131"/>
      <c r="Z2" s="131"/>
      <c r="AA2" s="131"/>
      <c r="AB2" s="131"/>
      <c r="AC2" s="131"/>
      <c r="AD2" s="131"/>
      <c r="AE2" s="131"/>
    </row>
    <row r="3" spans="1:31" x14ac:dyDescent="0.25">
      <c r="A3" s="18" t="s">
        <v>28</v>
      </c>
      <c r="B3" s="16">
        <v>1</v>
      </c>
      <c r="C3" s="16" t="s">
        <v>53</v>
      </c>
      <c r="D3" s="16">
        <v>2</v>
      </c>
      <c r="E3" s="19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31"/>
      <c r="X3" s="131"/>
      <c r="Y3" s="131"/>
      <c r="Z3" s="131"/>
      <c r="AA3" s="131"/>
      <c r="AB3" s="131"/>
      <c r="AC3" s="131"/>
      <c r="AD3" s="131"/>
      <c r="AE3" s="131"/>
    </row>
    <row r="4" spans="1:31" x14ac:dyDescent="0.25">
      <c r="A4" s="18" t="s">
        <v>11</v>
      </c>
      <c r="B4" s="16">
        <v>1</v>
      </c>
      <c r="C4" s="16" t="s">
        <v>53</v>
      </c>
      <c r="D4" s="16">
        <v>0</v>
      </c>
      <c r="E4" s="19" t="s">
        <v>28</v>
      </c>
      <c r="H4" s="16">
        <v>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31"/>
      <c r="X4" s="131"/>
      <c r="Y4" s="131"/>
      <c r="Z4" s="131"/>
      <c r="AA4" s="131"/>
      <c r="AB4" s="131"/>
      <c r="AC4" s="131"/>
      <c r="AD4" s="131"/>
      <c r="AE4" s="131"/>
    </row>
    <row r="5" spans="1:31" x14ac:dyDescent="0.25">
      <c r="A5" s="18" t="s">
        <v>19</v>
      </c>
      <c r="B5" s="16">
        <v>1</v>
      </c>
      <c r="C5" s="16" t="s">
        <v>53</v>
      </c>
      <c r="D5" s="16">
        <v>0</v>
      </c>
      <c r="E5" s="19" t="s">
        <v>14</v>
      </c>
      <c r="H5" s="16">
        <v>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31"/>
      <c r="X5" s="131"/>
      <c r="Y5" s="131"/>
      <c r="Z5" s="131"/>
      <c r="AA5" s="131"/>
      <c r="AB5" s="131"/>
      <c r="AC5" s="131"/>
      <c r="AD5" s="131"/>
      <c r="AE5" s="131"/>
    </row>
    <row r="6" spans="1:31" x14ac:dyDescent="0.25">
      <c r="A6" s="18" t="s">
        <v>19</v>
      </c>
      <c r="B6" s="16">
        <v>1</v>
      </c>
      <c r="C6" s="16" t="s">
        <v>53</v>
      </c>
      <c r="D6" s="16">
        <v>0</v>
      </c>
      <c r="E6" s="19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31"/>
      <c r="X6" s="131"/>
      <c r="Y6" s="131"/>
      <c r="Z6" s="131"/>
      <c r="AA6" s="131"/>
      <c r="AB6" s="131"/>
      <c r="AC6" s="131"/>
      <c r="AD6" s="131"/>
      <c r="AE6" s="131"/>
    </row>
    <row r="7" spans="1:31" x14ac:dyDescent="0.25">
      <c r="A7" s="18" t="s">
        <v>14</v>
      </c>
      <c r="B7" s="16">
        <v>1</v>
      </c>
      <c r="C7" s="16" t="s">
        <v>53</v>
      </c>
      <c r="D7" s="16">
        <v>0</v>
      </c>
      <c r="E7" s="19" t="s">
        <v>28</v>
      </c>
      <c r="H7" s="16">
        <v>5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27" t="s">
        <v>65</v>
      </c>
      <c r="B8" s="127"/>
      <c r="C8" s="127"/>
      <c r="D8" s="127"/>
      <c r="E8" s="127"/>
      <c r="J8" s="17" t="str">
        <f>IF(Tabela!F9="","",Tabela!F9)</f>
        <v/>
      </c>
      <c r="K8" s="128" t="s">
        <v>65</v>
      </c>
      <c r="L8" s="128"/>
      <c r="M8" s="128"/>
      <c r="N8" s="128"/>
      <c r="O8" s="128"/>
    </row>
    <row r="9" spans="1:31" x14ac:dyDescent="0.25">
      <c r="A9" s="18" t="s">
        <v>20</v>
      </c>
      <c r="B9" s="16">
        <v>1</v>
      </c>
      <c r="C9" s="16" t="s">
        <v>53</v>
      </c>
      <c r="D9" s="16">
        <v>0</v>
      </c>
      <c r="E9" s="19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29" t="s">
        <v>66</v>
      </c>
      <c r="R9" s="129"/>
      <c r="S9" s="129"/>
      <c r="T9" s="129"/>
      <c r="U9" s="129"/>
      <c r="W9" s="68" t="s">
        <v>124</v>
      </c>
      <c r="X9" s="68"/>
      <c r="Y9" s="68"/>
      <c r="Z9" s="68"/>
      <c r="AA9" s="68"/>
      <c r="AB9" s="68"/>
      <c r="AC9" s="68"/>
      <c r="AD9" s="68"/>
      <c r="AE9" s="68"/>
    </row>
    <row r="10" spans="1:31" x14ac:dyDescent="0.25">
      <c r="A10" s="18" t="s">
        <v>54</v>
      </c>
      <c r="B10" s="16">
        <v>1</v>
      </c>
      <c r="C10" s="16" t="s">
        <v>53</v>
      </c>
      <c r="D10" s="16">
        <v>0</v>
      </c>
      <c r="E10" s="19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29"/>
      <c r="R10" s="129"/>
      <c r="S10" s="129"/>
      <c r="T10" s="129"/>
      <c r="U10" s="129"/>
      <c r="W10" s="68" t="s">
        <v>31</v>
      </c>
      <c r="X10" s="68"/>
      <c r="Y10" s="68"/>
      <c r="Z10" s="54">
        <v>1</v>
      </c>
      <c r="AB10" s="54">
        <v>0</v>
      </c>
      <c r="AC10" s="68" t="s">
        <v>17</v>
      </c>
      <c r="AD10" s="68"/>
      <c r="AE10" s="68"/>
    </row>
    <row r="11" spans="1:31" x14ac:dyDescent="0.25">
      <c r="A11" s="18" t="s">
        <v>34</v>
      </c>
      <c r="B11" s="16">
        <v>1</v>
      </c>
      <c r="C11" s="16" t="s">
        <v>53</v>
      </c>
      <c r="D11" s="16">
        <v>0</v>
      </c>
      <c r="E11" s="19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30">
        <f>SUM(H2:H66)</f>
        <v>415</v>
      </c>
      <c r="R11" s="130"/>
      <c r="S11" s="130"/>
      <c r="T11" s="130"/>
      <c r="U11" s="130"/>
      <c r="W11" s="68" t="s">
        <v>6</v>
      </c>
      <c r="X11" s="68"/>
      <c r="Y11" s="68"/>
      <c r="Z11" s="54">
        <v>1</v>
      </c>
      <c r="AB11" s="54">
        <v>0</v>
      </c>
      <c r="AC11" s="68" t="s">
        <v>13</v>
      </c>
      <c r="AD11" s="68"/>
      <c r="AE11" s="68"/>
    </row>
    <row r="12" spans="1:31" x14ac:dyDescent="0.25">
      <c r="A12" s="18" t="s">
        <v>20</v>
      </c>
      <c r="B12" s="16">
        <v>1</v>
      </c>
      <c r="C12" s="16" t="s">
        <v>53</v>
      </c>
      <c r="D12" s="16">
        <v>0</v>
      </c>
      <c r="E12" s="19" t="s">
        <v>54</v>
      </c>
      <c r="H12" s="16">
        <v>5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30"/>
      <c r="R12" s="130"/>
      <c r="S12" s="130"/>
      <c r="T12" s="130"/>
      <c r="U12" s="130"/>
      <c r="W12" s="68" t="s">
        <v>7</v>
      </c>
      <c r="X12" s="68"/>
      <c r="Y12" s="68"/>
      <c r="Z12" s="54">
        <v>1</v>
      </c>
      <c r="AB12" s="54">
        <v>0</v>
      </c>
      <c r="AC12" s="68" t="s">
        <v>10</v>
      </c>
      <c r="AD12" s="68"/>
      <c r="AE12" s="68"/>
    </row>
    <row r="13" spans="1:31" x14ac:dyDescent="0.25">
      <c r="A13" s="18" t="s">
        <v>21</v>
      </c>
      <c r="B13" s="16">
        <v>1</v>
      </c>
      <c r="C13" s="16" t="s">
        <v>53</v>
      </c>
      <c r="D13" s="16">
        <v>0</v>
      </c>
      <c r="E13" s="19" t="s">
        <v>54</v>
      </c>
      <c r="H13" s="16">
        <v>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30"/>
      <c r="R13" s="130"/>
      <c r="S13" s="130"/>
      <c r="T13" s="130"/>
      <c r="U13" s="130"/>
      <c r="W13" s="68" t="s">
        <v>30</v>
      </c>
      <c r="X13" s="68"/>
      <c r="Y13" s="68"/>
      <c r="Z13" s="54">
        <v>1</v>
      </c>
      <c r="AB13" s="54">
        <v>0</v>
      </c>
      <c r="AC13" s="68" t="s">
        <v>9</v>
      </c>
      <c r="AD13" s="68"/>
      <c r="AE13" s="68"/>
    </row>
    <row r="14" spans="1:31" x14ac:dyDescent="0.25">
      <c r="A14" s="18" t="s">
        <v>34</v>
      </c>
      <c r="B14" s="16">
        <v>1</v>
      </c>
      <c r="C14" s="16" t="s">
        <v>53</v>
      </c>
      <c r="D14" s="16">
        <v>0</v>
      </c>
      <c r="E14" s="19" t="s">
        <v>20</v>
      </c>
      <c r="H14" s="16">
        <v>0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30"/>
      <c r="R14" s="130"/>
      <c r="S14" s="130"/>
      <c r="T14" s="130"/>
      <c r="U14" s="130"/>
      <c r="W14" s="68" t="s">
        <v>8</v>
      </c>
      <c r="X14" s="68"/>
      <c r="Y14" s="68"/>
      <c r="Z14" s="54">
        <v>1</v>
      </c>
      <c r="AB14" s="54">
        <v>0</v>
      </c>
      <c r="AC14" s="68" t="s">
        <v>30</v>
      </c>
      <c r="AD14" s="68"/>
      <c r="AE14" s="68"/>
    </row>
    <row r="15" spans="1:31" x14ac:dyDescent="0.25">
      <c r="A15" s="127" t="s">
        <v>64</v>
      </c>
      <c r="B15" s="127"/>
      <c r="C15" s="127"/>
      <c r="D15" s="127"/>
      <c r="E15" s="127"/>
      <c r="J15" s="17" t="str">
        <f>IF(Tabela!F16="","",Tabela!F16)</f>
        <v/>
      </c>
      <c r="K15" s="128" t="s">
        <v>64</v>
      </c>
      <c r="L15" s="128"/>
      <c r="M15" s="128"/>
      <c r="N15" s="128"/>
      <c r="O15" s="128"/>
      <c r="Q15" s="130"/>
      <c r="R15" s="130"/>
      <c r="S15" s="130"/>
      <c r="T15" s="130"/>
      <c r="U15" s="130"/>
      <c r="W15" s="68" t="s">
        <v>9</v>
      </c>
      <c r="X15" s="68"/>
      <c r="Y15" s="68"/>
      <c r="Z15" s="54">
        <v>1</v>
      </c>
      <c r="AB15" s="54">
        <v>0</v>
      </c>
      <c r="AC15" s="68" t="s">
        <v>8</v>
      </c>
      <c r="AD15" s="68"/>
      <c r="AE15" s="68"/>
    </row>
    <row r="16" spans="1:31" x14ac:dyDescent="0.25">
      <c r="A16" s="18" t="s">
        <v>5</v>
      </c>
      <c r="B16" s="16">
        <v>1</v>
      </c>
      <c r="C16" s="16" t="s">
        <v>53</v>
      </c>
      <c r="D16" s="16">
        <v>0</v>
      </c>
      <c r="E16" s="19" t="s">
        <v>55</v>
      </c>
      <c r="H16" s="16">
        <v>5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68"/>
      <c r="X16" s="68"/>
      <c r="Y16" s="68"/>
      <c r="AC16" s="68"/>
      <c r="AD16" s="68"/>
      <c r="AE16" s="68"/>
    </row>
    <row r="17" spans="1:31" x14ac:dyDescent="0.25">
      <c r="A17" s="18" t="s">
        <v>24</v>
      </c>
      <c r="B17" s="16">
        <v>1</v>
      </c>
      <c r="C17" s="16" t="s">
        <v>53</v>
      </c>
      <c r="D17" s="16">
        <v>0</v>
      </c>
      <c r="E17" s="19" t="s">
        <v>26</v>
      </c>
      <c r="H17" s="16">
        <v>5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68"/>
      <c r="X17" s="68"/>
      <c r="Y17" s="68"/>
      <c r="AC17" s="68"/>
      <c r="AD17" s="68"/>
      <c r="AE17" s="68"/>
    </row>
    <row r="18" spans="1:31" x14ac:dyDescent="0.25">
      <c r="A18" s="18" t="s">
        <v>26</v>
      </c>
      <c r="B18" s="16">
        <v>1</v>
      </c>
      <c r="C18" s="16" t="s">
        <v>53</v>
      </c>
      <c r="D18" s="16">
        <v>0</v>
      </c>
      <c r="E18" s="19" t="s">
        <v>55</v>
      </c>
      <c r="H18" s="16">
        <v>15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W18" s="68"/>
      <c r="X18" s="68"/>
      <c r="Y18" s="68"/>
      <c r="AC18" s="68"/>
      <c r="AD18" s="68"/>
      <c r="AE18" s="68"/>
    </row>
    <row r="19" spans="1:31" x14ac:dyDescent="0.25">
      <c r="A19" s="18" t="s">
        <v>5</v>
      </c>
      <c r="B19" s="16">
        <v>1</v>
      </c>
      <c r="C19" s="16" t="s">
        <v>53</v>
      </c>
      <c r="D19" s="16">
        <v>0</v>
      </c>
      <c r="E19" s="19" t="s">
        <v>24</v>
      </c>
      <c r="H19" s="16">
        <v>15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W19" s="68"/>
      <c r="X19" s="68"/>
      <c r="Y19" s="68"/>
      <c r="AC19" s="68"/>
      <c r="AD19" s="68"/>
      <c r="AE19" s="68"/>
    </row>
    <row r="20" spans="1:31" x14ac:dyDescent="0.25">
      <c r="A20" s="18" t="s">
        <v>26</v>
      </c>
      <c r="B20" s="16">
        <v>1</v>
      </c>
      <c r="C20" s="16" t="s">
        <v>53</v>
      </c>
      <c r="D20" s="16">
        <v>0</v>
      </c>
      <c r="E20" s="19" t="s">
        <v>5</v>
      </c>
      <c r="H20" s="16">
        <v>0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68"/>
      <c r="X20" s="68"/>
      <c r="Y20" s="68"/>
      <c r="AC20" s="68"/>
      <c r="AD20" s="68"/>
      <c r="AE20" s="68"/>
    </row>
    <row r="21" spans="1:31" x14ac:dyDescent="0.25">
      <c r="A21" s="18" t="s">
        <v>55</v>
      </c>
      <c r="B21" s="16">
        <v>1</v>
      </c>
      <c r="C21" s="16" t="s">
        <v>53</v>
      </c>
      <c r="D21" s="16">
        <v>0</v>
      </c>
      <c r="E21" s="19" t="s">
        <v>24</v>
      </c>
      <c r="H21" s="16">
        <v>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W21" s="68"/>
      <c r="X21" s="68"/>
      <c r="Y21" s="68"/>
      <c r="AC21" s="68"/>
      <c r="AD21" s="68"/>
      <c r="AE21" s="68"/>
    </row>
    <row r="22" spans="1:31" x14ac:dyDescent="0.25">
      <c r="A22" s="127" t="s">
        <v>63</v>
      </c>
      <c r="B22" s="127"/>
      <c r="C22" s="127"/>
      <c r="D22" s="127"/>
      <c r="E22" s="127"/>
      <c r="J22" s="17" t="str">
        <f>IF(Tabela!F23="","",Tabela!F23)</f>
        <v/>
      </c>
      <c r="K22" s="128" t="s">
        <v>63</v>
      </c>
      <c r="L22" s="128"/>
      <c r="M22" s="128"/>
      <c r="N22" s="128"/>
      <c r="O22" s="128"/>
      <c r="W22" s="68"/>
      <c r="X22" s="68"/>
      <c r="Y22" s="68"/>
      <c r="AC22" s="68"/>
      <c r="AD22" s="68"/>
      <c r="AE22" s="68"/>
    </row>
    <row r="23" spans="1:31" x14ac:dyDescent="0.25">
      <c r="A23" s="18" t="s">
        <v>13</v>
      </c>
      <c r="B23" s="16">
        <v>1</v>
      </c>
      <c r="C23" s="16" t="s">
        <v>53</v>
      </c>
      <c r="D23" s="16">
        <v>0</v>
      </c>
      <c r="E23" s="19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68"/>
      <c r="X23" s="68"/>
      <c r="Y23" s="68"/>
      <c r="AC23" s="68"/>
      <c r="AD23" s="68"/>
      <c r="AE23" s="68"/>
    </row>
    <row r="24" spans="1:31" x14ac:dyDescent="0.25">
      <c r="A24" s="18" t="s">
        <v>17</v>
      </c>
      <c r="B24" s="16">
        <v>1</v>
      </c>
      <c r="C24" s="16" t="s">
        <v>53</v>
      </c>
      <c r="D24" s="16">
        <v>0</v>
      </c>
      <c r="E24" s="19" t="s">
        <v>6</v>
      </c>
      <c r="H24" s="16">
        <v>10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Q24" s="17">
        <v>25</v>
      </c>
      <c r="R24" s="17">
        <v>15</v>
      </c>
      <c r="S24" s="17">
        <v>10</v>
      </c>
      <c r="T24" s="17">
        <v>5</v>
      </c>
      <c r="U24" s="17">
        <v>0</v>
      </c>
      <c r="W24" s="68"/>
      <c r="X24" s="68"/>
      <c r="Y24" s="68"/>
      <c r="AC24" s="68"/>
      <c r="AD24" s="68"/>
      <c r="AE24" s="68"/>
    </row>
    <row r="25" spans="1:31" x14ac:dyDescent="0.25">
      <c r="A25" s="18" t="s">
        <v>31</v>
      </c>
      <c r="B25" s="16">
        <v>1</v>
      </c>
      <c r="C25" s="16" t="s">
        <v>53</v>
      </c>
      <c r="D25" s="16">
        <v>0</v>
      </c>
      <c r="E25" s="19" t="s">
        <v>6</v>
      </c>
      <c r="H25" s="16">
        <v>0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Q25" s="22">
        <v>6</v>
      </c>
      <c r="R25" s="22">
        <v>8</v>
      </c>
      <c r="S25" s="22">
        <v>7</v>
      </c>
      <c r="T25" s="22">
        <v>15</v>
      </c>
      <c r="U25" s="22">
        <v>12</v>
      </c>
      <c r="W25" s="68"/>
      <c r="X25" s="68"/>
      <c r="Y25" s="68"/>
      <c r="AC25" s="68"/>
      <c r="AD25" s="68"/>
      <c r="AE25" s="68"/>
    </row>
    <row r="26" spans="1:31" x14ac:dyDescent="0.25">
      <c r="A26" s="18" t="s">
        <v>17</v>
      </c>
      <c r="B26" s="16">
        <v>1</v>
      </c>
      <c r="C26" s="16" t="s">
        <v>53</v>
      </c>
      <c r="D26" s="16">
        <v>0</v>
      </c>
      <c r="E26" s="19" t="s">
        <v>13</v>
      </c>
      <c r="H26" s="16">
        <v>10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68"/>
      <c r="X26" s="68"/>
      <c r="Y26" s="68"/>
      <c r="AC26" s="68"/>
      <c r="AD26" s="68"/>
      <c r="AE26" s="68"/>
    </row>
    <row r="27" spans="1:31" x14ac:dyDescent="0.25">
      <c r="A27" s="18" t="s">
        <v>31</v>
      </c>
      <c r="B27" s="16">
        <v>1</v>
      </c>
      <c r="C27" s="16" t="s">
        <v>53</v>
      </c>
      <c r="D27" s="16">
        <v>0</v>
      </c>
      <c r="E27" s="19" t="s">
        <v>17</v>
      </c>
      <c r="H27" s="16">
        <v>25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Q27" s="124" t="s">
        <v>42</v>
      </c>
      <c r="R27" s="124"/>
      <c r="S27" s="125" t="s">
        <v>8</v>
      </c>
      <c r="T27" s="125"/>
      <c r="U27" s="125" t="s">
        <v>19</v>
      </c>
      <c r="V27" s="125"/>
      <c r="W27" s="68"/>
      <c r="X27" s="68"/>
      <c r="Y27" s="68"/>
      <c r="AC27" s="68"/>
      <c r="AD27" s="68"/>
      <c r="AE27" s="68"/>
    </row>
    <row r="28" spans="1:31" x14ac:dyDescent="0.25">
      <c r="A28" s="18" t="s">
        <v>6</v>
      </c>
      <c r="B28" s="16">
        <v>1</v>
      </c>
      <c r="C28" s="16" t="s">
        <v>53</v>
      </c>
      <c r="D28" s="16">
        <v>0</v>
      </c>
      <c r="E28" s="19" t="s">
        <v>13</v>
      </c>
      <c r="H28" s="16">
        <v>25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Q28" s="124" t="s">
        <v>41</v>
      </c>
      <c r="R28" s="124"/>
      <c r="S28" s="126" t="s">
        <v>133</v>
      </c>
      <c r="T28" s="126"/>
      <c r="U28" s="126" t="s">
        <v>130</v>
      </c>
      <c r="V28" s="126"/>
      <c r="W28" s="68"/>
      <c r="X28" s="68"/>
      <c r="Y28" s="68"/>
      <c r="AC28" s="68"/>
      <c r="AD28" s="68"/>
      <c r="AE28" s="68"/>
    </row>
    <row r="29" spans="1:31" x14ac:dyDescent="0.25">
      <c r="A29" s="127" t="s">
        <v>62</v>
      </c>
      <c r="B29" s="127"/>
      <c r="C29" s="127"/>
      <c r="D29" s="127"/>
      <c r="E29" s="127"/>
      <c r="K29" s="128" t="s">
        <v>62</v>
      </c>
      <c r="L29" s="128"/>
      <c r="M29" s="128"/>
      <c r="N29" s="128"/>
      <c r="O29" s="128"/>
      <c r="W29" s="68"/>
      <c r="X29" s="68"/>
      <c r="Y29" s="68"/>
      <c r="AC29" s="68"/>
      <c r="AD29" s="68"/>
      <c r="AE29" s="68"/>
    </row>
    <row r="30" spans="1:31" x14ac:dyDescent="0.25">
      <c r="A30" s="18" t="s">
        <v>4</v>
      </c>
      <c r="B30" s="16">
        <v>1</v>
      </c>
      <c r="C30" s="16" t="s">
        <v>53</v>
      </c>
      <c r="D30" s="16">
        <v>0</v>
      </c>
      <c r="E30" s="19" t="s">
        <v>22</v>
      </c>
      <c r="H30" s="16">
        <v>5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68"/>
      <c r="X30" s="68"/>
      <c r="Y30" s="68"/>
      <c r="AC30" s="68"/>
      <c r="AD30" s="68"/>
      <c r="AE30" s="68"/>
    </row>
    <row r="31" spans="1:31" x14ac:dyDescent="0.25">
      <c r="A31" s="18" t="s">
        <v>15</v>
      </c>
      <c r="B31" s="16">
        <v>1</v>
      </c>
      <c r="C31" s="16" t="s">
        <v>53</v>
      </c>
      <c r="D31" s="16">
        <v>0</v>
      </c>
      <c r="E31" s="19" t="s">
        <v>56</v>
      </c>
      <c r="H31" s="16">
        <v>15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1</v>
      </c>
      <c r="C32" s="16" t="s">
        <v>53</v>
      </c>
      <c r="D32" s="16">
        <v>0</v>
      </c>
      <c r="E32" s="19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1</v>
      </c>
      <c r="C33" s="16" t="s">
        <v>53</v>
      </c>
      <c r="D33" s="16">
        <v>0</v>
      </c>
      <c r="E33" s="19" t="s">
        <v>4</v>
      </c>
      <c r="H33" s="16">
        <v>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1</v>
      </c>
      <c r="C34" s="16" t="s">
        <v>53</v>
      </c>
      <c r="D34" s="16">
        <v>0</v>
      </c>
      <c r="E34" s="19" t="s">
        <v>15</v>
      </c>
      <c r="H34" s="16">
        <v>10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1</v>
      </c>
      <c r="C35" s="16" t="s">
        <v>53</v>
      </c>
      <c r="D35" s="16">
        <v>0</v>
      </c>
      <c r="E35" s="19" t="s">
        <v>4</v>
      </c>
      <c r="H35" s="16">
        <v>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27" t="s">
        <v>61</v>
      </c>
      <c r="B36" s="127"/>
      <c r="C36" s="127"/>
      <c r="D36" s="127"/>
      <c r="E36" s="127"/>
      <c r="J36" s="17" t="str">
        <f>IF(Tabela!L9="","",Tabela!L9)</f>
        <v/>
      </c>
      <c r="K36" s="128" t="s">
        <v>61</v>
      </c>
      <c r="L36" s="128"/>
      <c r="M36" s="128"/>
      <c r="N36" s="128"/>
      <c r="O36" s="128"/>
    </row>
    <row r="37" spans="1:15" x14ac:dyDescent="0.25">
      <c r="A37" s="18" t="s">
        <v>23</v>
      </c>
      <c r="B37" s="16">
        <v>1</v>
      </c>
      <c r="C37" s="16" t="s">
        <v>53</v>
      </c>
      <c r="D37" s="16">
        <v>0</v>
      </c>
      <c r="E37" s="19" t="s">
        <v>12</v>
      </c>
      <c r="H37" s="16">
        <v>5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1</v>
      </c>
      <c r="C38" s="16" t="s">
        <v>53</v>
      </c>
      <c r="D38" s="16">
        <v>0</v>
      </c>
      <c r="E38" s="19" t="s">
        <v>10</v>
      </c>
      <c r="H38" s="16">
        <v>25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1</v>
      </c>
      <c r="C39" s="16" t="s">
        <v>53</v>
      </c>
      <c r="D39" s="16">
        <v>0</v>
      </c>
      <c r="E39" s="19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1</v>
      </c>
      <c r="C40" s="16" t="s">
        <v>53</v>
      </c>
      <c r="D40" s="16">
        <v>0</v>
      </c>
      <c r="E40" s="19" t="s">
        <v>10</v>
      </c>
      <c r="H40" s="16">
        <v>10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1</v>
      </c>
      <c r="C41" s="16" t="s">
        <v>53</v>
      </c>
      <c r="D41" s="16">
        <v>0</v>
      </c>
      <c r="E41" s="19" t="s">
        <v>7</v>
      </c>
      <c r="H41" s="16">
        <v>5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0</v>
      </c>
      <c r="E42" s="19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27" t="s">
        <v>60</v>
      </c>
      <c r="B43" s="127"/>
      <c r="C43" s="127"/>
      <c r="D43" s="127"/>
      <c r="E43" s="127"/>
      <c r="J43" s="17" t="str">
        <f>IF(Tabela!L16="","",Tabela!L16)</f>
        <v/>
      </c>
      <c r="K43" s="128" t="s">
        <v>60</v>
      </c>
      <c r="L43" s="128"/>
      <c r="M43" s="128"/>
      <c r="N43" s="128"/>
      <c r="O43" s="128"/>
    </row>
    <row r="44" spans="1:15" x14ac:dyDescent="0.25">
      <c r="A44" s="18" t="s">
        <v>30</v>
      </c>
      <c r="B44" s="16">
        <v>1</v>
      </c>
      <c r="C44" s="16" t="s">
        <v>53</v>
      </c>
      <c r="D44" s="16">
        <v>0</v>
      </c>
      <c r="E44" s="19" t="s">
        <v>9</v>
      </c>
      <c r="H44" s="16">
        <v>25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1</v>
      </c>
      <c r="C45" s="16" t="s">
        <v>53</v>
      </c>
      <c r="D45" s="16">
        <v>0</v>
      </c>
      <c r="E45" s="19" t="s">
        <v>29</v>
      </c>
      <c r="H45" s="16">
        <v>15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0</v>
      </c>
      <c r="E46" s="19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1</v>
      </c>
      <c r="C47" s="16" t="s">
        <v>53</v>
      </c>
      <c r="D47" s="16">
        <v>0</v>
      </c>
      <c r="E47" s="19" t="s">
        <v>30</v>
      </c>
      <c r="H47" s="16">
        <v>25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1</v>
      </c>
      <c r="C48" s="16" t="s">
        <v>53</v>
      </c>
      <c r="D48" s="16">
        <v>0</v>
      </c>
      <c r="E48" s="19" t="s">
        <v>8</v>
      </c>
      <c r="H48" s="16">
        <v>25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0</v>
      </c>
      <c r="E49" s="19" t="s">
        <v>30</v>
      </c>
      <c r="H49" s="16">
        <v>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27" t="s">
        <v>59</v>
      </c>
      <c r="B50" s="127"/>
      <c r="C50" s="127"/>
      <c r="D50" s="127"/>
      <c r="E50" s="127"/>
      <c r="J50" s="17" t="str">
        <f>IF(Tabela!L23="","",Tabela!L23)</f>
        <v/>
      </c>
      <c r="K50" s="128" t="s">
        <v>59</v>
      </c>
      <c r="L50" s="128"/>
      <c r="M50" s="128"/>
      <c r="N50" s="128"/>
      <c r="O50" s="128"/>
    </row>
    <row r="51" spans="1:15" x14ac:dyDescent="0.25">
      <c r="A51" s="18" t="s">
        <v>32</v>
      </c>
      <c r="B51" s="16">
        <v>1</v>
      </c>
      <c r="C51" s="16" t="s">
        <v>53</v>
      </c>
      <c r="D51" s="16">
        <v>0</v>
      </c>
      <c r="E51" s="19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1</v>
      </c>
      <c r="C52" s="16" t="s">
        <v>53</v>
      </c>
      <c r="D52" s="16">
        <v>0</v>
      </c>
      <c r="E52" s="19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1</v>
      </c>
      <c r="C53" s="16" t="s">
        <v>53</v>
      </c>
      <c r="D53" s="16">
        <v>0</v>
      </c>
      <c r="E53" s="19" t="s">
        <v>18</v>
      </c>
      <c r="H53" s="16">
        <v>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1</v>
      </c>
      <c r="C54" s="16" t="s">
        <v>53</v>
      </c>
      <c r="D54" s="16">
        <v>0</v>
      </c>
      <c r="E54" s="19" t="s">
        <v>32</v>
      </c>
      <c r="H54" s="16">
        <v>15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0</v>
      </c>
      <c r="E55" s="19" t="s">
        <v>27</v>
      </c>
      <c r="H55" s="16">
        <v>10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0</v>
      </c>
      <c r="E56" s="19" t="s">
        <v>32</v>
      </c>
      <c r="H56" s="16">
        <v>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145" t="s">
        <v>173</v>
      </c>
    </row>
    <row r="58" spans="1:15" x14ac:dyDescent="0.25">
      <c r="A58" s="134" t="str">
        <f>_xlfn.CONCAT(W2,A57)</f>
        <v>Joseir_2 - Oitavas de Final</v>
      </c>
      <c r="B58" s="134"/>
      <c r="C58" s="134"/>
      <c r="D58" s="134"/>
      <c r="E58" s="134"/>
      <c r="K58" s="137" t="s">
        <v>171</v>
      </c>
      <c r="L58" s="137"/>
      <c r="M58" s="137"/>
      <c r="N58" s="137"/>
      <c r="O58" s="137"/>
    </row>
    <row r="59" spans="1:15" x14ac:dyDescent="0.25">
      <c r="A59" s="66" t="s">
        <v>19</v>
      </c>
      <c r="B59" s="2">
        <v>2</v>
      </c>
      <c r="C59" s="2" t="s">
        <v>53</v>
      </c>
      <c r="D59" s="2">
        <v>1</v>
      </c>
      <c r="E59" s="65" t="s">
        <v>166</v>
      </c>
      <c r="H59" s="16">
        <v>15</v>
      </c>
      <c r="J59" s="17" t="str">
        <f>IF(Tabela!F32="","",Tabela!F32)</f>
        <v/>
      </c>
      <c r="K59" s="67" t="str">
        <f>Tabela!A32</f>
        <v>Holanda</v>
      </c>
      <c r="L59" s="67">
        <f>Tabela!B32</f>
        <v>3</v>
      </c>
      <c r="M59" s="67" t="str">
        <f>Tabela!C32</f>
        <v>X</v>
      </c>
      <c r="N59" s="67">
        <f>Tabela!D32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1</v>
      </c>
      <c r="C60" s="2" t="s">
        <v>53</v>
      </c>
      <c r="D60" s="2">
        <v>0</v>
      </c>
      <c r="E60" s="65" t="s">
        <v>6</v>
      </c>
      <c r="J60" s="17" t="str">
        <f>IF(Tabela!F33="","",Tabela!F33)</f>
        <v>N</v>
      </c>
      <c r="K60" s="67" t="str">
        <f>Tabela!A33</f>
        <v>Argentina</v>
      </c>
      <c r="L60" s="67">
        <f>Tabela!B33</f>
        <v>0</v>
      </c>
      <c r="M60" s="67" t="str">
        <f>Tabela!C33</f>
        <v>X</v>
      </c>
      <c r="N60" s="67">
        <f>Tabela!D33</f>
        <v>0</v>
      </c>
      <c r="O60" s="67" t="str">
        <f>Tabela!E33</f>
        <v>Austrália</v>
      </c>
    </row>
    <row r="61" spans="1:15" x14ac:dyDescent="0.25">
      <c r="A61" s="66" t="s">
        <v>22</v>
      </c>
      <c r="B61" s="2">
        <v>2</v>
      </c>
      <c r="C61" s="2" t="s">
        <v>53</v>
      </c>
      <c r="D61" s="2">
        <v>1</v>
      </c>
      <c r="E61" s="65" t="s">
        <v>12</v>
      </c>
      <c r="J61" s="17" t="str">
        <f>IF(Tabela!F34="","",Tabela!F34)</f>
        <v>N</v>
      </c>
      <c r="K61" s="67" t="str">
        <f>Tabela!A34</f>
        <v>Japão</v>
      </c>
      <c r="L61" s="67">
        <f>Tabela!B34</f>
        <v>0</v>
      </c>
      <c r="M61" s="67" t="str">
        <f>Tabela!C34</f>
        <v>X</v>
      </c>
      <c r="N61" s="67">
        <f>Tabela!D34</f>
        <v>0</v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0</v>
      </c>
      <c r="E62" s="65" t="s">
        <v>167</v>
      </c>
      <c r="J62" s="17" t="str">
        <f>IF(Tabela!F35="","",Tabela!F35)</f>
        <v>N</v>
      </c>
      <c r="K62" s="67" t="str">
        <f>Tabela!A35</f>
        <v>Brasil</v>
      </c>
      <c r="L62" s="67">
        <f>Tabela!B35</f>
        <v>0</v>
      </c>
      <c r="M62" s="67" t="str">
        <f>Tabela!C35</f>
        <v>X</v>
      </c>
      <c r="N62" s="67">
        <f>Tabela!D35</f>
        <v>0</v>
      </c>
      <c r="O62" s="67" t="str">
        <f>Tabela!E35</f>
        <v>Coréia</v>
      </c>
    </row>
    <row r="63" spans="1:15" x14ac:dyDescent="0.25">
      <c r="A63" s="66" t="s">
        <v>20</v>
      </c>
      <c r="B63" s="2">
        <v>1</v>
      </c>
      <c r="C63" s="2" t="s">
        <v>53</v>
      </c>
      <c r="D63" s="2">
        <v>0</v>
      </c>
      <c r="E63" s="65" t="s">
        <v>28</v>
      </c>
      <c r="J63" s="17" t="str">
        <f>IF(Tabela!F36="","",Tabela!F36)</f>
        <v>N</v>
      </c>
      <c r="K63" s="67" t="str">
        <f>Tabela!A36</f>
        <v>Inglaterra</v>
      </c>
      <c r="L63" s="67">
        <f>Tabela!B36</f>
        <v>0</v>
      </c>
      <c r="M63" s="67" t="str">
        <f>Tabela!C36</f>
        <v>X</v>
      </c>
      <c r="N63" s="67">
        <f>Tabela!D36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2</v>
      </c>
      <c r="C64" s="2" t="s">
        <v>53</v>
      </c>
      <c r="D64" s="2">
        <v>0</v>
      </c>
      <c r="E64" s="65" t="s">
        <v>26</v>
      </c>
      <c r="J64" s="17" t="str">
        <f>IF(Tabela!F37="","",Tabela!F37)</f>
        <v>N</v>
      </c>
      <c r="K64" s="67" t="str">
        <f>Tabela!A37</f>
        <v>França</v>
      </c>
      <c r="L64" s="67">
        <f>Tabela!B37</f>
        <v>0</v>
      </c>
      <c r="M64" s="67" t="str">
        <f>Tabela!C37</f>
        <v>X</v>
      </c>
      <c r="N64" s="67">
        <f>Tabela!D37</f>
        <v>0</v>
      </c>
      <c r="O64" s="67" t="str">
        <f>Tabela!E37</f>
        <v>Polônia</v>
      </c>
    </row>
    <row r="65" spans="1:15" x14ac:dyDescent="0.25">
      <c r="A65" s="66" t="s">
        <v>23</v>
      </c>
      <c r="B65" s="2">
        <v>0</v>
      </c>
      <c r="C65" s="2" t="s">
        <v>53</v>
      </c>
      <c r="D65" s="2">
        <v>1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7">
        <f>Tabela!B38</f>
        <v>0</v>
      </c>
      <c r="M65" s="67" t="str">
        <f>Tabela!C38</f>
        <v>X</v>
      </c>
      <c r="N65" s="67">
        <f>Tabela!D38</f>
        <v>0</v>
      </c>
      <c r="O65" s="67" t="str">
        <f>Tabela!E38</f>
        <v>Espanha</v>
      </c>
    </row>
    <row r="66" spans="1:15" x14ac:dyDescent="0.25">
      <c r="A66" s="66" t="s">
        <v>27</v>
      </c>
      <c r="B66" s="2">
        <v>2</v>
      </c>
      <c r="C66" s="2" t="s">
        <v>53</v>
      </c>
      <c r="D66" s="2">
        <v>1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7">
        <f>Tabela!B39</f>
        <v>0</v>
      </c>
      <c r="M66" s="67" t="str">
        <f>Tabela!C39</f>
        <v>X</v>
      </c>
      <c r="N66" s="67">
        <f>Tabela!D39</f>
        <v>0</v>
      </c>
      <c r="O66" s="67" t="str">
        <f>Tabela!E39</f>
        <v>Suíça</v>
      </c>
    </row>
  </sheetData>
  <mergeCells count="71">
    <mergeCell ref="A58:E58"/>
    <mergeCell ref="K58:O58"/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2:E2"/>
    <mergeCell ref="A1:E1"/>
    <mergeCell ref="A8:E8"/>
    <mergeCell ref="A15:E15"/>
    <mergeCell ref="A22:E22"/>
    <mergeCell ref="A29:E29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27:R27"/>
    <mergeCell ref="S27:T27"/>
    <mergeCell ref="U27:V27"/>
    <mergeCell ref="Q28:R28"/>
    <mergeCell ref="S28:T28"/>
    <mergeCell ref="U28:V2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3AFBB9-B210-4CBE-A7D8-8654C929DB73}">
  <sheetPr codeName="Planilha19">
    <tabColor rgb="FF0070C0"/>
  </sheetPr>
  <dimension ref="A1:AE66"/>
  <sheetViews>
    <sheetView zoomScale="85" zoomScaleNormal="85" workbookViewId="0">
      <pane xSplit="15" ySplit="16" topLeftCell="P18" activePane="bottomRight" state="frozen"/>
      <selection pane="topRight" activeCell="P1" sqref="P1"/>
      <selection pane="bottomLeft" activeCell="A17" sqref="A17"/>
      <selection pane="bottomRight" activeCell="Q25" sqref="Q25:U25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7" width="5.7109375" style="17" customWidth="1"/>
    <col min="38" max="16384" width="9.140625" style="17"/>
  </cols>
  <sheetData>
    <row r="1" spans="1:31" x14ac:dyDescent="0.25">
      <c r="A1" s="127" t="s">
        <v>58</v>
      </c>
      <c r="B1" s="127"/>
      <c r="C1" s="127"/>
      <c r="D1" s="127"/>
      <c r="E1" s="127"/>
      <c r="K1" s="128" t="s">
        <v>58</v>
      </c>
      <c r="L1" s="128"/>
      <c r="M1" s="128"/>
      <c r="N1" s="128"/>
      <c r="O1" s="128"/>
    </row>
    <row r="2" spans="1:31" x14ac:dyDescent="0.25">
      <c r="A2" s="18" t="s">
        <v>11</v>
      </c>
      <c r="B2" s="16">
        <v>1</v>
      </c>
      <c r="C2" s="16" t="s">
        <v>53</v>
      </c>
      <c r="D2" s="16">
        <v>2</v>
      </c>
      <c r="E2" s="19" t="s">
        <v>14</v>
      </c>
      <c r="H2" s="16">
        <v>15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31" t="s">
        <v>84</v>
      </c>
      <c r="X2" s="131"/>
      <c r="Y2" s="131"/>
      <c r="Z2" s="131"/>
      <c r="AA2" s="131"/>
      <c r="AB2" s="131"/>
      <c r="AC2" s="131"/>
      <c r="AD2" s="131"/>
      <c r="AE2" s="131"/>
    </row>
    <row r="3" spans="1:31" x14ac:dyDescent="0.25">
      <c r="A3" s="18" t="s">
        <v>28</v>
      </c>
      <c r="B3" s="16">
        <v>1</v>
      </c>
      <c r="C3" s="16" t="s">
        <v>53</v>
      </c>
      <c r="D3" s="16">
        <v>2</v>
      </c>
      <c r="E3" s="19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31"/>
      <c r="X3" s="131"/>
      <c r="Y3" s="131"/>
      <c r="Z3" s="131"/>
      <c r="AA3" s="131"/>
      <c r="AB3" s="131"/>
      <c r="AC3" s="131"/>
      <c r="AD3" s="131"/>
      <c r="AE3" s="131"/>
    </row>
    <row r="4" spans="1:31" x14ac:dyDescent="0.25">
      <c r="A4" s="18" t="s">
        <v>11</v>
      </c>
      <c r="B4" s="16">
        <v>0</v>
      </c>
      <c r="C4" s="16" t="s">
        <v>53</v>
      </c>
      <c r="D4" s="16">
        <v>13</v>
      </c>
      <c r="E4" s="19" t="s">
        <v>28</v>
      </c>
      <c r="H4" s="16">
        <v>10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31"/>
      <c r="X4" s="131"/>
      <c r="Y4" s="131"/>
      <c r="Z4" s="131"/>
      <c r="AA4" s="131"/>
      <c r="AB4" s="131"/>
      <c r="AC4" s="131"/>
      <c r="AD4" s="131"/>
      <c r="AE4" s="131"/>
    </row>
    <row r="5" spans="1:31" x14ac:dyDescent="0.25">
      <c r="A5" s="18" t="s">
        <v>19</v>
      </c>
      <c r="B5" s="16">
        <v>2</v>
      </c>
      <c r="C5" s="16" t="s">
        <v>53</v>
      </c>
      <c r="D5" s="16">
        <v>2</v>
      </c>
      <c r="E5" s="19" t="s">
        <v>14</v>
      </c>
      <c r="H5" s="16">
        <v>10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31"/>
      <c r="X5" s="131"/>
      <c r="Y5" s="131"/>
      <c r="Z5" s="131"/>
      <c r="AA5" s="131"/>
      <c r="AB5" s="131"/>
      <c r="AC5" s="131"/>
      <c r="AD5" s="131"/>
      <c r="AE5" s="131"/>
    </row>
    <row r="6" spans="1:31" x14ac:dyDescent="0.25">
      <c r="A6" s="18" t="s">
        <v>19</v>
      </c>
      <c r="B6" s="16">
        <v>1</v>
      </c>
      <c r="C6" s="16" t="s">
        <v>53</v>
      </c>
      <c r="D6" s="16">
        <v>1</v>
      </c>
      <c r="E6" s="19" t="s">
        <v>11</v>
      </c>
      <c r="H6" s="16">
        <v>0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31"/>
      <c r="X6" s="131"/>
      <c r="Y6" s="131"/>
      <c r="Z6" s="131"/>
      <c r="AA6" s="131"/>
      <c r="AB6" s="131"/>
      <c r="AC6" s="131"/>
      <c r="AD6" s="131"/>
      <c r="AE6" s="131"/>
    </row>
    <row r="7" spans="1:31" x14ac:dyDescent="0.25">
      <c r="A7" s="18" t="s">
        <v>14</v>
      </c>
      <c r="B7" s="16">
        <v>2</v>
      </c>
      <c r="C7" s="16" t="s">
        <v>53</v>
      </c>
      <c r="D7" s="16">
        <v>1</v>
      </c>
      <c r="E7" s="19" t="s">
        <v>28</v>
      </c>
      <c r="H7" s="16">
        <v>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27" t="s">
        <v>65</v>
      </c>
      <c r="B8" s="127"/>
      <c r="C8" s="127"/>
      <c r="D8" s="127"/>
      <c r="E8" s="127"/>
      <c r="J8" s="17" t="str">
        <f>IF(Tabela!F9="","",Tabela!F9)</f>
        <v/>
      </c>
      <c r="K8" s="128" t="s">
        <v>65</v>
      </c>
      <c r="L8" s="128"/>
      <c r="M8" s="128"/>
      <c r="N8" s="128"/>
      <c r="O8" s="128"/>
    </row>
    <row r="9" spans="1:31" x14ac:dyDescent="0.25">
      <c r="A9" s="18" t="s">
        <v>20</v>
      </c>
      <c r="B9" s="16">
        <v>2</v>
      </c>
      <c r="C9" s="16" t="s">
        <v>53</v>
      </c>
      <c r="D9" s="16">
        <v>1</v>
      </c>
      <c r="E9" s="19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29" t="s">
        <v>66</v>
      </c>
      <c r="R9" s="129"/>
      <c r="S9" s="129"/>
      <c r="T9" s="129"/>
      <c r="U9" s="129"/>
      <c r="W9" s="68" t="s">
        <v>124</v>
      </c>
      <c r="X9" s="68"/>
      <c r="Y9" s="68"/>
      <c r="Z9" s="68"/>
      <c r="AA9" s="68"/>
      <c r="AB9" s="68"/>
      <c r="AC9" s="68"/>
      <c r="AD9" s="68"/>
      <c r="AE9" s="68"/>
    </row>
    <row r="10" spans="1:31" x14ac:dyDescent="0.25">
      <c r="A10" s="18" t="s">
        <v>54</v>
      </c>
      <c r="B10" s="16">
        <v>3</v>
      </c>
      <c r="C10" s="16" t="s">
        <v>53</v>
      </c>
      <c r="D10" s="16">
        <v>1</v>
      </c>
      <c r="E10" s="19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29"/>
      <c r="R10" s="129"/>
      <c r="S10" s="129"/>
      <c r="T10" s="129"/>
      <c r="U10" s="129"/>
      <c r="W10" s="68" t="s">
        <v>4</v>
      </c>
      <c r="X10" s="68"/>
      <c r="Y10" s="68"/>
      <c r="Z10" s="54">
        <v>1</v>
      </c>
      <c r="AB10" s="54">
        <v>2</v>
      </c>
      <c r="AC10" s="68" t="s">
        <v>22</v>
      </c>
      <c r="AD10" s="68"/>
      <c r="AE10" s="68"/>
    </row>
    <row r="11" spans="1:31" ht="15" customHeight="1" x14ac:dyDescent="0.25">
      <c r="A11" s="18" t="s">
        <v>34</v>
      </c>
      <c r="B11" s="16">
        <v>1</v>
      </c>
      <c r="C11" s="16" t="s">
        <v>53</v>
      </c>
      <c r="D11" s="16">
        <v>1</v>
      </c>
      <c r="E11" s="19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30">
        <f>SUM(H2:H66)</f>
        <v>335</v>
      </c>
      <c r="R11" s="130"/>
      <c r="S11" s="130"/>
      <c r="T11" s="130"/>
      <c r="U11" s="130"/>
      <c r="W11" s="68" t="s">
        <v>15</v>
      </c>
      <c r="X11" s="68"/>
      <c r="Y11" s="68"/>
      <c r="Z11" s="54">
        <v>1</v>
      </c>
      <c r="AB11" s="54">
        <v>1</v>
      </c>
      <c r="AC11" s="68" t="s">
        <v>4</v>
      </c>
      <c r="AD11" s="68"/>
      <c r="AE11" s="68"/>
    </row>
    <row r="12" spans="1:31" ht="15" customHeight="1" x14ac:dyDescent="0.25">
      <c r="A12" s="18" t="s">
        <v>20</v>
      </c>
      <c r="B12" s="16">
        <v>1</v>
      </c>
      <c r="C12" s="16" t="s">
        <v>53</v>
      </c>
      <c r="D12" s="16">
        <v>1</v>
      </c>
      <c r="E12" s="19" t="s">
        <v>54</v>
      </c>
      <c r="H12" s="16">
        <v>10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30"/>
      <c r="R12" s="130"/>
      <c r="S12" s="130"/>
      <c r="T12" s="130"/>
      <c r="U12" s="130"/>
      <c r="W12" s="68" t="s">
        <v>22</v>
      </c>
      <c r="X12" s="68"/>
      <c r="Y12" s="68"/>
      <c r="Z12" s="54">
        <v>2</v>
      </c>
      <c r="AB12" s="54">
        <v>1</v>
      </c>
      <c r="AC12" s="68" t="s">
        <v>15</v>
      </c>
      <c r="AD12" s="68"/>
      <c r="AE12" s="68"/>
    </row>
    <row r="13" spans="1:31" ht="15" customHeight="1" x14ac:dyDescent="0.25">
      <c r="A13" s="18" t="s">
        <v>21</v>
      </c>
      <c r="B13" s="16">
        <v>1</v>
      </c>
      <c r="C13" s="16" t="s">
        <v>53</v>
      </c>
      <c r="D13" s="16">
        <v>0</v>
      </c>
      <c r="E13" s="19" t="s">
        <v>54</v>
      </c>
      <c r="H13" s="16">
        <v>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30"/>
      <c r="R13" s="130"/>
      <c r="S13" s="130"/>
      <c r="T13" s="130"/>
      <c r="U13" s="130"/>
      <c r="W13" s="68" t="s">
        <v>7</v>
      </c>
      <c r="X13" s="68"/>
      <c r="Y13" s="68"/>
      <c r="Z13" s="54">
        <v>1</v>
      </c>
      <c r="AB13" s="54">
        <v>0</v>
      </c>
      <c r="AC13" s="68" t="s">
        <v>10</v>
      </c>
      <c r="AD13" s="68"/>
      <c r="AE13" s="68"/>
    </row>
    <row r="14" spans="1:31" ht="15" customHeight="1" x14ac:dyDescent="0.25">
      <c r="A14" s="18" t="s">
        <v>34</v>
      </c>
      <c r="B14" s="16">
        <v>2</v>
      </c>
      <c r="C14" s="16" t="s">
        <v>53</v>
      </c>
      <c r="D14" s="16">
        <v>2</v>
      </c>
      <c r="E14" s="19" t="s">
        <v>20</v>
      </c>
      <c r="H14" s="16">
        <v>0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30"/>
      <c r="R14" s="130"/>
      <c r="S14" s="130"/>
      <c r="T14" s="130"/>
      <c r="U14" s="130"/>
      <c r="W14" s="68"/>
      <c r="X14" s="68"/>
      <c r="Y14" s="68"/>
      <c r="AC14" s="68"/>
      <c r="AD14" s="68"/>
      <c r="AE14" s="68"/>
    </row>
    <row r="15" spans="1:31" ht="15" customHeight="1" x14ac:dyDescent="0.25">
      <c r="A15" s="127" t="s">
        <v>64</v>
      </c>
      <c r="B15" s="127"/>
      <c r="C15" s="127"/>
      <c r="D15" s="127"/>
      <c r="E15" s="127"/>
      <c r="J15" s="17" t="str">
        <f>IF(Tabela!F16="","",Tabela!F16)</f>
        <v/>
      </c>
      <c r="K15" s="128" t="s">
        <v>64</v>
      </c>
      <c r="L15" s="128"/>
      <c r="M15" s="128"/>
      <c r="N15" s="128"/>
      <c r="O15" s="128"/>
      <c r="Q15" s="130"/>
      <c r="R15" s="130"/>
      <c r="S15" s="130"/>
      <c r="T15" s="130"/>
      <c r="U15" s="130"/>
      <c r="W15" s="68"/>
      <c r="X15" s="68"/>
      <c r="Y15" s="68"/>
      <c r="AC15" s="68"/>
      <c r="AD15" s="68"/>
      <c r="AE15" s="68"/>
    </row>
    <row r="16" spans="1:31" x14ac:dyDescent="0.25">
      <c r="A16" s="18" t="s">
        <v>5</v>
      </c>
      <c r="B16" s="16">
        <v>2</v>
      </c>
      <c r="C16" s="16" t="s">
        <v>53</v>
      </c>
      <c r="D16" s="16">
        <v>1</v>
      </c>
      <c r="E16" s="19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68"/>
      <c r="X16" s="68"/>
      <c r="Y16" s="68"/>
      <c r="AC16" s="68"/>
      <c r="AD16" s="68"/>
      <c r="AE16" s="68"/>
    </row>
    <row r="17" spans="1:31" x14ac:dyDescent="0.25">
      <c r="A17" s="18" t="s">
        <v>24</v>
      </c>
      <c r="B17" s="16">
        <v>2</v>
      </c>
      <c r="C17" s="16" t="s">
        <v>53</v>
      </c>
      <c r="D17" s="16">
        <v>2</v>
      </c>
      <c r="E17" s="19" t="s">
        <v>26</v>
      </c>
      <c r="H17" s="16">
        <v>10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68"/>
      <c r="X17" s="68"/>
      <c r="Y17" s="68"/>
      <c r="AC17" s="68"/>
      <c r="AD17" s="68"/>
      <c r="AE17" s="68"/>
    </row>
    <row r="18" spans="1:31" x14ac:dyDescent="0.25">
      <c r="A18" s="18" t="s">
        <v>26</v>
      </c>
      <c r="B18" s="16">
        <v>0</v>
      </c>
      <c r="C18" s="16" t="s">
        <v>53</v>
      </c>
      <c r="D18" s="16">
        <v>0</v>
      </c>
      <c r="E18" s="19" t="s">
        <v>55</v>
      </c>
      <c r="H18" s="16">
        <v>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W18" s="68"/>
      <c r="X18" s="68"/>
      <c r="Y18" s="68"/>
      <c r="AC18" s="68"/>
      <c r="AD18" s="68"/>
      <c r="AE18" s="68"/>
    </row>
    <row r="19" spans="1:31" x14ac:dyDescent="0.25">
      <c r="A19" s="18" t="s">
        <v>5</v>
      </c>
      <c r="B19" s="16">
        <v>1</v>
      </c>
      <c r="C19" s="16" t="s">
        <v>53</v>
      </c>
      <c r="D19" s="16">
        <v>2</v>
      </c>
      <c r="E19" s="19" t="s">
        <v>24</v>
      </c>
      <c r="H19" s="16">
        <v>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W19" s="68"/>
      <c r="X19" s="68"/>
      <c r="Y19" s="68"/>
      <c r="AC19" s="68"/>
      <c r="AD19" s="68"/>
      <c r="AE19" s="68"/>
    </row>
    <row r="20" spans="1:31" x14ac:dyDescent="0.25">
      <c r="A20" s="18" t="s">
        <v>26</v>
      </c>
      <c r="B20" s="16">
        <v>2</v>
      </c>
      <c r="C20" s="16" t="s">
        <v>53</v>
      </c>
      <c r="D20" s="16">
        <v>1</v>
      </c>
      <c r="E20" s="19" t="s">
        <v>5</v>
      </c>
      <c r="H20" s="16">
        <v>0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68"/>
      <c r="X20" s="68"/>
      <c r="Y20" s="68"/>
      <c r="AC20" s="68"/>
      <c r="AD20" s="68"/>
      <c r="AE20" s="68"/>
    </row>
    <row r="21" spans="1:31" x14ac:dyDescent="0.25">
      <c r="A21" s="18" t="s">
        <v>55</v>
      </c>
      <c r="B21" s="16">
        <v>2</v>
      </c>
      <c r="C21" s="16" t="s">
        <v>53</v>
      </c>
      <c r="D21" s="16">
        <v>3</v>
      </c>
      <c r="E21" s="19" t="s">
        <v>24</v>
      </c>
      <c r="H21" s="16">
        <v>10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W21" s="68"/>
      <c r="X21" s="68"/>
      <c r="Y21" s="68"/>
      <c r="AC21" s="68"/>
      <c r="AD21" s="68"/>
      <c r="AE21" s="68"/>
    </row>
    <row r="22" spans="1:31" x14ac:dyDescent="0.25">
      <c r="A22" s="127" t="s">
        <v>63</v>
      </c>
      <c r="B22" s="127"/>
      <c r="C22" s="127"/>
      <c r="D22" s="127"/>
      <c r="E22" s="127"/>
      <c r="J22" s="17" t="str">
        <f>IF(Tabela!F23="","",Tabela!F23)</f>
        <v/>
      </c>
      <c r="K22" s="128" t="s">
        <v>63</v>
      </c>
      <c r="L22" s="128"/>
      <c r="M22" s="128"/>
      <c r="N22" s="128"/>
      <c r="O22" s="128"/>
      <c r="W22" s="68"/>
      <c r="X22" s="68"/>
      <c r="Y22" s="68"/>
      <c r="AC22" s="68"/>
      <c r="AD22" s="68"/>
      <c r="AE22" s="68"/>
    </row>
    <row r="23" spans="1:31" x14ac:dyDescent="0.25">
      <c r="A23" s="18" t="s">
        <v>13</v>
      </c>
      <c r="B23" s="16">
        <v>2</v>
      </c>
      <c r="C23" s="16" t="s">
        <v>53</v>
      </c>
      <c r="D23" s="16">
        <v>1</v>
      </c>
      <c r="E23" s="19" t="s">
        <v>31</v>
      </c>
      <c r="H23" s="16">
        <v>0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68"/>
      <c r="X23" s="68"/>
      <c r="Y23" s="68"/>
      <c r="AC23" s="68"/>
      <c r="AD23" s="68"/>
      <c r="AE23" s="68"/>
    </row>
    <row r="24" spans="1:31" x14ac:dyDescent="0.25">
      <c r="A24" s="18" t="s">
        <v>17</v>
      </c>
      <c r="B24" s="16">
        <v>2</v>
      </c>
      <c r="C24" s="16" t="s">
        <v>53</v>
      </c>
      <c r="D24" s="16">
        <v>2</v>
      </c>
      <c r="E24" s="19" t="s">
        <v>6</v>
      </c>
      <c r="H24" s="16">
        <v>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Q24" s="17">
        <v>25</v>
      </c>
      <c r="R24" s="17">
        <v>15</v>
      </c>
      <c r="S24" s="17">
        <v>10</v>
      </c>
      <c r="T24" s="17">
        <v>5</v>
      </c>
      <c r="U24" s="17">
        <v>0</v>
      </c>
      <c r="W24" s="68"/>
      <c r="X24" s="68"/>
      <c r="Y24" s="68"/>
      <c r="AC24" s="68"/>
      <c r="AD24" s="68"/>
      <c r="AE24" s="68"/>
    </row>
    <row r="25" spans="1:31" x14ac:dyDescent="0.25">
      <c r="A25" s="18" t="s">
        <v>31</v>
      </c>
      <c r="B25" s="16">
        <v>1</v>
      </c>
      <c r="C25" s="16" t="s">
        <v>53</v>
      </c>
      <c r="D25" s="16">
        <v>2</v>
      </c>
      <c r="E25" s="19" t="s">
        <v>6</v>
      </c>
      <c r="H25" s="16">
        <v>10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Q25" s="22">
        <v>4</v>
      </c>
      <c r="R25" s="22">
        <v>6</v>
      </c>
      <c r="S25" s="22">
        <v>11</v>
      </c>
      <c r="T25" s="22">
        <v>7</v>
      </c>
      <c r="U25" s="22">
        <v>21</v>
      </c>
      <c r="W25" s="68"/>
      <c r="X25" s="68"/>
      <c r="Y25" s="68"/>
      <c r="AC25" s="68"/>
      <c r="AD25" s="68"/>
      <c r="AE25" s="68"/>
    </row>
    <row r="26" spans="1:31" x14ac:dyDescent="0.25">
      <c r="A26" s="18" t="s">
        <v>17</v>
      </c>
      <c r="B26" s="16">
        <v>3</v>
      </c>
      <c r="C26" s="16" t="s">
        <v>53</v>
      </c>
      <c r="D26" s="16">
        <v>1</v>
      </c>
      <c r="E26" s="19" t="s">
        <v>13</v>
      </c>
      <c r="H26" s="16">
        <v>15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68"/>
      <c r="X26" s="68"/>
      <c r="Y26" s="68"/>
      <c r="AC26" s="68"/>
      <c r="AD26" s="68"/>
      <c r="AE26" s="68"/>
    </row>
    <row r="27" spans="1:31" x14ac:dyDescent="0.25">
      <c r="A27" s="18" t="s">
        <v>31</v>
      </c>
      <c r="B27" s="16">
        <v>0</v>
      </c>
      <c r="C27" s="16" t="s">
        <v>53</v>
      </c>
      <c r="D27" s="16">
        <v>1</v>
      </c>
      <c r="E27" s="19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Q27" s="124" t="s">
        <v>42</v>
      </c>
      <c r="R27" s="124"/>
      <c r="S27" s="125" t="s">
        <v>8</v>
      </c>
      <c r="T27" s="125"/>
      <c r="U27" s="125" t="s">
        <v>54</v>
      </c>
      <c r="V27" s="125"/>
      <c r="W27" s="68"/>
      <c r="X27" s="68"/>
      <c r="Y27" s="68"/>
      <c r="AC27" s="68"/>
      <c r="AD27" s="68"/>
      <c r="AE27" s="68"/>
    </row>
    <row r="28" spans="1:31" x14ac:dyDescent="0.25">
      <c r="A28" s="18" t="s">
        <v>6</v>
      </c>
      <c r="B28" s="16">
        <v>2</v>
      </c>
      <c r="C28" s="16" t="s">
        <v>53</v>
      </c>
      <c r="D28" s="16">
        <v>0</v>
      </c>
      <c r="E28" s="19" t="s">
        <v>13</v>
      </c>
      <c r="H28" s="16">
        <v>15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Q28" s="124" t="s">
        <v>41</v>
      </c>
      <c r="R28" s="124"/>
      <c r="S28" s="126" t="s">
        <v>127</v>
      </c>
      <c r="T28" s="126"/>
      <c r="U28" s="126" t="s">
        <v>135</v>
      </c>
      <c r="V28" s="126"/>
      <c r="W28" s="68"/>
      <c r="X28" s="68"/>
      <c r="Y28" s="68"/>
      <c r="AC28" s="68"/>
      <c r="AD28" s="68"/>
      <c r="AE28" s="68"/>
    </row>
    <row r="29" spans="1:31" x14ac:dyDescent="0.25">
      <c r="A29" s="127" t="s">
        <v>62</v>
      </c>
      <c r="B29" s="127"/>
      <c r="C29" s="127"/>
      <c r="D29" s="127"/>
      <c r="E29" s="127"/>
      <c r="K29" s="128" t="s">
        <v>62</v>
      </c>
      <c r="L29" s="128"/>
      <c r="M29" s="128"/>
      <c r="N29" s="128"/>
      <c r="O29" s="128"/>
      <c r="W29" s="68"/>
      <c r="X29" s="68"/>
      <c r="Y29" s="68"/>
      <c r="AC29" s="68"/>
      <c r="AD29" s="68"/>
      <c r="AE29" s="68"/>
    </row>
    <row r="30" spans="1:31" x14ac:dyDescent="0.25">
      <c r="A30" s="18" t="s">
        <v>4</v>
      </c>
      <c r="B30" s="16">
        <v>1</v>
      </c>
      <c r="C30" s="16" t="s">
        <v>53</v>
      </c>
      <c r="D30" s="16">
        <v>2</v>
      </c>
      <c r="E30" s="19" t="s">
        <v>22</v>
      </c>
      <c r="H30" s="16">
        <v>25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68"/>
      <c r="X30" s="68"/>
      <c r="Y30" s="68"/>
      <c r="AC30" s="68"/>
      <c r="AD30" s="68"/>
      <c r="AE30" s="68"/>
    </row>
    <row r="31" spans="1:31" x14ac:dyDescent="0.25">
      <c r="A31" s="18" t="s">
        <v>15</v>
      </c>
      <c r="B31" s="16">
        <v>2</v>
      </c>
      <c r="C31" s="16" t="s">
        <v>53</v>
      </c>
      <c r="D31" s="16">
        <v>3</v>
      </c>
      <c r="E31" s="19" t="s">
        <v>56</v>
      </c>
      <c r="H31" s="16">
        <v>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3</v>
      </c>
      <c r="C32" s="16" t="s">
        <v>53</v>
      </c>
      <c r="D32" s="16">
        <v>2</v>
      </c>
      <c r="E32" s="19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1</v>
      </c>
      <c r="C33" s="16" t="s">
        <v>53</v>
      </c>
      <c r="D33" s="16">
        <v>1</v>
      </c>
      <c r="E33" s="19" t="s">
        <v>4</v>
      </c>
      <c r="H33" s="16">
        <v>25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2</v>
      </c>
      <c r="C34" s="16" t="s">
        <v>53</v>
      </c>
      <c r="D34" s="16">
        <v>1</v>
      </c>
      <c r="E34" s="19" t="s">
        <v>15</v>
      </c>
      <c r="H34" s="16">
        <v>25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2</v>
      </c>
      <c r="C35" s="16" t="s">
        <v>53</v>
      </c>
      <c r="D35" s="16">
        <v>2</v>
      </c>
      <c r="E35" s="19" t="s">
        <v>4</v>
      </c>
      <c r="H35" s="16">
        <v>5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27" t="s">
        <v>61</v>
      </c>
      <c r="B36" s="127"/>
      <c r="C36" s="127"/>
      <c r="D36" s="127"/>
      <c r="E36" s="127"/>
      <c r="J36" s="17" t="str">
        <f>IF(Tabela!L9="","",Tabela!L9)</f>
        <v/>
      </c>
      <c r="K36" s="128" t="s">
        <v>61</v>
      </c>
      <c r="L36" s="128"/>
      <c r="M36" s="128"/>
      <c r="N36" s="128"/>
      <c r="O36" s="128"/>
    </row>
    <row r="37" spans="1:15" x14ac:dyDescent="0.25">
      <c r="A37" s="18" t="s">
        <v>23</v>
      </c>
      <c r="B37" s="16">
        <v>2</v>
      </c>
      <c r="C37" s="16" t="s">
        <v>53</v>
      </c>
      <c r="D37" s="16">
        <v>1</v>
      </c>
      <c r="E37" s="19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1</v>
      </c>
      <c r="C38" s="16" t="s">
        <v>53</v>
      </c>
      <c r="D38" s="16">
        <v>0</v>
      </c>
      <c r="E38" s="19" t="s">
        <v>10</v>
      </c>
      <c r="H38" s="16">
        <v>25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2</v>
      </c>
      <c r="C39" s="16" t="s">
        <v>53</v>
      </c>
      <c r="D39" s="16">
        <v>2</v>
      </c>
      <c r="E39" s="19" t="s">
        <v>23</v>
      </c>
      <c r="H39" s="16">
        <v>5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3</v>
      </c>
      <c r="C40" s="16" t="s">
        <v>53</v>
      </c>
      <c r="D40" s="16">
        <v>3</v>
      </c>
      <c r="E40" s="19" t="s">
        <v>10</v>
      </c>
      <c r="H40" s="16">
        <v>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0</v>
      </c>
      <c r="C41" s="16" t="s">
        <v>53</v>
      </c>
      <c r="D41" s="16">
        <v>1</v>
      </c>
      <c r="E41" s="19" t="s">
        <v>7</v>
      </c>
      <c r="H41" s="16">
        <v>5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2</v>
      </c>
      <c r="C42" s="16" t="s">
        <v>53</v>
      </c>
      <c r="D42" s="16">
        <v>1</v>
      </c>
      <c r="E42" s="19" t="s">
        <v>23</v>
      </c>
      <c r="H42" s="16">
        <v>0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27" t="s">
        <v>60</v>
      </c>
      <c r="B43" s="127"/>
      <c r="C43" s="127"/>
      <c r="D43" s="127"/>
      <c r="E43" s="127"/>
      <c r="J43" s="17" t="str">
        <f>IF(Tabela!L16="","",Tabela!L16)</f>
        <v/>
      </c>
      <c r="K43" s="128" t="s">
        <v>60</v>
      </c>
      <c r="L43" s="128"/>
      <c r="M43" s="128"/>
      <c r="N43" s="128"/>
      <c r="O43" s="128"/>
    </row>
    <row r="44" spans="1:15" x14ac:dyDescent="0.25">
      <c r="A44" s="18" t="s">
        <v>30</v>
      </c>
      <c r="B44" s="16">
        <v>2</v>
      </c>
      <c r="C44" s="16" t="s">
        <v>53</v>
      </c>
      <c r="D44" s="16">
        <v>1</v>
      </c>
      <c r="E44" s="19" t="s">
        <v>9</v>
      </c>
      <c r="H44" s="16">
        <v>10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4</v>
      </c>
      <c r="C45" s="16" t="s">
        <v>53</v>
      </c>
      <c r="D45" s="16">
        <v>1</v>
      </c>
      <c r="E45" s="19" t="s">
        <v>29</v>
      </c>
      <c r="H45" s="16">
        <v>10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2</v>
      </c>
      <c r="C46" s="16" t="s">
        <v>53</v>
      </c>
      <c r="D46" s="16">
        <v>1</v>
      </c>
      <c r="E46" s="19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3</v>
      </c>
      <c r="C47" s="16" t="s">
        <v>53</v>
      </c>
      <c r="D47" s="16">
        <v>0</v>
      </c>
      <c r="E47" s="19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1</v>
      </c>
      <c r="C48" s="16" t="s">
        <v>53</v>
      </c>
      <c r="D48" s="16">
        <v>2</v>
      </c>
      <c r="E48" s="19" t="s">
        <v>8</v>
      </c>
      <c r="H48" s="16">
        <v>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0</v>
      </c>
      <c r="C49" s="16" t="s">
        <v>53</v>
      </c>
      <c r="D49" s="16">
        <v>1</v>
      </c>
      <c r="E49" s="19" t="s">
        <v>30</v>
      </c>
      <c r="H49" s="16">
        <v>10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27" t="s">
        <v>59</v>
      </c>
      <c r="B50" s="127"/>
      <c r="C50" s="127"/>
      <c r="D50" s="127"/>
      <c r="E50" s="127"/>
      <c r="J50" s="17" t="str">
        <f>IF(Tabela!L23="","",Tabela!L23)</f>
        <v/>
      </c>
      <c r="K50" s="128" t="s">
        <v>59</v>
      </c>
      <c r="L50" s="128"/>
      <c r="M50" s="128"/>
      <c r="N50" s="128"/>
      <c r="O50" s="128"/>
    </row>
    <row r="51" spans="1:15" x14ac:dyDescent="0.25">
      <c r="A51" s="18" t="s">
        <v>32</v>
      </c>
      <c r="B51" s="16">
        <v>2</v>
      </c>
      <c r="C51" s="16" t="s">
        <v>53</v>
      </c>
      <c r="D51" s="16">
        <v>0</v>
      </c>
      <c r="E51" s="19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2</v>
      </c>
      <c r="C52" s="16" t="s">
        <v>53</v>
      </c>
      <c r="D52" s="16">
        <v>1</v>
      </c>
      <c r="E52" s="19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1</v>
      </c>
      <c r="C53" s="16" t="s">
        <v>53</v>
      </c>
      <c r="D53" s="16">
        <v>1</v>
      </c>
      <c r="E53" s="19" t="s">
        <v>18</v>
      </c>
      <c r="H53" s="16">
        <v>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1</v>
      </c>
      <c r="C54" s="16" t="s">
        <v>53</v>
      </c>
      <c r="D54" s="16">
        <v>2</v>
      </c>
      <c r="E54" s="19" t="s">
        <v>32</v>
      </c>
      <c r="H54" s="16">
        <v>0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2</v>
      </c>
      <c r="E55" s="19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0</v>
      </c>
      <c r="C56" s="16" t="s">
        <v>53</v>
      </c>
      <c r="D56" s="16">
        <v>1</v>
      </c>
      <c r="E56" s="19" t="s">
        <v>32</v>
      </c>
      <c r="H56" s="16">
        <v>15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145" t="s">
        <v>173</v>
      </c>
    </row>
    <row r="58" spans="1:15" x14ac:dyDescent="0.25">
      <c r="A58" s="134" t="str">
        <f>_xlfn.CONCAT(W2,A57)</f>
        <v>Ivani - Oitavas de Final</v>
      </c>
      <c r="B58" s="134"/>
      <c r="C58" s="134"/>
      <c r="D58" s="134"/>
      <c r="E58" s="134"/>
      <c r="K58" s="137" t="s">
        <v>171</v>
      </c>
      <c r="L58" s="137"/>
      <c r="M58" s="137"/>
      <c r="N58" s="137"/>
      <c r="O58" s="137"/>
    </row>
    <row r="59" spans="1:15" x14ac:dyDescent="0.25">
      <c r="A59" s="66" t="s">
        <v>19</v>
      </c>
      <c r="B59" s="2">
        <v>1</v>
      </c>
      <c r="C59" s="2" t="s">
        <v>53</v>
      </c>
      <c r="D59" s="2">
        <v>2</v>
      </c>
      <c r="E59" s="65" t="s">
        <v>166</v>
      </c>
      <c r="H59" s="16">
        <v>0</v>
      </c>
      <c r="J59" s="17" t="str">
        <f>IF(Tabela!F32="","",Tabela!F32)</f>
        <v/>
      </c>
      <c r="K59" s="67" t="str">
        <f>Tabela!A32</f>
        <v>Holanda</v>
      </c>
      <c r="L59" s="67">
        <f>Tabela!B32</f>
        <v>3</v>
      </c>
      <c r="M59" s="67" t="str">
        <f>Tabela!C32</f>
        <v>X</v>
      </c>
      <c r="N59" s="67">
        <f>Tabela!D32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1</v>
      </c>
      <c r="C60" s="2" t="s">
        <v>53</v>
      </c>
      <c r="D60" s="2">
        <v>0</v>
      </c>
      <c r="E60" s="65" t="s">
        <v>6</v>
      </c>
      <c r="J60" s="17" t="str">
        <f>IF(Tabela!F33="","",Tabela!F33)</f>
        <v>N</v>
      </c>
      <c r="K60" s="67" t="str">
        <f>Tabela!A33</f>
        <v>Argentina</v>
      </c>
      <c r="L60" s="67">
        <f>Tabela!B33</f>
        <v>0</v>
      </c>
      <c r="M60" s="67" t="str">
        <f>Tabela!C33</f>
        <v>X</v>
      </c>
      <c r="N60" s="67">
        <f>Tabela!D33</f>
        <v>0</v>
      </c>
      <c r="O60" s="67" t="str">
        <f>Tabela!E33</f>
        <v>Austrália</v>
      </c>
    </row>
    <row r="61" spans="1:15" x14ac:dyDescent="0.25">
      <c r="A61" s="66" t="s">
        <v>22</v>
      </c>
      <c r="B61" s="2">
        <v>2</v>
      </c>
      <c r="C61" s="2" t="s">
        <v>53</v>
      </c>
      <c r="D61" s="2">
        <v>1</v>
      </c>
      <c r="E61" s="65" t="s">
        <v>12</v>
      </c>
      <c r="J61" s="17" t="str">
        <f>IF(Tabela!F34="","",Tabela!F34)</f>
        <v>N</v>
      </c>
      <c r="K61" s="67" t="str">
        <f>Tabela!A34</f>
        <v>Japão</v>
      </c>
      <c r="L61" s="67">
        <f>Tabela!B34</f>
        <v>0</v>
      </c>
      <c r="M61" s="67" t="str">
        <f>Tabela!C34</f>
        <v>X</v>
      </c>
      <c r="N61" s="67">
        <f>Tabela!D34</f>
        <v>0</v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1</v>
      </c>
      <c r="E62" s="65" t="s">
        <v>167</v>
      </c>
      <c r="J62" s="17" t="str">
        <f>IF(Tabela!F35="","",Tabela!F35)</f>
        <v>N</v>
      </c>
      <c r="K62" s="67" t="str">
        <f>Tabela!A35</f>
        <v>Brasil</v>
      </c>
      <c r="L62" s="67">
        <f>Tabela!B35</f>
        <v>0</v>
      </c>
      <c r="M62" s="67" t="str">
        <f>Tabela!C35</f>
        <v>X</v>
      </c>
      <c r="N62" s="67">
        <f>Tabela!D35</f>
        <v>0</v>
      </c>
      <c r="O62" s="67" t="str">
        <f>Tabela!E35</f>
        <v>Coréia</v>
      </c>
    </row>
    <row r="63" spans="1:15" x14ac:dyDescent="0.25">
      <c r="A63" s="66" t="s">
        <v>20</v>
      </c>
      <c r="B63" s="2">
        <v>2</v>
      </c>
      <c r="C63" s="2" t="s">
        <v>53</v>
      </c>
      <c r="D63" s="2">
        <v>0</v>
      </c>
      <c r="E63" s="65" t="s">
        <v>28</v>
      </c>
      <c r="J63" s="17" t="str">
        <f>IF(Tabela!F36="","",Tabela!F36)</f>
        <v>N</v>
      </c>
      <c r="K63" s="67" t="str">
        <f>Tabela!A36</f>
        <v>Inglaterra</v>
      </c>
      <c r="L63" s="67">
        <f>Tabela!B36</f>
        <v>0</v>
      </c>
      <c r="M63" s="67" t="str">
        <f>Tabela!C36</f>
        <v>X</v>
      </c>
      <c r="N63" s="67">
        <f>Tabela!D36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3</v>
      </c>
      <c r="C64" s="2" t="s">
        <v>53</v>
      </c>
      <c r="D64" s="2">
        <v>1</v>
      </c>
      <c r="E64" s="65" t="s">
        <v>26</v>
      </c>
      <c r="J64" s="17" t="str">
        <f>IF(Tabela!F37="","",Tabela!F37)</f>
        <v>N</v>
      </c>
      <c r="K64" s="67" t="str">
        <f>Tabela!A37</f>
        <v>França</v>
      </c>
      <c r="L64" s="67">
        <f>Tabela!B37</f>
        <v>0</v>
      </c>
      <c r="M64" s="67" t="str">
        <f>Tabela!C37</f>
        <v>X</v>
      </c>
      <c r="N64" s="67">
        <f>Tabela!D37</f>
        <v>0</v>
      </c>
      <c r="O64" s="67" t="str">
        <f>Tabela!E37</f>
        <v>Polônia</v>
      </c>
    </row>
    <row r="65" spans="1:15" x14ac:dyDescent="0.25">
      <c r="A65" s="66" t="s">
        <v>23</v>
      </c>
      <c r="B65" s="2">
        <v>0</v>
      </c>
      <c r="C65" s="2" t="s">
        <v>53</v>
      </c>
      <c r="D65" s="2">
        <v>1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7">
        <f>Tabela!B38</f>
        <v>0</v>
      </c>
      <c r="M65" s="67" t="str">
        <f>Tabela!C38</f>
        <v>X</v>
      </c>
      <c r="N65" s="67">
        <f>Tabela!D38</f>
        <v>0</v>
      </c>
      <c r="O65" s="67" t="str">
        <f>Tabela!E38</f>
        <v>Espanha</v>
      </c>
    </row>
    <row r="66" spans="1:15" x14ac:dyDescent="0.25">
      <c r="A66" s="66" t="s">
        <v>27</v>
      </c>
      <c r="B66" s="2">
        <v>2</v>
      </c>
      <c r="C66" s="2" t="s">
        <v>53</v>
      </c>
      <c r="D66" s="2">
        <v>2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7">
        <f>Tabela!B39</f>
        <v>0</v>
      </c>
      <c r="M66" s="67" t="str">
        <f>Tabela!C39</f>
        <v>X</v>
      </c>
      <c r="N66" s="67">
        <f>Tabela!D39</f>
        <v>0</v>
      </c>
      <c r="O66" s="67" t="str">
        <f>Tabela!E39</f>
        <v>Suíça</v>
      </c>
    </row>
  </sheetData>
  <mergeCells count="70">
    <mergeCell ref="A58:E58"/>
    <mergeCell ref="K58:O58"/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A1:E1"/>
    <mergeCell ref="A8:E8"/>
    <mergeCell ref="A15:E15"/>
    <mergeCell ref="A22:E22"/>
    <mergeCell ref="K1:O1"/>
    <mergeCell ref="K8:O8"/>
    <mergeCell ref="K36:O36"/>
    <mergeCell ref="K43:O43"/>
    <mergeCell ref="K50:O50"/>
    <mergeCell ref="K29:O29"/>
    <mergeCell ref="A29:E29"/>
    <mergeCell ref="A36:E36"/>
    <mergeCell ref="A43:E43"/>
    <mergeCell ref="A50:E50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27:R27"/>
    <mergeCell ref="S27:T27"/>
    <mergeCell ref="U27:V27"/>
    <mergeCell ref="Q28:R28"/>
    <mergeCell ref="S28:T28"/>
    <mergeCell ref="U28:V2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EC985-94AA-4640-B899-75BBE57DDBB5}">
  <sheetPr codeName="Planilha20">
    <tabColor rgb="FF0070C0"/>
  </sheetPr>
  <dimension ref="A1:AE66"/>
  <sheetViews>
    <sheetView zoomScale="85" zoomScaleNormal="85" workbookViewId="0">
      <pane xSplit="15" ySplit="16" topLeftCell="P18" activePane="bottomRight" state="frozen"/>
      <selection pane="topRight" activeCell="P1" sqref="P1"/>
      <selection pane="bottomLeft" activeCell="A17" sqref="A17"/>
      <selection pane="bottomRight" activeCell="Q25" sqref="Q25:U25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9" width="5.7109375" style="17" customWidth="1"/>
    <col min="40" max="16384" width="9.140625" style="17"/>
  </cols>
  <sheetData>
    <row r="1" spans="1:31" x14ac:dyDescent="0.25">
      <c r="A1" s="127" t="s">
        <v>58</v>
      </c>
      <c r="B1" s="127"/>
      <c r="C1" s="127"/>
      <c r="D1" s="127"/>
      <c r="E1" s="127"/>
      <c r="K1" s="128" t="s">
        <v>58</v>
      </c>
      <c r="L1" s="128"/>
      <c r="M1" s="128"/>
      <c r="N1" s="128"/>
      <c r="O1" s="128"/>
    </row>
    <row r="2" spans="1:31" x14ac:dyDescent="0.25">
      <c r="A2" s="133" t="s">
        <v>43</v>
      </c>
      <c r="B2" s="133"/>
      <c r="C2" s="133"/>
      <c r="D2" s="133"/>
      <c r="E2" s="133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31" t="s">
        <v>93</v>
      </c>
      <c r="X2" s="131"/>
      <c r="Y2" s="131"/>
      <c r="Z2" s="131"/>
      <c r="AA2" s="131"/>
      <c r="AB2" s="131"/>
      <c r="AC2" s="131"/>
      <c r="AD2" s="131"/>
      <c r="AE2" s="131"/>
    </row>
    <row r="3" spans="1:31" x14ac:dyDescent="0.25">
      <c r="A3" s="18" t="s">
        <v>28</v>
      </c>
      <c r="B3" s="16">
        <v>1</v>
      </c>
      <c r="C3" s="16" t="s">
        <v>53</v>
      </c>
      <c r="D3" s="16">
        <v>2</v>
      </c>
      <c r="E3" s="19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31"/>
      <c r="X3" s="131"/>
      <c r="Y3" s="131"/>
      <c r="Z3" s="131"/>
      <c r="AA3" s="131"/>
      <c r="AB3" s="131"/>
      <c r="AC3" s="131"/>
      <c r="AD3" s="131"/>
      <c r="AE3" s="131"/>
    </row>
    <row r="4" spans="1:31" x14ac:dyDescent="0.25">
      <c r="A4" s="18" t="s">
        <v>11</v>
      </c>
      <c r="B4" s="16">
        <v>1</v>
      </c>
      <c r="C4" s="16" t="s">
        <v>53</v>
      </c>
      <c r="D4" s="16">
        <v>1</v>
      </c>
      <c r="E4" s="19" t="s">
        <v>28</v>
      </c>
      <c r="H4" s="16">
        <v>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31"/>
      <c r="X4" s="131"/>
      <c r="Y4" s="131"/>
      <c r="Z4" s="131"/>
      <c r="AA4" s="131"/>
      <c r="AB4" s="131"/>
      <c r="AC4" s="131"/>
      <c r="AD4" s="131"/>
      <c r="AE4" s="131"/>
    </row>
    <row r="5" spans="1:31" x14ac:dyDescent="0.25">
      <c r="A5" s="18" t="s">
        <v>19</v>
      </c>
      <c r="B5" s="16">
        <v>2</v>
      </c>
      <c r="C5" s="16" t="s">
        <v>53</v>
      </c>
      <c r="D5" s="16">
        <v>0</v>
      </c>
      <c r="E5" s="19" t="s">
        <v>14</v>
      </c>
      <c r="H5" s="16">
        <v>0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31"/>
      <c r="X5" s="131"/>
      <c r="Y5" s="131"/>
      <c r="Z5" s="131"/>
      <c r="AA5" s="131"/>
      <c r="AB5" s="131"/>
      <c r="AC5" s="131"/>
      <c r="AD5" s="131"/>
      <c r="AE5" s="131"/>
    </row>
    <row r="6" spans="1:31" x14ac:dyDescent="0.25">
      <c r="A6" s="18" t="s">
        <v>19</v>
      </c>
      <c r="B6" s="16">
        <v>3</v>
      </c>
      <c r="C6" s="16" t="s">
        <v>53</v>
      </c>
      <c r="D6" s="16">
        <v>0</v>
      </c>
      <c r="E6" s="19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31"/>
      <c r="X6" s="131"/>
      <c r="Y6" s="131"/>
      <c r="Z6" s="131"/>
      <c r="AA6" s="131"/>
      <c r="AB6" s="131"/>
      <c r="AC6" s="131"/>
      <c r="AD6" s="131"/>
      <c r="AE6" s="131"/>
    </row>
    <row r="7" spans="1:31" x14ac:dyDescent="0.25">
      <c r="A7" s="18" t="s">
        <v>14</v>
      </c>
      <c r="B7" s="16">
        <v>0</v>
      </c>
      <c r="C7" s="16" t="s">
        <v>53</v>
      </c>
      <c r="D7" s="16">
        <v>1</v>
      </c>
      <c r="E7" s="19" t="s">
        <v>28</v>
      </c>
      <c r="H7" s="16">
        <v>10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27" t="s">
        <v>65</v>
      </c>
      <c r="B8" s="127"/>
      <c r="C8" s="127"/>
      <c r="D8" s="127"/>
      <c r="E8" s="127"/>
      <c r="J8" s="17" t="str">
        <f>IF(Tabela!F9="","",Tabela!F9)</f>
        <v/>
      </c>
      <c r="K8" s="128" t="s">
        <v>65</v>
      </c>
      <c r="L8" s="128"/>
      <c r="M8" s="128"/>
      <c r="N8" s="128"/>
      <c r="O8" s="128"/>
    </row>
    <row r="9" spans="1:31" x14ac:dyDescent="0.25">
      <c r="A9" s="18" t="s">
        <v>20</v>
      </c>
      <c r="B9" s="16">
        <v>1</v>
      </c>
      <c r="C9" s="16" t="s">
        <v>53</v>
      </c>
      <c r="D9" s="16">
        <v>1</v>
      </c>
      <c r="E9" s="19" t="s">
        <v>21</v>
      </c>
      <c r="H9" s="16">
        <v>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29" t="s">
        <v>66</v>
      </c>
      <c r="R9" s="129"/>
      <c r="S9" s="129"/>
      <c r="T9" s="129"/>
      <c r="U9" s="129"/>
      <c r="W9" s="68" t="s">
        <v>124</v>
      </c>
      <c r="X9" s="68"/>
      <c r="Y9" s="68"/>
      <c r="Z9" s="68"/>
      <c r="AA9" s="68"/>
      <c r="AB9" s="68"/>
      <c r="AC9" s="68"/>
      <c r="AD9" s="68"/>
      <c r="AE9" s="68"/>
    </row>
    <row r="10" spans="1:31" x14ac:dyDescent="0.25">
      <c r="A10" s="18" t="s">
        <v>54</v>
      </c>
      <c r="B10" s="16">
        <v>2</v>
      </c>
      <c r="C10" s="16" t="s">
        <v>53</v>
      </c>
      <c r="D10" s="16">
        <v>1</v>
      </c>
      <c r="E10" s="19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29"/>
      <c r="R10" s="129"/>
      <c r="S10" s="129"/>
      <c r="T10" s="129"/>
      <c r="U10" s="129"/>
      <c r="W10" s="68" t="s">
        <v>31</v>
      </c>
      <c r="X10" s="68"/>
      <c r="Y10" s="68"/>
      <c r="Z10" s="54">
        <v>0</v>
      </c>
      <c r="AB10" s="54">
        <v>1</v>
      </c>
      <c r="AC10" s="68" t="s">
        <v>6</v>
      </c>
      <c r="AD10" s="68"/>
      <c r="AE10" s="68"/>
    </row>
    <row r="11" spans="1:31" x14ac:dyDescent="0.25">
      <c r="A11" s="18" t="s">
        <v>34</v>
      </c>
      <c r="B11" s="16">
        <v>1</v>
      </c>
      <c r="C11" s="16" t="s">
        <v>53</v>
      </c>
      <c r="D11" s="16">
        <v>0</v>
      </c>
      <c r="E11" s="19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30">
        <f>SUM(H2:H66)</f>
        <v>310</v>
      </c>
      <c r="R11" s="130"/>
      <c r="S11" s="130"/>
      <c r="T11" s="130"/>
      <c r="U11" s="130"/>
      <c r="W11" s="68" t="s">
        <v>15</v>
      </c>
      <c r="X11" s="68"/>
      <c r="Y11" s="68"/>
      <c r="Z11" s="54">
        <v>1</v>
      </c>
      <c r="AB11" s="54">
        <v>1</v>
      </c>
      <c r="AC11" s="68" t="s">
        <v>4</v>
      </c>
      <c r="AD11" s="68"/>
      <c r="AE11" s="68"/>
    </row>
    <row r="12" spans="1:31" x14ac:dyDescent="0.25">
      <c r="A12" s="18" t="s">
        <v>20</v>
      </c>
      <c r="B12" s="16">
        <v>1</v>
      </c>
      <c r="C12" s="16" t="s">
        <v>53</v>
      </c>
      <c r="D12" s="16">
        <v>2</v>
      </c>
      <c r="E12" s="19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30"/>
      <c r="R12" s="130"/>
      <c r="S12" s="130"/>
      <c r="T12" s="130"/>
      <c r="U12" s="130"/>
      <c r="W12" s="68"/>
      <c r="X12" s="68"/>
      <c r="Y12" s="68"/>
      <c r="AC12" s="68"/>
      <c r="AD12" s="68"/>
      <c r="AE12" s="68"/>
    </row>
    <row r="13" spans="1:31" x14ac:dyDescent="0.25">
      <c r="A13" s="18" t="s">
        <v>21</v>
      </c>
      <c r="B13" s="16">
        <v>1</v>
      </c>
      <c r="C13" s="16" t="s">
        <v>53</v>
      </c>
      <c r="D13" s="16">
        <v>1</v>
      </c>
      <c r="E13" s="19" t="s">
        <v>54</v>
      </c>
      <c r="H13" s="16">
        <v>5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30"/>
      <c r="R13" s="130"/>
      <c r="S13" s="130"/>
      <c r="T13" s="130"/>
      <c r="U13" s="130"/>
      <c r="W13" s="68"/>
      <c r="X13" s="68"/>
      <c r="Y13" s="68"/>
      <c r="AC13" s="68"/>
      <c r="AD13" s="68"/>
      <c r="AE13" s="68"/>
    </row>
    <row r="14" spans="1:31" x14ac:dyDescent="0.25">
      <c r="A14" s="18" t="s">
        <v>34</v>
      </c>
      <c r="B14" s="16">
        <v>2</v>
      </c>
      <c r="C14" s="16" t="s">
        <v>53</v>
      </c>
      <c r="D14" s="16">
        <v>1</v>
      </c>
      <c r="E14" s="19" t="s">
        <v>20</v>
      </c>
      <c r="H14" s="16">
        <v>0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30"/>
      <c r="R14" s="130"/>
      <c r="S14" s="130"/>
      <c r="T14" s="130"/>
      <c r="U14" s="130"/>
      <c r="W14" s="68"/>
      <c r="X14" s="68"/>
      <c r="Y14" s="68"/>
      <c r="AC14" s="68"/>
      <c r="AD14" s="68"/>
      <c r="AE14" s="68"/>
    </row>
    <row r="15" spans="1:31" x14ac:dyDescent="0.25">
      <c r="A15" s="127" t="s">
        <v>64</v>
      </c>
      <c r="B15" s="127"/>
      <c r="C15" s="127"/>
      <c r="D15" s="127"/>
      <c r="E15" s="127"/>
      <c r="J15" s="17" t="str">
        <f>IF(Tabela!F16="","",Tabela!F16)</f>
        <v/>
      </c>
      <c r="K15" s="128" t="s">
        <v>64</v>
      </c>
      <c r="L15" s="128"/>
      <c r="M15" s="128"/>
      <c r="N15" s="128"/>
      <c r="O15" s="128"/>
      <c r="Q15" s="130"/>
      <c r="R15" s="130"/>
      <c r="S15" s="130"/>
      <c r="T15" s="130"/>
      <c r="U15" s="130"/>
      <c r="W15" s="68"/>
      <c r="X15" s="68"/>
      <c r="Y15" s="68"/>
      <c r="AC15" s="68"/>
      <c r="AD15" s="68"/>
      <c r="AE15" s="68"/>
    </row>
    <row r="16" spans="1:31" x14ac:dyDescent="0.25">
      <c r="A16" s="18" t="s">
        <v>5</v>
      </c>
      <c r="B16" s="16">
        <v>2</v>
      </c>
      <c r="C16" s="16" t="s">
        <v>53</v>
      </c>
      <c r="D16" s="16">
        <v>0</v>
      </c>
      <c r="E16" s="19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68"/>
      <c r="X16" s="68"/>
      <c r="Y16" s="68"/>
      <c r="AC16" s="68"/>
      <c r="AD16" s="68"/>
      <c r="AE16" s="68"/>
    </row>
    <row r="17" spans="1:31" x14ac:dyDescent="0.25">
      <c r="A17" s="18" t="s">
        <v>24</v>
      </c>
      <c r="B17" s="16">
        <v>1</v>
      </c>
      <c r="C17" s="16" t="s">
        <v>53</v>
      </c>
      <c r="D17" s="16">
        <v>0</v>
      </c>
      <c r="E17" s="19" t="s">
        <v>26</v>
      </c>
      <c r="H17" s="16">
        <v>5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68"/>
      <c r="X17" s="68"/>
      <c r="Y17" s="68"/>
      <c r="AC17" s="68"/>
      <c r="AD17" s="68"/>
      <c r="AE17" s="68"/>
    </row>
    <row r="18" spans="1:31" x14ac:dyDescent="0.25">
      <c r="A18" s="18" t="s">
        <v>26</v>
      </c>
      <c r="B18" s="16">
        <v>0</v>
      </c>
      <c r="C18" s="16" t="s">
        <v>53</v>
      </c>
      <c r="D18" s="16">
        <v>1</v>
      </c>
      <c r="E18" s="19" t="s">
        <v>55</v>
      </c>
      <c r="H18" s="16">
        <v>0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W18" s="68"/>
      <c r="X18" s="68"/>
      <c r="Y18" s="68"/>
      <c r="AC18" s="68"/>
      <c r="AD18" s="68"/>
      <c r="AE18" s="68"/>
    </row>
    <row r="19" spans="1:31" x14ac:dyDescent="0.25">
      <c r="A19" s="18" t="s">
        <v>5</v>
      </c>
      <c r="B19" s="16">
        <v>1</v>
      </c>
      <c r="C19" s="16" t="s">
        <v>53</v>
      </c>
      <c r="D19" s="16">
        <v>0</v>
      </c>
      <c r="E19" s="19" t="s">
        <v>24</v>
      </c>
      <c r="H19" s="16">
        <v>15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W19" s="68"/>
      <c r="X19" s="68"/>
      <c r="Y19" s="68"/>
      <c r="AC19" s="68"/>
      <c r="AD19" s="68"/>
      <c r="AE19" s="68"/>
    </row>
    <row r="20" spans="1:31" x14ac:dyDescent="0.25">
      <c r="A20" s="18" t="s">
        <v>26</v>
      </c>
      <c r="B20" s="16">
        <v>0</v>
      </c>
      <c r="C20" s="16" t="s">
        <v>53</v>
      </c>
      <c r="D20" s="16">
        <v>1</v>
      </c>
      <c r="E20" s="19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68"/>
      <c r="X20" s="68"/>
      <c r="Y20" s="68"/>
      <c r="AC20" s="68"/>
      <c r="AD20" s="68"/>
      <c r="AE20" s="68"/>
    </row>
    <row r="21" spans="1:31" x14ac:dyDescent="0.25">
      <c r="A21" s="18" t="s">
        <v>55</v>
      </c>
      <c r="B21" s="16">
        <v>0</v>
      </c>
      <c r="C21" s="16" t="s">
        <v>53</v>
      </c>
      <c r="D21" s="16">
        <v>2</v>
      </c>
      <c r="E21" s="19" t="s">
        <v>24</v>
      </c>
      <c r="H21" s="16">
        <v>15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W21" s="68"/>
      <c r="X21" s="68"/>
      <c r="Y21" s="68"/>
      <c r="AC21" s="68"/>
      <c r="AD21" s="68"/>
      <c r="AE21" s="68"/>
    </row>
    <row r="22" spans="1:31" x14ac:dyDescent="0.25">
      <c r="A22" s="127" t="s">
        <v>63</v>
      </c>
      <c r="B22" s="127"/>
      <c r="C22" s="127"/>
      <c r="D22" s="127"/>
      <c r="E22" s="127"/>
      <c r="J22" s="17" t="str">
        <f>IF(Tabela!F23="","",Tabela!F23)</f>
        <v/>
      </c>
      <c r="K22" s="128" t="s">
        <v>63</v>
      </c>
      <c r="L22" s="128"/>
      <c r="M22" s="128"/>
      <c r="N22" s="128"/>
      <c r="O22" s="128"/>
      <c r="W22" s="68"/>
      <c r="X22" s="68"/>
      <c r="Y22" s="68"/>
      <c r="AC22" s="68"/>
      <c r="AD22" s="68"/>
      <c r="AE22" s="68"/>
    </row>
    <row r="23" spans="1:31" x14ac:dyDescent="0.25">
      <c r="A23" s="18" t="s">
        <v>13</v>
      </c>
      <c r="B23" s="16">
        <v>1</v>
      </c>
      <c r="C23" s="16" t="s">
        <v>53</v>
      </c>
      <c r="D23" s="16">
        <v>0</v>
      </c>
      <c r="E23" s="19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68"/>
      <c r="X23" s="68"/>
      <c r="Y23" s="68"/>
      <c r="AC23" s="68"/>
      <c r="AD23" s="68"/>
      <c r="AE23" s="68"/>
    </row>
    <row r="24" spans="1:31" x14ac:dyDescent="0.25">
      <c r="A24" s="18" t="s">
        <v>17</v>
      </c>
      <c r="B24" s="16">
        <v>1</v>
      </c>
      <c r="C24" s="16" t="s">
        <v>53</v>
      </c>
      <c r="D24" s="16">
        <v>1</v>
      </c>
      <c r="E24" s="19" t="s">
        <v>6</v>
      </c>
      <c r="H24" s="16">
        <v>5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Q24" s="21">
        <v>25</v>
      </c>
      <c r="R24" s="21">
        <v>15</v>
      </c>
      <c r="S24" s="21">
        <v>10</v>
      </c>
      <c r="T24" s="21">
        <v>5</v>
      </c>
      <c r="U24" s="21">
        <v>0</v>
      </c>
      <c r="V24" s="21"/>
      <c r="W24" s="68"/>
      <c r="X24" s="68"/>
      <c r="Y24" s="68"/>
      <c r="AC24" s="68"/>
      <c r="AD24" s="68"/>
      <c r="AE24" s="68"/>
    </row>
    <row r="25" spans="1:31" x14ac:dyDescent="0.25">
      <c r="A25" s="18" t="s">
        <v>31</v>
      </c>
      <c r="B25" s="16">
        <v>0</v>
      </c>
      <c r="C25" s="16" t="s">
        <v>53</v>
      </c>
      <c r="D25" s="16">
        <v>1</v>
      </c>
      <c r="E25" s="19" t="s">
        <v>6</v>
      </c>
      <c r="H25" s="16">
        <v>25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Q25" s="22">
        <v>2</v>
      </c>
      <c r="R25" s="22">
        <v>10</v>
      </c>
      <c r="S25" s="22">
        <v>5</v>
      </c>
      <c r="T25" s="22">
        <v>12</v>
      </c>
      <c r="U25" s="22">
        <v>19</v>
      </c>
      <c r="V25" s="21"/>
      <c r="W25" s="68"/>
      <c r="X25" s="68"/>
      <c r="Y25" s="68"/>
      <c r="AC25" s="68"/>
      <c r="AD25" s="68"/>
      <c r="AE25" s="68"/>
    </row>
    <row r="26" spans="1:31" x14ac:dyDescent="0.25">
      <c r="A26" s="18" t="s">
        <v>17</v>
      </c>
      <c r="B26" s="16">
        <v>1</v>
      </c>
      <c r="C26" s="16" t="s">
        <v>53</v>
      </c>
      <c r="D26" s="16">
        <v>1</v>
      </c>
      <c r="E26" s="19" t="s">
        <v>13</v>
      </c>
      <c r="H26" s="16">
        <v>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Q26" s="21"/>
      <c r="R26" s="21"/>
      <c r="S26" s="21"/>
      <c r="T26" s="21"/>
      <c r="U26" s="21"/>
      <c r="V26" s="21"/>
      <c r="W26" s="68"/>
      <c r="X26" s="68"/>
      <c r="Y26" s="68"/>
      <c r="AC26" s="68"/>
      <c r="AD26" s="68"/>
      <c r="AE26" s="68"/>
    </row>
    <row r="27" spans="1:31" x14ac:dyDescent="0.25">
      <c r="A27" s="18" t="s">
        <v>31</v>
      </c>
      <c r="B27" s="16">
        <v>0</v>
      </c>
      <c r="C27" s="16" t="s">
        <v>53</v>
      </c>
      <c r="D27" s="16">
        <v>1</v>
      </c>
      <c r="E27" s="19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Q27" s="124" t="s">
        <v>42</v>
      </c>
      <c r="R27" s="124"/>
      <c r="S27" s="125" t="s">
        <v>8</v>
      </c>
      <c r="T27" s="125"/>
      <c r="U27" s="125" t="s">
        <v>19</v>
      </c>
      <c r="V27" s="125"/>
      <c r="W27" s="68"/>
      <c r="X27" s="68"/>
      <c r="Y27" s="68"/>
      <c r="AC27" s="68"/>
      <c r="AD27" s="68"/>
      <c r="AE27" s="68"/>
    </row>
    <row r="28" spans="1:31" x14ac:dyDescent="0.25">
      <c r="A28" s="18" t="s">
        <v>6</v>
      </c>
      <c r="B28" s="16">
        <v>2</v>
      </c>
      <c r="C28" s="16" t="s">
        <v>53</v>
      </c>
      <c r="D28" s="16">
        <v>1</v>
      </c>
      <c r="E28" s="19" t="s">
        <v>13</v>
      </c>
      <c r="H28" s="16">
        <v>10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Q28" s="124" t="s">
        <v>41</v>
      </c>
      <c r="R28" s="124"/>
      <c r="S28" s="126" t="s">
        <v>127</v>
      </c>
      <c r="T28" s="126"/>
      <c r="U28" s="126" t="s">
        <v>130</v>
      </c>
      <c r="V28" s="126"/>
      <c r="W28" s="68"/>
      <c r="X28" s="68"/>
      <c r="Y28" s="68"/>
      <c r="AC28" s="68"/>
      <c r="AD28" s="68"/>
      <c r="AE28" s="68"/>
    </row>
    <row r="29" spans="1:31" x14ac:dyDescent="0.25">
      <c r="A29" s="127" t="s">
        <v>62</v>
      </c>
      <c r="B29" s="127"/>
      <c r="C29" s="127"/>
      <c r="D29" s="127"/>
      <c r="E29" s="127"/>
      <c r="K29" s="128" t="s">
        <v>62</v>
      </c>
      <c r="L29" s="128"/>
      <c r="M29" s="128"/>
      <c r="N29" s="128"/>
      <c r="O29" s="128"/>
      <c r="Q29" s="21"/>
      <c r="R29" s="21"/>
      <c r="S29" s="21"/>
      <c r="T29" s="21"/>
      <c r="U29" s="21"/>
      <c r="V29" s="21"/>
      <c r="W29" s="68"/>
      <c r="X29" s="68"/>
      <c r="Y29" s="68"/>
      <c r="AC29" s="68"/>
      <c r="AD29" s="68"/>
      <c r="AE29" s="68"/>
    </row>
    <row r="30" spans="1:31" x14ac:dyDescent="0.25">
      <c r="A30" s="18" t="s">
        <v>4</v>
      </c>
      <c r="B30" s="16">
        <v>2</v>
      </c>
      <c r="C30" s="16" t="s">
        <v>53</v>
      </c>
      <c r="D30" s="16">
        <v>0</v>
      </c>
      <c r="E30" s="19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Q30" s="21"/>
      <c r="R30" s="21"/>
      <c r="S30" s="21"/>
      <c r="T30" s="21"/>
      <c r="U30" s="21"/>
      <c r="V30" s="21"/>
      <c r="W30" s="68"/>
      <c r="X30" s="68"/>
      <c r="Y30" s="68"/>
      <c r="AC30" s="68"/>
      <c r="AD30" s="68"/>
      <c r="AE30" s="68"/>
    </row>
    <row r="31" spans="1:31" x14ac:dyDescent="0.25">
      <c r="A31" s="18" t="s">
        <v>15</v>
      </c>
      <c r="B31" s="16">
        <v>2</v>
      </c>
      <c r="C31" s="16" t="s">
        <v>53</v>
      </c>
      <c r="D31" s="16">
        <v>1</v>
      </c>
      <c r="E31" s="19" t="s">
        <v>56</v>
      </c>
      <c r="H31" s="16">
        <v>10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1</v>
      </c>
      <c r="C32" s="16" t="s">
        <v>53</v>
      </c>
      <c r="D32" s="16">
        <v>1</v>
      </c>
      <c r="E32" s="19" t="s">
        <v>56</v>
      </c>
      <c r="H32" s="16">
        <v>5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1</v>
      </c>
      <c r="C33" s="16" t="s">
        <v>53</v>
      </c>
      <c r="D33" s="16">
        <v>1</v>
      </c>
      <c r="E33" s="19" t="s">
        <v>4</v>
      </c>
      <c r="H33" s="16">
        <v>25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0</v>
      </c>
      <c r="C34" s="16" t="s">
        <v>53</v>
      </c>
      <c r="D34" s="16">
        <v>1</v>
      </c>
      <c r="E34" s="19" t="s">
        <v>15</v>
      </c>
      <c r="H34" s="16">
        <v>5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2</v>
      </c>
      <c r="C35" s="16" t="s">
        <v>53</v>
      </c>
      <c r="D35" s="16">
        <v>3</v>
      </c>
      <c r="E35" s="19" t="s">
        <v>4</v>
      </c>
      <c r="H35" s="16">
        <v>15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27" t="s">
        <v>61</v>
      </c>
      <c r="B36" s="127"/>
      <c r="C36" s="127"/>
      <c r="D36" s="127"/>
      <c r="E36" s="127"/>
      <c r="J36" s="17" t="str">
        <f>IF(Tabela!L9="","",Tabela!L9)</f>
        <v/>
      </c>
      <c r="K36" s="128" t="s">
        <v>61</v>
      </c>
      <c r="L36" s="128"/>
      <c r="M36" s="128"/>
      <c r="N36" s="128"/>
      <c r="O36" s="128"/>
    </row>
    <row r="37" spans="1:15" x14ac:dyDescent="0.25">
      <c r="A37" s="18" t="s">
        <v>23</v>
      </c>
      <c r="B37" s="16">
        <v>1</v>
      </c>
      <c r="C37" s="16" t="s">
        <v>53</v>
      </c>
      <c r="D37" s="16">
        <v>2</v>
      </c>
      <c r="E37" s="19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1</v>
      </c>
      <c r="C38" s="16" t="s">
        <v>53</v>
      </c>
      <c r="D38" s="16">
        <v>1</v>
      </c>
      <c r="E38" s="19" t="s">
        <v>10</v>
      </c>
      <c r="H38" s="16">
        <v>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2</v>
      </c>
      <c r="C39" s="16" t="s">
        <v>53</v>
      </c>
      <c r="D39" s="16">
        <v>0</v>
      </c>
      <c r="E39" s="19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3</v>
      </c>
      <c r="C40" s="16" t="s">
        <v>53</v>
      </c>
      <c r="D40" s="16">
        <v>1</v>
      </c>
      <c r="E40" s="19" t="s">
        <v>10</v>
      </c>
      <c r="H40" s="16">
        <v>15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2</v>
      </c>
      <c r="C41" s="16" t="s">
        <v>53</v>
      </c>
      <c r="D41" s="16">
        <v>1</v>
      </c>
      <c r="E41" s="19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0</v>
      </c>
      <c r="E42" s="19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27" t="s">
        <v>60</v>
      </c>
      <c r="B43" s="127"/>
      <c r="C43" s="127"/>
      <c r="D43" s="127"/>
      <c r="E43" s="127"/>
      <c r="J43" s="17" t="str">
        <f>IF(Tabela!L16="","",Tabela!L16)</f>
        <v/>
      </c>
      <c r="K43" s="128" t="s">
        <v>60</v>
      </c>
      <c r="L43" s="128"/>
      <c r="M43" s="128"/>
      <c r="N43" s="128"/>
      <c r="O43" s="128"/>
    </row>
    <row r="44" spans="1:15" x14ac:dyDescent="0.25">
      <c r="A44" s="18" t="s">
        <v>30</v>
      </c>
      <c r="B44" s="16">
        <v>1</v>
      </c>
      <c r="C44" s="16" t="s">
        <v>53</v>
      </c>
      <c r="D44" s="16">
        <v>1</v>
      </c>
      <c r="E44" s="19" t="s">
        <v>9</v>
      </c>
      <c r="H44" s="16">
        <v>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1</v>
      </c>
      <c r="C45" s="16" t="s">
        <v>53</v>
      </c>
      <c r="D45" s="16">
        <v>0</v>
      </c>
      <c r="E45" s="19" t="s">
        <v>29</v>
      </c>
      <c r="H45" s="16">
        <v>15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0</v>
      </c>
      <c r="E46" s="19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1</v>
      </c>
      <c r="E47" s="19" t="s">
        <v>30</v>
      </c>
      <c r="H47" s="16">
        <v>10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1</v>
      </c>
      <c r="E48" s="19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0</v>
      </c>
      <c r="E49" s="19" t="s">
        <v>30</v>
      </c>
      <c r="H49" s="16">
        <v>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27" t="s">
        <v>59</v>
      </c>
      <c r="B50" s="127"/>
      <c r="C50" s="127"/>
      <c r="D50" s="127"/>
      <c r="E50" s="127"/>
      <c r="J50" s="17" t="str">
        <f>IF(Tabela!L23="","",Tabela!L23)</f>
        <v/>
      </c>
      <c r="K50" s="128" t="s">
        <v>59</v>
      </c>
      <c r="L50" s="128"/>
      <c r="M50" s="128"/>
      <c r="N50" s="128"/>
      <c r="O50" s="128"/>
    </row>
    <row r="51" spans="1:15" x14ac:dyDescent="0.25">
      <c r="A51" s="18" t="s">
        <v>32</v>
      </c>
      <c r="B51" s="16">
        <v>2</v>
      </c>
      <c r="C51" s="16" t="s">
        <v>53</v>
      </c>
      <c r="D51" s="16">
        <v>1</v>
      </c>
      <c r="E51" s="19" t="s">
        <v>67</v>
      </c>
      <c r="H51" s="16">
        <v>0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2</v>
      </c>
      <c r="C52" s="16" t="s">
        <v>53</v>
      </c>
      <c r="D52" s="16">
        <v>0</v>
      </c>
      <c r="E52" s="19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1</v>
      </c>
      <c r="C53" s="16" t="s">
        <v>53</v>
      </c>
      <c r="D53" s="16">
        <v>0</v>
      </c>
      <c r="E53" s="19" t="s">
        <v>18</v>
      </c>
      <c r="H53" s="16">
        <v>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2</v>
      </c>
      <c r="C54" s="16" t="s">
        <v>53</v>
      </c>
      <c r="D54" s="16">
        <v>1</v>
      </c>
      <c r="E54" s="19" t="s">
        <v>32</v>
      </c>
      <c r="H54" s="16">
        <v>15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3</v>
      </c>
      <c r="E55" s="19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1</v>
      </c>
      <c r="E56" s="19" t="s">
        <v>32</v>
      </c>
      <c r="H56" s="16">
        <v>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145" t="s">
        <v>173</v>
      </c>
    </row>
    <row r="58" spans="1:15" x14ac:dyDescent="0.25">
      <c r="A58" s="135" t="str">
        <f>_xlfn.CONCAT(W2,A57)</f>
        <v>Josimar  - Oitavas de Final</v>
      </c>
      <c r="B58" s="135"/>
      <c r="C58" s="135"/>
      <c r="D58" s="135"/>
      <c r="E58" s="135"/>
      <c r="K58" s="136" t="s">
        <v>171</v>
      </c>
      <c r="L58" s="136"/>
      <c r="M58" s="136"/>
      <c r="N58" s="136"/>
      <c r="O58" s="136"/>
    </row>
    <row r="59" spans="1:15" x14ac:dyDescent="0.25">
      <c r="A59" s="66" t="s">
        <v>19</v>
      </c>
      <c r="B59" s="2">
        <v>3</v>
      </c>
      <c r="C59" s="2" t="s">
        <v>53</v>
      </c>
      <c r="D59" s="2">
        <v>0</v>
      </c>
      <c r="E59" s="65" t="s">
        <v>166</v>
      </c>
      <c r="H59" s="16">
        <v>15</v>
      </c>
      <c r="J59" s="17" t="str">
        <f>IF(Tabela!F32="","",Tabela!F32)</f>
        <v/>
      </c>
      <c r="K59" s="67" t="str">
        <f>Tabela!A32</f>
        <v>Holanda</v>
      </c>
      <c r="L59" s="67">
        <f>Tabela!B32</f>
        <v>3</v>
      </c>
      <c r="M59" s="67" t="str">
        <f>Tabela!C32</f>
        <v>X</v>
      </c>
      <c r="N59" s="67">
        <f>Tabela!D32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1</v>
      </c>
      <c r="E60" s="65" t="s">
        <v>6</v>
      </c>
      <c r="J60" s="17" t="str">
        <f>IF(Tabela!F33="","",Tabela!F33)</f>
        <v>N</v>
      </c>
      <c r="K60" s="67" t="str">
        <f>Tabela!A33</f>
        <v>Argentina</v>
      </c>
      <c r="L60" s="67">
        <f>Tabela!B33</f>
        <v>0</v>
      </c>
      <c r="M60" s="67" t="str">
        <f>Tabela!C33</f>
        <v>X</v>
      </c>
      <c r="N60" s="67">
        <f>Tabela!D33</f>
        <v>0</v>
      </c>
      <c r="O60" s="67" t="str">
        <f>Tabela!E33</f>
        <v>Austrália</v>
      </c>
    </row>
    <row r="61" spans="1:15" x14ac:dyDescent="0.25">
      <c r="A61" s="66" t="s">
        <v>22</v>
      </c>
      <c r="B61" s="2">
        <v>3</v>
      </c>
      <c r="C61" s="2" t="s">
        <v>53</v>
      </c>
      <c r="D61" s="2">
        <v>2</v>
      </c>
      <c r="E61" s="65" t="s">
        <v>12</v>
      </c>
      <c r="J61" s="17" t="str">
        <f>IF(Tabela!F34="","",Tabela!F34)</f>
        <v>N</v>
      </c>
      <c r="K61" s="67" t="str">
        <f>Tabela!A34</f>
        <v>Japão</v>
      </c>
      <c r="L61" s="67">
        <f>Tabela!B34</f>
        <v>0</v>
      </c>
      <c r="M61" s="67" t="str">
        <f>Tabela!C34</f>
        <v>X</v>
      </c>
      <c r="N61" s="67">
        <f>Tabela!D34</f>
        <v>0</v>
      </c>
      <c r="O61" s="67" t="str">
        <f>Tabela!E34</f>
        <v>Croácia</v>
      </c>
    </row>
    <row r="62" spans="1:15" x14ac:dyDescent="0.25">
      <c r="A62" s="66" t="s">
        <v>8</v>
      </c>
      <c r="B62" s="2">
        <v>3</v>
      </c>
      <c r="C62" s="2" t="s">
        <v>53</v>
      </c>
      <c r="D62" s="2">
        <v>0</v>
      </c>
      <c r="E62" s="65" t="s">
        <v>167</v>
      </c>
      <c r="J62" s="17" t="str">
        <f>IF(Tabela!F35="","",Tabela!F35)</f>
        <v>N</v>
      </c>
      <c r="K62" s="67" t="str">
        <f>Tabela!A35</f>
        <v>Brasil</v>
      </c>
      <c r="L62" s="67">
        <f>Tabela!B35</f>
        <v>0</v>
      </c>
      <c r="M62" s="67" t="str">
        <f>Tabela!C35</f>
        <v>X</v>
      </c>
      <c r="N62" s="67">
        <f>Tabela!D35</f>
        <v>0</v>
      </c>
      <c r="O62" s="67" t="str">
        <f>Tabela!E35</f>
        <v>Coréia</v>
      </c>
    </row>
    <row r="63" spans="1:15" x14ac:dyDescent="0.25">
      <c r="A63" s="66" t="s">
        <v>20</v>
      </c>
      <c r="B63" s="2">
        <v>2</v>
      </c>
      <c r="C63" s="2" t="s">
        <v>53</v>
      </c>
      <c r="D63" s="2">
        <v>1</v>
      </c>
      <c r="E63" s="65" t="s">
        <v>28</v>
      </c>
      <c r="J63" s="17" t="str">
        <f>IF(Tabela!F36="","",Tabela!F36)</f>
        <v>N</v>
      </c>
      <c r="K63" s="67" t="str">
        <f>Tabela!A36</f>
        <v>Inglaterra</v>
      </c>
      <c r="L63" s="67">
        <f>Tabela!B36</f>
        <v>0</v>
      </c>
      <c r="M63" s="67" t="str">
        <f>Tabela!C36</f>
        <v>X</v>
      </c>
      <c r="N63" s="67">
        <f>Tabela!D36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1</v>
      </c>
      <c r="C64" s="2" t="s">
        <v>53</v>
      </c>
      <c r="D64" s="2">
        <v>0</v>
      </c>
      <c r="E64" s="65" t="s">
        <v>26</v>
      </c>
      <c r="J64" s="17" t="str">
        <f>IF(Tabela!F37="","",Tabela!F37)</f>
        <v>N</v>
      </c>
      <c r="K64" s="67" t="str">
        <f>Tabela!A37</f>
        <v>França</v>
      </c>
      <c r="L64" s="67">
        <f>Tabela!B37</f>
        <v>0</v>
      </c>
      <c r="M64" s="67" t="str">
        <f>Tabela!C37</f>
        <v>X</v>
      </c>
      <c r="N64" s="67">
        <f>Tabela!D37</f>
        <v>0</v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4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7">
        <f>Tabela!B38</f>
        <v>0</v>
      </c>
      <c r="M65" s="67" t="str">
        <f>Tabela!C38</f>
        <v>X</v>
      </c>
      <c r="N65" s="67">
        <f>Tabela!D38</f>
        <v>0</v>
      </c>
      <c r="O65" s="67" t="str">
        <f>Tabela!E38</f>
        <v>Espanha</v>
      </c>
    </row>
    <row r="66" spans="1:15" x14ac:dyDescent="0.25">
      <c r="A66" s="66" t="s">
        <v>27</v>
      </c>
      <c r="B66" s="2">
        <v>3</v>
      </c>
      <c r="C66" s="2" t="s">
        <v>53</v>
      </c>
      <c r="D66" s="2">
        <v>2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7">
        <f>Tabela!B39</f>
        <v>0</v>
      </c>
      <c r="M66" s="67" t="str">
        <f>Tabela!C39</f>
        <v>X</v>
      </c>
      <c r="N66" s="67">
        <f>Tabela!D39</f>
        <v>0</v>
      </c>
      <c r="O66" s="67" t="str">
        <f>Tabela!E39</f>
        <v>Suíça</v>
      </c>
    </row>
  </sheetData>
  <mergeCells count="71">
    <mergeCell ref="A58:E58"/>
    <mergeCell ref="K58:O58"/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A1:E1"/>
    <mergeCell ref="A8:E8"/>
    <mergeCell ref="A15:E15"/>
    <mergeCell ref="A22:E22"/>
    <mergeCell ref="K1:O1"/>
    <mergeCell ref="K8:O8"/>
    <mergeCell ref="A2:E2"/>
    <mergeCell ref="K36:O36"/>
    <mergeCell ref="K43:O43"/>
    <mergeCell ref="K50:O50"/>
    <mergeCell ref="K29:O29"/>
    <mergeCell ref="A29:E29"/>
    <mergeCell ref="A36:E36"/>
    <mergeCell ref="A43:E43"/>
    <mergeCell ref="A50:E50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27:R27"/>
    <mergeCell ref="S27:T27"/>
    <mergeCell ref="U27:V27"/>
    <mergeCell ref="Q28:R28"/>
    <mergeCell ref="S28:T28"/>
    <mergeCell ref="U28:V2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87E5B8-7BE5-49ED-ABC5-FECA77748DB0}">
  <sheetPr codeName="Planilha21">
    <tabColor rgb="FF0070C0"/>
    <pageSetUpPr autoPageBreaks="0"/>
  </sheetPr>
  <dimension ref="A1:AE66"/>
  <sheetViews>
    <sheetView zoomScale="85" zoomScaleNormal="85" workbookViewId="0">
      <pane xSplit="15" ySplit="16" topLeftCell="P18" activePane="bottomRight" state="frozen"/>
      <selection pane="topRight" activeCell="P1" sqref="P1"/>
      <selection pane="bottomLeft" activeCell="A17" sqref="A17"/>
      <selection pane="bottomRight" activeCell="Q25" sqref="Q25:U25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0" width="5.7109375" style="54" customWidth="1"/>
    <col min="31" max="31" width="9.140625" style="54"/>
    <col min="32" max="16384" width="9.140625" style="17"/>
  </cols>
  <sheetData>
    <row r="1" spans="1:31" x14ac:dyDescent="0.25">
      <c r="A1" s="127" t="s">
        <v>58</v>
      </c>
      <c r="B1" s="127"/>
      <c r="C1" s="127"/>
      <c r="D1" s="127"/>
      <c r="E1" s="127"/>
      <c r="K1" s="128" t="s">
        <v>58</v>
      </c>
      <c r="L1" s="128"/>
      <c r="M1" s="128"/>
      <c r="N1" s="128"/>
      <c r="O1" s="128"/>
    </row>
    <row r="2" spans="1:31" x14ac:dyDescent="0.25">
      <c r="A2" s="133" t="s">
        <v>43</v>
      </c>
      <c r="B2" s="133"/>
      <c r="C2" s="133"/>
      <c r="D2" s="133"/>
      <c r="E2" s="133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31" t="s">
        <v>86</v>
      </c>
      <c r="X2" s="131"/>
      <c r="Y2" s="131"/>
      <c r="Z2" s="131"/>
      <c r="AA2" s="131"/>
      <c r="AB2" s="131"/>
      <c r="AC2" s="131"/>
      <c r="AD2" s="131"/>
      <c r="AE2" s="131"/>
    </row>
    <row r="3" spans="1:31" x14ac:dyDescent="0.25">
      <c r="A3" s="18" t="s">
        <v>28</v>
      </c>
      <c r="B3" s="16">
        <v>0</v>
      </c>
      <c r="C3" s="16" t="s">
        <v>53</v>
      </c>
      <c r="D3" s="16">
        <v>3</v>
      </c>
      <c r="E3" s="19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31"/>
      <c r="X3" s="131"/>
      <c r="Y3" s="131"/>
      <c r="Z3" s="131"/>
      <c r="AA3" s="131"/>
      <c r="AB3" s="131"/>
      <c r="AC3" s="131"/>
      <c r="AD3" s="131"/>
      <c r="AE3" s="131"/>
    </row>
    <row r="4" spans="1:31" x14ac:dyDescent="0.25">
      <c r="A4" s="18" t="s">
        <v>11</v>
      </c>
      <c r="B4" s="16">
        <v>0</v>
      </c>
      <c r="C4" s="16" t="s">
        <v>53</v>
      </c>
      <c r="D4" s="16">
        <v>2</v>
      </c>
      <c r="E4" s="19" t="s">
        <v>28</v>
      </c>
      <c r="H4" s="16">
        <v>10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31"/>
      <c r="X4" s="131"/>
      <c r="Y4" s="131"/>
      <c r="Z4" s="131"/>
      <c r="AA4" s="131"/>
      <c r="AB4" s="131"/>
      <c r="AC4" s="131"/>
      <c r="AD4" s="131"/>
      <c r="AE4" s="131"/>
    </row>
    <row r="5" spans="1:31" x14ac:dyDescent="0.25">
      <c r="A5" s="18" t="s">
        <v>19</v>
      </c>
      <c r="B5" s="16">
        <v>3</v>
      </c>
      <c r="C5" s="16" t="s">
        <v>53</v>
      </c>
      <c r="D5" s="16">
        <v>2</v>
      </c>
      <c r="E5" s="19" t="s">
        <v>14</v>
      </c>
      <c r="H5" s="16">
        <v>0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31"/>
      <c r="X5" s="131"/>
      <c r="Y5" s="131"/>
      <c r="Z5" s="131"/>
      <c r="AA5" s="131"/>
      <c r="AB5" s="131"/>
      <c r="AC5" s="131"/>
      <c r="AD5" s="131"/>
      <c r="AE5" s="131"/>
    </row>
    <row r="6" spans="1:31" x14ac:dyDescent="0.25">
      <c r="A6" s="18" t="s">
        <v>19</v>
      </c>
      <c r="B6" s="16">
        <v>5</v>
      </c>
      <c r="C6" s="16" t="s">
        <v>53</v>
      </c>
      <c r="D6" s="16">
        <v>0</v>
      </c>
      <c r="E6" s="19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31"/>
      <c r="X6" s="131"/>
      <c r="Y6" s="131"/>
      <c r="Z6" s="131"/>
      <c r="AA6" s="131"/>
      <c r="AB6" s="131"/>
      <c r="AC6" s="131"/>
      <c r="AD6" s="131"/>
      <c r="AE6" s="131"/>
    </row>
    <row r="7" spans="1:31" x14ac:dyDescent="0.25">
      <c r="A7" s="18" t="s">
        <v>14</v>
      </c>
      <c r="B7" s="16">
        <v>2</v>
      </c>
      <c r="C7" s="16" t="s">
        <v>53</v>
      </c>
      <c r="D7" s="16">
        <v>2</v>
      </c>
      <c r="E7" s="19" t="s">
        <v>28</v>
      </c>
      <c r="H7" s="16">
        <v>5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27" t="s">
        <v>65</v>
      </c>
      <c r="B8" s="127"/>
      <c r="C8" s="127"/>
      <c r="D8" s="127"/>
      <c r="E8" s="127"/>
      <c r="J8" s="17" t="str">
        <f>IF(Tabela!F9="","",Tabela!F9)</f>
        <v/>
      </c>
      <c r="K8" s="128" t="s">
        <v>65</v>
      </c>
      <c r="L8" s="128"/>
      <c r="M8" s="128"/>
      <c r="N8" s="128"/>
      <c r="O8" s="128"/>
    </row>
    <row r="9" spans="1:31" x14ac:dyDescent="0.25">
      <c r="A9" s="18" t="s">
        <v>20</v>
      </c>
      <c r="B9" s="16">
        <v>4</v>
      </c>
      <c r="C9" s="16" t="s">
        <v>53</v>
      </c>
      <c r="D9" s="16">
        <v>0</v>
      </c>
      <c r="E9" s="19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29" t="s">
        <v>66</v>
      </c>
      <c r="R9" s="129"/>
      <c r="S9" s="129"/>
      <c r="T9" s="129"/>
      <c r="U9" s="129"/>
      <c r="W9" s="68" t="s">
        <v>124</v>
      </c>
      <c r="X9" s="68"/>
      <c r="Y9" s="68"/>
      <c r="Z9" s="68"/>
      <c r="AA9" s="68"/>
      <c r="AB9" s="68"/>
      <c r="AC9" s="68"/>
      <c r="AD9" s="68"/>
      <c r="AE9" s="68"/>
    </row>
    <row r="10" spans="1:31" x14ac:dyDescent="0.25">
      <c r="A10" s="18" t="s">
        <v>54</v>
      </c>
      <c r="B10" s="16">
        <v>1</v>
      </c>
      <c r="C10" s="16" t="s">
        <v>53</v>
      </c>
      <c r="D10" s="16">
        <v>1</v>
      </c>
      <c r="E10" s="19" t="s">
        <v>34</v>
      </c>
      <c r="H10" s="16">
        <v>25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29"/>
      <c r="R10" s="129"/>
      <c r="S10" s="129"/>
      <c r="T10" s="129"/>
      <c r="U10" s="129"/>
      <c r="W10" s="68" t="s">
        <v>16</v>
      </c>
      <c r="X10" s="68"/>
      <c r="Y10" s="68"/>
      <c r="Z10" s="54">
        <v>1</v>
      </c>
      <c r="AB10" s="54">
        <v>1</v>
      </c>
      <c r="AC10" s="68" t="s">
        <v>34</v>
      </c>
      <c r="AD10" s="68"/>
      <c r="AE10" s="68"/>
    </row>
    <row r="11" spans="1:31" x14ac:dyDescent="0.25">
      <c r="A11" s="18" t="s">
        <v>34</v>
      </c>
      <c r="B11" s="16">
        <v>1</v>
      </c>
      <c r="C11" s="16" t="s">
        <v>53</v>
      </c>
      <c r="D11" s="16">
        <v>1</v>
      </c>
      <c r="E11" s="19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30">
        <f>SUM(H2:H66)</f>
        <v>395</v>
      </c>
      <c r="R11" s="130"/>
      <c r="S11" s="130"/>
      <c r="T11" s="130"/>
      <c r="U11" s="130"/>
      <c r="W11" s="68" t="s">
        <v>34</v>
      </c>
      <c r="X11" s="68"/>
      <c r="Y11" s="68"/>
      <c r="Z11" s="54">
        <v>0</v>
      </c>
      <c r="AB11" s="54">
        <v>3</v>
      </c>
      <c r="AC11" s="68" t="s">
        <v>20</v>
      </c>
      <c r="AD11" s="68"/>
      <c r="AE11" s="68"/>
    </row>
    <row r="12" spans="1:31" x14ac:dyDescent="0.25">
      <c r="A12" s="18" t="s">
        <v>20</v>
      </c>
      <c r="B12" s="16">
        <v>3</v>
      </c>
      <c r="C12" s="16" t="s">
        <v>53</v>
      </c>
      <c r="D12" s="16">
        <v>1</v>
      </c>
      <c r="E12" s="19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30"/>
      <c r="R12" s="130"/>
      <c r="S12" s="130"/>
      <c r="T12" s="130"/>
      <c r="U12" s="130"/>
      <c r="W12" s="68" t="s">
        <v>26</v>
      </c>
      <c r="X12" s="68"/>
      <c r="Y12" s="68"/>
      <c r="Z12" s="54">
        <v>2</v>
      </c>
      <c r="AB12" s="54">
        <v>0</v>
      </c>
      <c r="AC12" s="68" t="s">
        <v>55</v>
      </c>
      <c r="AD12" s="68"/>
      <c r="AE12" s="68"/>
    </row>
    <row r="13" spans="1:31" x14ac:dyDescent="0.25">
      <c r="A13" s="18" t="s">
        <v>21</v>
      </c>
      <c r="B13" s="16">
        <v>1</v>
      </c>
      <c r="C13" s="16" t="s">
        <v>53</v>
      </c>
      <c r="D13" s="16">
        <v>2</v>
      </c>
      <c r="E13" s="19" t="s">
        <v>54</v>
      </c>
      <c r="H13" s="16">
        <v>10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30"/>
      <c r="R13" s="130"/>
      <c r="S13" s="130"/>
      <c r="T13" s="130"/>
      <c r="U13" s="130"/>
      <c r="W13" s="68"/>
      <c r="X13" s="68"/>
      <c r="Y13" s="68"/>
      <c r="AC13" s="68"/>
      <c r="AD13" s="68"/>
      <c r="AE13" s="68"/>
    </row>
    <row r="14" spans="1:31" x14ac:dyDescent="0.25">
      <c r="A14" s="18" t="s">
        <v>34</v>
      </c>
      <c r="B14" s="16">
        <v>0</v>
      </c>
      <c r="C14" s="16" t="s">
        <v>53</v>
      </c>
      <c r="D14" s="16">
        <v>3</v>
      </c>
      <c r="E14" s="19" t="s">
        <v>20</v>
      </c>
      <c r="H14" s="16">
        <v>25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30"/>
      <c r="R14" s="130"/>
      <c r="S14" s="130"/>
      <c r="T14" s="130"/>
      <c r="U14" s="130"/>
      <c r="W14" s="68"/>
      <c r="X14" s="68"/>
      <c r="Y14" s="68"/>
      <c r="AC14" s="68"/>
      <c r="AD14" s="68"/>
      <c r="AE14" s="68"/>
    </row>
    <row r="15" spans="1:31" x14ac:dyDescent="0.25">
      <c r="A15" s="127" t="s">
        <v>64</v>
      </c>
      <c r="B15" s="127"/>
      <c r="C15" s="127"/>
      <c r="D15" s="127"/>
      <c r="E15" s="127"/>
      <c r="J15" s="17" t="str">
        <f>IF(Tabela!F16="","",Tabela!F16)</f>
        <v/>
      </c>
      <c r="K15" s="128" t="s">
        <v>64</v>
      </c>
      <c r="L15" s="128"/>
      <c r="M15" s="128"/>
      <c r="N15" s="128"/>
      <c r="O15" s="128"/>
      <c r="Q15" s="130"/>
      <c r="R15" s="130"/>
      <c r="S15" s="130"/>
      <c r="T15" s="130"/>
      <c r="U15" s="130"/>
      <c r="W15" s="68"/>
      <c r="X15" s="68"/>
      <c r="Y15" s="68"/>
      <c r="AC15" s="68"/>
      <c r="AD15" s="68"/>
      <c r="AE15" s="68"/>
    </row>
    <row r="16" spans="1:31" x14ac:dyDescent="0.25">
      <c r="A16" s="18" t="s">
        <v>5</v>
      </c>
      <c r="B16" s="16">
        <v>5</v>
      </c>
      <c r="C16" s="16" t="s">
        <v>53</v>
      </c>
      <c r="D16" s="16">
        <v>0</v>
      </c>
      <c r="E16" s="19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68"/>
      <c r="X16" s="68"/>
      <c r="Y16" s="68"/>
      <c r="AC16" s="68"/>
      <c r="AD16" s="68"/>
      <c r="AE16" s="68"/>
    </row>
    <row r="17" spans="1:31" x14ac:dyDescent="0.25">
      <c r="A17" s="18" t="s">
        <v>24</v>
      </c>
      <c r="B17" s="16">
        <v>2</v>
      </c>
      <c r="C17" s="16" t="s">
        <v>53</v>
      </c>
      <c r="D17" s="16">
        <v>2</v>
      </c>
      <c r="E17" s="19" t="s">
        <v>26</v>
      </c>
      <c r="H17" s="16">
        <v>10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68"/>
      <c r="X17" s="68"/>
      <c r="Y17" s="68"/>
      <c r="AC17" s="68"/>
      <c r="AD17" s="68"/>
      <c r="AE17" s="68"/>
    </row>
    <row r="18" spans="1:31" x14ac:dyDescent="0.25">
      <c r="A18" s="18" t="s">
        <v>26</v>
      </c>
      <c r="B18" s="16">
        <v>2</v>
      </c>
      <c r="C18" s="16" t="s">
        <v>53</v>
      </c>
      <c r="D18" s="16">
        <v>0</v>
      </c>
      <c r="E18" s="19" t="s">
        <v>55</v>
      </c>
      <c r="H18" s="16">
        <v>25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W18" s="68"/>
      <c r="X18" s="68"/>
      <c r="Y18" s="68"/>
      <c r="AC18" s="68"/>
      <c r="AD18" s="68"/>
      <c r="AE18" s="68"/>
    </row>
    <row r="19" spans="1:31" x14ac:dyDescent="0.25">
      <c r="A19" s="18" t="s">
        <v>5</v>
      </c>
      <c r="B19" s="16">
        <v>3</v>
      </c>
      <c r="C19" s="16" t="s">
        <v>53</v>
      </c>
      <c r="D19" s="16">
        <v>1</v>
      </c>
      <c r="E19" s="19" t="s">
        <v>24</v>
      </c>
      <c r="H19" s="16">
        <v>10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W19" s="68"/>
      <c r="X19" s="68"/>
      <c r="Y19" s="68"/>
      <c r="AC19" s="68"/>
      <c r="AD19" s="68"/>
      <c r="AE19" s="68"/>
    </row>
    <row r="20" spans="1:31" x14ac:dyDescent="0.25">
      <c r="A20" s="18" t="s">
        <v>26</v>
      </c>
      <c r="B20" s="16">
        <v>0</v>
      </c>
      <c r="C20" s="16" t="s">
        <v>53</v>
      </c>
      <c r="D20" s="16">
        <v>3</v>
      </c>
      <c r="E20" s="19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68"/>
      <c r="X20" s="68"/>
      <c r="Y20" s="68"/>
      <c r="AC20" s="68"/>
      <c r="AD20" s="68"/>
      <c r="AE20" s="68"/>
    </row>
    <row r="21" spans="1:31" x14ac:dyDescent="0.25">
      <c r="A21" s="18" t="s">
        <v>55</v>
      </c>
      <c r="B21" s="16">
        <v>0</v>
      </c>
      <c r="C21" s="16" t="s">
        <v>53</v>
      </c>
      <c r="D21" s="16">
        <v>2</v>
      </c>
      <c r="E21" s="19" t="s">
        <v>24</v>
      </c>
      <c r="H21" s="16">
        <v>15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W21" s="68"/>
      <c r="X21" s="68"/>
      <c r="Y21" s="68"/>
      <c r="AC21" s="68"/>
      <c r="AD21" s="68"/>
      <c r="AE21" s="68"/>
    </row>
    <row r="22" spans="1:31" x14ac:dyDescent="0.25">
      <c r="A22" s="127" t="s">
        <v>63</v>
      </c>
      <c r="B22" s="127"/>
      <c r="C22" s="127"/>
      <c r="D22" s="127"/>
      <c r="E22" s="127"/>
      <c r="J22" s="17" t="str">
        <f>IF(Tabela!F23="","",Tabela!F23)</f>
        <v/>
      </c>
      <c r="K22" s="128" t="s">
        <v>63</v>
      </c>
      <c r="L22" s="128"/>
      <c r="M22" s="128"/>
      <c r="N22" s="128"/>
      <c r="O22" s="128"/>
      <c r="W22" s="68"/>
      <c r="X22" s="68"/>
      <c r="Y22" s="68"/>
      <c r="AC22" s="68"/>
      <c r="AD22" s="68"/>
      <c r="AE22" s="68"/>
    </row>
    <row r="23" spans="1:31" x14ac:dyDescent="0.25">
      <c r="A23" s="18" t="s">
        <v>13</v>
      </c>
      <c r="B23" s="16">
        <v>3</v>
      </c>
      <c r="C23" s="16" t="s">
        <v>53</v>
      </c>
      <c r="D23" s="16">
        <v>1</v>
      </c>
      <c r="E23" s="19" t="s">
        <v>31</v>
      </c>
      <c r="H23" s="16">
        <v>0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68"/>
      <c r="X23" s="68"/>
      <c r="Y23" s="68"/>
      <c r="AC23" s="68"/>
      <c r="AD23" s="68"/>
      <c r="AE23" s="68"/>
    </row>
    <row r="24" spans="1:31" x14ac:dyDescent="0.25">
      <c r="A24" s="18" t="s">
        <v>17</v>
      </c>
      <c r="B24" s="16">
        <v>3</v>
      </c>
      <c r="C24" s="16" t="s">
        <v>53</v>
      </c>
      <c r="D24" s="16">
        <v>0</v>
      </c>
      <c r="E24" s="19" t="s">
        <v>6</v>
      </c>
      <c r="H24" s="16">
        <v>10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Q24" s="17">
        <v>25</v>
      </c>
      <c r="R24" s="17">
        <v>15</v>
      </c>
      <c r="S24" s="17">
        <v>10</v>
      </c>
      <c r="T24" s="17">
        <v>5</v>
      </c>
      <c r="U24" s="17">
        <v>0</v>
      </c>
      <c r="W24" s="68"/>
      <c r="X24" s="68"/>
      <c r="Y24" s="68"/>
      <c r="AC24" s="68"/>
      <c r="AD24" s="68"/>
      <c r="AE24" s="68"/>
    </row>
    <row r="25" spans="1:31" x14ac:dyDescent="0.25">
      <c r="A25" s="18" t="s">
        <v>31</v>
      </c>
      <c r="B25" s="16">
        <v>1</v>
      </c>
      <c r="C25" s="16" t="s">
        <v>53</v>
      </c>
      <c r="D25" s="16">
        <v>1</v>
      </c>
      <c r="E25" s="19" t="s">
        <v>6</v>
      </c>
      <c r="H25" s="16">
        <v>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Q25" s="22">
        <v>3</v>
      </c>
      <c r="R25" s="22">
        <v>10</v>
      </c>
      <c r="S25" s="22">
        <v>14</v>
      </c>
      <c r="T25" s="22">
        <v>6</v>
      </c>
      <c r="U25" s="22">
        <v>15</v>
      </c>
      <c r="W25" s="68"/>
      <c r="X25" s="68"/>
      <c r="Y25" s="68"/>
      <c r="AC25" s="68"/>
      <c r="AD25" s="68"/>
      <c r="AE25" s="68"/>
    </row>
    <row r="26" spans="1:31" x14ac:dyDescent="0.25">
      <c r="A26" s="18" t="s">
        <v>17</v>
      </c>
      <c r="B26" s="16">
        <v>2</v>
      </c>
      <c r="C26" s="16" t="s">
        <v>53</v>
      </c>
      <c r="D26" s="16">
        <v>0</v>
      </c>
      <c r="E26" s="19" t="s">
        <v>13</v>
      </c>
      <c r="H26" s="16">
        <v>15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68"/>
      <c r="X26" s="68"/>
      <c r="Y26" s="68"/>
      <c r="AC26" s="68"/>
      <c r="AD26" s="68"/>
      <c r="AE26" s="68"/>
    </row>
    <row r="27" spans="1:31" x14ac:dyDescent="0.25">
      <c r="A27" s="18" t="s">
        <v>31</v>
      </c>
      <c r="B27" s="16">
        <v>0</v>
      </c>
      <c r="C27" s="16" t="s">
        <v>53</v>
      </c>
      <c r="D27" s="16">
        <v>4</v>
      </c>
      <c r="E27" s="19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Q27" s="124" t="s">
        <v>42</v>
      </c>
      <c r="R27" s="124"/>
      <c r="S27" s="125" t="s">
        <v>8</v>
      </c>
      <c r="T27" s="125"/>
      <c r="U27" s="125" t="s">
        <v>17</v>
      </c>
      <c r="V27" s="125"/>
      <c r="W27" s="68"/>
      <c r="X27" s="68"/>
      <c r="Y27" s="68"/>
      <c r="AC27" s="68"/>
      <c r="AD27" s="68"/>
      <c r="AE27" s="68"/>
    </row>
    <row r="28" spans="1:31" x14ac:dyDescent="0.25">
      <c r="A28" s="18" t="s">
        <v>6</v>
      </c>
      <c r="B28" s="16">
        <v>1</v>
      </c>
      <c r="C28" s="16" t="s">
        <v>53</v>
      </c>
      <c r="D28" s="16">
        <v>2</v>
      </c>
      <c r="E28" s="19" t="s">
        <v>13</v>
      </c>
      <c r="H28" s="16">
        <v>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Q28" s="124" t="s">
        <v>41</v>
      </c>
      <c r="R28" s="124"/>
      <c r="S28" s="126" t="s">
        <v>127</v>
      </c>
      <c r="T28" s="126"/>
      <c r="U28" s="126" t="s">
        <v>128</v>
      </c>
      <c r="V28" s="126"/>
      <c r="W28" s="68"/>
      <c r="X28" s="68"/>
      <c r="Y28" s="68"/>
      <c r="AC28" s="68"/>
      <c r="AD28" s="68"/>
      <c r="AE28" s="68"/>
    </row>
    <row r="29" spans="1:31" x14ac:dyDescent="0.25">
      <c r="A29" s="127" t="s">
        <v>62</v>
      </c>
      <c r="B29" s="127"/>
      <c r="C29" s="127"/>
      <c r="D29" s="127"/>
      <c r="E29" s="127"/>
      <c r="K29" s="128" t="s">
        <v>62</v>
      </c>
      <c r="L29" s="128"/>
      <c r="M29" s="128"/>
      <c r="N29" s="128"/>
      <c r="O29" s="128"/>
      <c r="W29" s="68"/>
      <c r="X29" s="68"/>
      <c r="Y29" s="68"/>
      <c r="AC29" s="68"/>
      <c r="AD29" s="68"/>
      <c r="AE29" s="68"/>
    </row>
    <row r="30" spans="1:31" x14ac:dyDescent="0.25">
      <c r="A30" s="18" t="s">
        <v>4</v>
      </c>
      <c r="B30" s="16">
        <v>2</v>
      </c>
      <c r="C30" s="16" t="s">
        <v>53</v>
      </c>
      <c r="D30" s="16">
        <v>0</v>
      </c>
      <c r="E30" s="19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68"/>
      <c r="X30" s="68"/>
      <c r="Y30" s="68"/>
      <c r="AC30" s="68"/>
      <c r="AD30" s="68"/>
      <c r="AE30" s="68"/>
    </row>
    <row r="31" spans="1:31" x14ac:dyDescent="0.25">
      <c r="A31" s="18" t="s">
        <v>15</v>
      </c>
      <c r="B31" s="16">
        <v>4</v>
      </c>
      <c r="C31" s="16" t="s">
        <v>53</v>
      </c>
      <c r="D31" s="16">
        <v>1</v>
      </c>
      <c r="E31" s="19" t="s">
        <v>56</v>
      </c>
      <c r="H31" s="16">
        <v>10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2</v>
      </c>
      <c r="C32" s="16" t="s">
        <v>53</v>
      </c>
      <c r="D32" s="16">
        <v>0</v>
      </c>
      <c r="E32" s="19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2</v>
      </c>
      <c r="C33" s="16" t="s">
        <v>53</v>
      </c>
      <c r="D33" s="16">
        <v>2</v>
      </c>
      <c r="E33" s="19" t="s">
        <v>4</v>
      </c>
      <c r="H33" s="16">
        <v>10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0</v>
      </c>
      <c r="C34" s="16" t="s">
        <v>53</v>
      </c>
      <c r="D34" s="16">
        <v>2</v>
      </c>
      <c r="E34" s="19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0</v>
      </c>
      <c r="C35" s="16" t="s">
        <v>53</v>
      </c>
      <c r="D35" s="16">
        <v>5</v>
      </c>
      <c r="E35" s="19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27" t="s">
        <v>61</v>
      </c>
      <c r="B36" s="127"/>
      <c r="C36" s="127"/>
      <c r="D36" s="127"/>
      <c r="E36" s="127"/>
      <c r="J36" s="17" t="str">
        <f>IF(Tabela!L9="","",Tabela!L9)</f>
        <v/>
      </c>
      <c r="K36" s="128" t="s">
        <v>61</v>
      </c>
      <c r="L36" s="128"/>
      <c r="M36" s="128"/>
      <c r="N36" s="128"/>
      <c r="O36" s="128"/>
    </row>
    <row r="37" spans="1:15" x14ac:dyDescent="0.25">
      <c r="A37" s="18" t="s">
        <v>23</v>
      </c>
      <c r="B37" s="16">
        <v>1</v>
      </c>
      <c r="C37" s="16" t="s">
        <v>53</v>
      </c>
      <c r="D37" s="16">
        <v>2</v>
      </c>
      <c r="E37" s="19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2</v>
      </c>
      <c r="C38" s="16" t="s">
        <v>53</v>
      </c>
      <c r="D38" s="16">
        <v>1</v>
      </c>
      <c r="E38" s="19" t="s">
        <v>10</v>
      </c>
      <c r="H38" s="16">
        <v>10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3</v>
      </c>
      <c r="C39" s="16" t="s">
        <v>53</v>
      </c>
      <c r="D39" s="16">
        <v>1</v>
      </c>
      <c r="E39" s="19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2</v>
      </c>
      <c r="C40" s="16" t="s">
        <v>53</v>
      </c>
      <c r="D40" s="16">
        <v>1</v>
      </c>
      <c r="E40" s="19" t="s">
        <v>10</v>
      </c>
      <c r="H40" s="16">
        <v>15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2</v>
      </c>
      <c r="C41" s="16" t="s">
        <v>53</v>
      </c>
      <c r="D41" s="16">
        <v>2</v>
      </c>
      <c r="E41" s="19" t="s">
        <v>7</v>
      </c>
      <c r="H41" s="16">
        <v>10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1</v>
      </c>
      <c r="E42" s="19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27" t="s">
        <v>60</v>
      </c>
      <c r="B43" s="127"/>
      <c r="C43" s="127"/>
      <c r="D43" s="127"/>
      <c r="E43" s="127"/>
      <c r="J43" s="17" t="str">
        <f>IF(Tabela!L16="","",Tabela!L16)</f>
        <v/>
      </c>
      <c r="K43" s="128" t="s">
        <v>60</v>
      </c>
      <c r="L43" s="128"/>
      <c r="M43" s="128"/>
      <c r="N43" s="128"/>
      <c r="O43" s="128"/>
    </row>
    <row r="44" spans="1:15" x14ac:dyDescent="0.25">
      <c r="A44" s="18" t="s">
        <v>30</v>
      </c>
      <c r="B44" s="16">
        <v>2</v>
      </c>
      <c r="C44" s="16" t="s">
        <v>53</v>
      </c>
      <c r="D44" s="16">
        <v>1</v>
      </c>
      <c r="E44" s="19" t="s">
        <v>9</v>
      </c>
      <c r="H44" s="16">
        <v>10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3</v>
      </c>
      <c r="C45" s="16" t="s">
        <v>53</v>
      </c>
      <c r="D45" s="16">
        <v>1</v>
      </c>
      <c r="E45" s="19" t="s">
        <v>29</v>
      </c>
      <c r="H45" s="16">
        <v>10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3</v>
      </c>
      <c r="E46" s="19" t="s">
        <v>29</v>
      </c>
      <c r="H46" s="16">
        <v>5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0</v>
      </c>
      <c r="E47" s="19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4</v>
      </c>
      <c r="E48" s="19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1</v>
      </c>
      <c r="E49" s="19" t="s">
        <v>30</v>
      </c>
      <c r="H49" s="16">
        <v>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27" t="s">
        <v>59</v>
      </c>
      <c r="B50" s="127"/>
      <c r="C50" s="127"/>
      <c r="D50" s="127"/>
      <c r="E50" s="127"/>
      <c r="J50" s="17" t="str">
        <f>IF(Tabela!L23="","",Tabela!L23)</f>
        <v/>
      </c>
      <c r="K50" s="128" t="s">
        <v>59</v>
      </c>
      <c r="L50" s="128"/>
      <c r="M50" s="128"/>
      <c r="N50" s="128"/>
      <c r="O50" s="128"/>
    </row>
    <row r="51" spans="1:15" x14ac:dyDescent="0.25">
      <c r="A51" s="18" t="s">
        <v>32</v>
      </c>
      <c r="B51" s="16">
        <v>2</v>
      </c>
      <c r="C51" s="16" t="s">
        <v>53</v>
      </c>
      <c r="D51" s="16">
        <v>1</v>
      </c>
      <c r="E51" s="19" t="s">
        <v>67</v>
      </c>
      <c r="H51" s="16">
        <v>0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3</v>
      </c>
      <c r="C52" s="16" t="s">
        <v>53</v>
      </c>
      <c r="D52" s="16">
        <v>0</v>
      </c>
      <c r="E52" s="19" t="s">
        <v>18</v>
      </c>
      <c r="H52" s="16">
        <v>15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2</v>
      </c>
      <c r="C53" s="16" t="s">
        <v>53</v>
      </c>
      <c r="D53" s="16">
        <v>2</v>
      </c>
      <c r="E53" s="19" t="s">
        <v>18</v>
      </c>
      <c r="H53" s="16">
        <v>5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3</v>
      </c>
      <c r="C54" s="16" t="s">
        <v>53</v>
      </c>
      <c r="D54" s="16">
        <v>1</v>
      </c>
      <c r="E54" s="19" t="s">
        <v>32</v>
      </c>
      <c r="H54" s="16">
        <v>10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4</v>
      </c>
      <c r="E55" s="19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2</v>
      </c>
      <c r="E56" s="19" t="s">
        <v>32</v>
      </c>
      <c r="H56" s="16">
        <v>15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145" t="s">
        <v>173</v>
      </c>
    </row>
    <row r="58" spans="1:15" x14ac:dyDescent="0.25">
      <c r="A58" s="135" t="str">
        <f>_xlfn.CONCAT(W2,A57)</f>
        <v>Julio - Oitavas de Final</v>
      </c>
      <c r="B58" s="135"/>
      <c r="C58" s="135"/>
      <c r="D58" s="135"/>
      <c r="E58" s="135"/>
      <c r="K58" s="136" t="s">
        <v>171</v>
      </c>
      <c r="L58" s="136"/>
      <c r="M58" s="136"/>
      <c r="N58" s="136"/>
      <c r="O58" s="136"/>
    </row>
    <row r="59" spans="1:15" x14ac:dyDescent="0.25">
      <c r="A59" s="66" t="s">
        <v>19</v>
      </c>
      <c r="B59" s="2">
        <v>2</v>
      </c>
      <c r="C59" s="2" t="s">
        <v>53</v>
      </c>
      <c r="D59" s="2">
        <v>1</v>
      </c>
      <c r="E59" s="65" t="s">
        <v>166</v>
      </c>
      <c r="H59" s="16">
        <v>15</v>
      </c>
      <c r="J59" s="17" t="str">
        <f>IF(Tabela!F32="","",Tabela!F32)</f>
        <v/>
      </c>
      <c r="K59" s="67" t="str">
        <f>Tabela!A32</f>
        <v>Holanda</v>
      </c>
      <c r="L59" s="67">
        <f>Tabela!B32</f>
        <v>3</v>
      </c>
      <c r="M59" s="67" t="str">
        <f>Tabela!C32</f>
        <v>X</v>
      </c>
      <c r="N59" s="67">
        <f>Tabela!D32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0</v>
      </c>
      <c r="E60" s="65" t="s">
        <v>6</v>
      </c>
      <c r="J60" s="17" t="str">
        <f>IF(Tabela!F33="","",Tabela!F33)</f>
        <v>N</v>
      </c>
      <c r="K60" s="67" t="str">
        <f>Tabela!A33</f>
        <v>Argentina</v>
      </c>
      <c r="L60" s="67">
        <f>Tabela!B33</f>
        <v>0</v>
      </c>
      <c r="M60" s="67" t="str">
        <f>Tabela!C33</f>
        <v>X</v>
      </c>
      <c r="N60" s="67">
        <f>Tabela!D33</f>
        <v>0</v>
      </c>
      <c r="O60" s="67" t="str">
        <f>Tabela!E33</f>
        <v>Austrália</v>
      </c>
    </row>
    <row r="61" spans="1:15" x14ac:dyDescent="0.25">
      <c r="A61" s="66" t="s">
        <v>22</v>
      </c>
      <c r="B61" s="2">
        <v>1</v>
      </c>
      <c r="C61" s="2" t="s">
        <v>53</v>
      </c>
      <c r="D61" s="2">
        <v>0</v>
      </c>
      <c r="E61" s="65" t="s">
        <v>12</v>
      </c>
      <c r="J61" s="17" t="str">
        <f>IF(Tabela!F34="","",Tabela!F34)</f>
        <v>N</v>
      </c>
      <c r="K61" s="67" t="str">
        <f>Tabela!A34</f>
        <v>Japão</v>
      </c>
      <c r="L61" s="67">
        <f>Tabela!B34</f>
        <v>0</v>
      </c>
      <c r="M61" s="67" t="str">
        <f>Tabela!C34</f>
        <v>X</v>
      </c>
      <c r="N61" s="67">
        <f>Tabela!D34</f>
        <v>0</v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0</v>
      </c>
      <c r="E62" s="65" t="s">
        <v>167</v>
      </c>
      <c r="J62" s="17" t="str">
        <f>IF(Tabela!F35="","",Tabela!F35)</f>
        <v>N</v>
      </c>
      <c r="K62" s="67" t="str">
        <f>Tabela!A35</f>
        <v>Brasil</v>
      </c>
      <c r="L62" s="67">
        <f>Tabela!B35</f>
        <v>0</v>
      </c>
      <c r="M62" s="67" t="str">
        <f>Tabela!C35</f>
        <v>X</v>
      </c>
      <c r="N62" s="67">
        <f>Tabela!D35</f>
        <v>0</v>
      </c>
      <c r="O62" s="67" t="str">
        <f>Tabela!E35</f>
        <v>Coréia</v>
      </c>
    </row>
    <row r="63" spans="1:15" x14ac:dyDescent="0.25">
      <c r="A63" s="66" t="s">
        <v>20</v>
      </c>
      <c r="B63" s="2">
        <v>2</v>
      </c>
      <c r="C63" s="2" t="s">
        <v>53</v>
      </c>
      <c r="D63" s="2">
        <v>1</v>
      </c>
      <c r="E63" s="65" t="s">
        <v>28</v>
      </c>
      <c r="J63" s="17" t="str">
        <f>IF(Tabela!F36="","",Tabela!F36)</f>
        <v>N</v>
      </c>
      <c r="K63" s="67" t="str">
        <f>Tabela!A36</f>
        <v>Inglaterra</v>
      </c>
      <c r="L63" s="67">
        <f>Tabela!B36</f>
        <v>0</v>
      </c>
      <c r="M63" s="67" t="str">
        <f>Tabela!C36</f>
        <v>X</v>
      </c>
      <c r="N63" s="67">
        <f>Tabela!D36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2</v>
      </c>
      <c r="C64" s="2" t="s">
        <v>53</v>
      </c>
      <c r="D64" s="2">
        <v>0</v>
      </c>
      <c r="E64" s="65" t="s">
        <v>26</v>
      </c>
      <c r="J64" s="17" t="str">
        <f>IF(Tabela!F37="","",Tabela!F37)</f>
        <v>N</v>
      </c>
      <c r="K64" s="67" t="str">
        <f>Tabela!A37</f>
        <v>França</v>
      </c>
      <c r="L64" s="67">
        <f>Tabela!B37</f>
        <v>0</v>
      </c>
      <c r="M64" s="67" t="str">
        <f>Tabela!C37</f>
        <v>X</v>
      </c>
      <c r="N64" s="67">
        <f>Tabela!D37</f>
        <v>0</v>
      </c>
      <c r="O64" s="67" t="str">
        <f>Tabela!E37</f>
        <v>Polônia</v>
      </c>
    </row>
    <row r="65" spans="1:15" x14ac:dyDescent="0.25">
      <c r="A65" s="66" t="s">
        <v>23</v>
      </c>
      <c r="B65" s="2">
        <v>0</v>
      </c>
      <c r="C65" s="2" t="s">
        <v>53</v>
      </c>
      <c r="D65" s="2">
        <v>2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7">
        <f>Tabela!B38</f>
        <v>0</v>
      </c>
      <c r="M65" s="67" t="str">
        <f>Tabela!C38</f>
        <v>X</v>
      </c>
      <c r="N65" s="67">
        <f>Tabela!D38</f>
        <v>0</v>
      </c>
      <c r="O65" s="67" t="str">
        <f>Tabela!E38</f>
        <v>Espanha</v>
      </c>
    </row>
    <row r="66" spans="1:15" x14ac:dyDescent="0.25">
      <c r="A66" s="66" t="s">
        <v>27</v>
      </c>
      <c r="B66" s="2">
        <v>2</v>
      </c>
      <c r="C66" s="2" t="s">
        <v>53</v>
      </c>
      <c r="D66" s="2">
        <v>1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7">
        <f>Tabela!B39</f>
        <v>0</v>
      </c>
      <c r="M66" s="67" t="str">
        <f>Tabela!C39</f>
        <v>X</v>
      </c>
      <c r="N66" s="67">
        <f>Tabela!D39</f>
        <v>0</v>
      </c>
      <c r="O66" s="67" t="str">
        <f>Tabela!E39</f>
        <v>Suíça</v>
      </c>
    </row>
  </sheetData>
  <mergeCells count="71">
    <mergeCell ref="A58:E58"/>
    <mergeCell ref="K58:O58"/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A1:E1"/>
    <mergeCell ref="A8:E8"/>
    <mergeCell ref="A15:E15"/>
    <mergeCell ref="A22:E22"/>
    <mergeCell ref="K1:O1"/>
    <mergeCell ref="K8:O8"/>
    <mergeCell ref="A2:E2"/>
    <mergeCell ref="K36:O36"/>
    <mergeCell ref="K43:O43"/>
    <mergeCell ref="K50:O50"/>
    <mergeCell ref="K29:O29"/>
    <mergeCell ref="A29:E29"/>
    <mergeCell ref="A36:E36"/>
    <mergeCell ref="A43:E43"/>
    <mergeCell ref="A50:E50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27:R27"/>
    <mergeCell ref="S27:T27"/>
    <mergeCell ref="U27:V27"/>
    <mergeCell ref="Q28:R28"/>
    <mergeCell ref="S28:T28"/>
    <mergeCell ref="U28:V2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7E6F08-332F-46CB-8F96-3E27ACE724EC}">
  <sheetPr codeName="Planilha22">
    <tabColor rgb="FF0070C0"/>
  </sheetPr>
  <dimension ref="A1:AE66"/>
  <sheetViews>
    <sheetView zoomScale="85" zoomScaleNormal="85" workbookViewId="0">
      <pane xSplit="15" ySplit="16" topLeftCell="P18" activePane="bottomRight" state="frozen"/>
      <selection pane="topRight" activeCell="P1" sqref="P1"/>
      <selection pane="bottomLeft" activeCell="A17" sqref="A17"/>
      <selection pane="bottomRight" activeCell="Q25" sqref="Q25:U25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6" width="5.7109375" style="17" customWidth="1"/>
    <col min="37" max="16384" width="9.140625" style="17"/>
  </cols>
  <sheetData>
    <row r="1" spans="1:31" x14ac:dyDescent="0.25">
      <c r="A1" s="127" t="s">
        <v>58</v>
      </c>
      <c r="B1" s="127"/>
      <c r="C1" s="127"/>
      <c r="D1" s="127"/>
      <c r="E1" s="127"/>
      <c r="K1" s="128" t="s">
        <v>58</v>
      </c>
      <c r="L1" s="128"/>
      <c r="M1" s="128"/>
      <c r="N1" s="128"/>
      <c r="O1" s="128"/>
    </row>
    <row r="2" spans="1:31" x14ac:dyDescent="0.25">
      <c r="A2" s="133" t="s">
        <v>43</v>
      </c>
      <c r="B2" s="133"/>
      <c r="C2" s="133"/>
      <c r="D2" s="133"/>
      <c r="E2" s="133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31" t="s">
        <v>87</v>
      </c>
      <c r="X2" s="131"/>
      <c r="Y2" s="131"/>
      <c r="Z2" s="131"/>
      <c r="AA2" s="131"/>
      <c r="AB2" s="131"/>
      <c r="AC2" s="131"/>
      <c r="AD2" s="131"/>
      <c r="AE2" s="131"/>
    </row>
    <row r="3" spans="1:31" x14ac:dyDescent="0.25">
      <c r="A3" s="18" t="s">
        <v>28</v>
      </c>
      <c r="B3" s="16">
        <v>0</v>
      </c>
      <c r="C3" s="16" t="s">
        <v>53</v>
      </c>
      <c r="D3" s="16">
        <v>2</v>
      </c>
      <c r="E3" s="19" t="s">
        <v>19</v>
      </c>
      <c r="H3" s="16">
        <v>25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31"/>
      <c r="X3" s="131"/>
      <c r="Y3" s="131"/>
      <c r="Z3" s="131"/>
      <c r="AA3" s="131"/>
      <c r="AB3" s="131"/>
      <c r="AC3" s="131"/>
      <c r="AD3" s="131"/>
      <c r="AE3" s="131"/>
    </row>
    <row r="4" spans="1:31" x14ac:dyDescent="0.25">
      <c r="A4" s="18" t="s">
        <v>11</v>
      </c>
      <c r="B4" s="16">
        <v>0</v>
      </c>
      <c r="C4" s="16" t="s">
        <v>53</v>
      </c>
      <c r="D4" s="16">
        <v>1</v>
      </c>
      <c r="E4" s="19" t="s">
        <v>28</v>
      </c>
      <c r="H4" s="16">
        <v>10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31"/>
      <c r="X4" s="131"/>
      <c r="Y4" s="131"/>
      <c r="Z4" s="131"/>
      <c r="AA4" s="131"/>
      <c r="AB4" s="131"/>
      <c r="AC4" s="131"/>
      <c r="AD4" s="131"/>
      <c r="AE4" s="131"/>
    </row>
    <row r="5" spans="1:31" x14ac:dyDescent="0.25">
      <c r="A5" s="18" t="s">
        <v>19</v>
      </c>
      <c r="B5" s="16">
        <v>1</v>
      </c>
      <c r="C5" s="16" t="s">
        <v>53</v>
      </c>
      <c r="D5" s="16">
        <v>1</v>
      </c>
      <c r="E5" s="19" t="s">
        <v>14</v>
      </c>
      <c r="H5" s="16">
        <v>25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31"/>
      <c r="X5" s="131"/>
      <c r="Y5" s="131"/>
      <c r="Z5" s="131"/>
      <c r="AA5" s="131"/>
      <c r="AB5" s="131"/>
      <c r="AC5" s="131"/>
      <c r="AD5" s="131"/>
      <c r="AE5" s="131"/>
    </row>
    <row r="6" spans="1:31" x14ac:dyDescent="0.25">
      <c r="A6" s="18" t="s">
        <v>19</v>
      </c>
      <c r="B6" s="16">
        <v>3</v>
      </c>
      <c r="C6" s="16" t="s">
        <v>53</v>
      </c>
      <c r="D6" s="16">
        <v>0</v>
      </c>
      <c r="E6" s="19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31"/>
      <c r="X6" s="131"/>
      <c r="Y6" s="131"/>
      <c r="Z6" s="131"/>
      <c r="AA6" s="131"/>
      <c r="AB6" s="131"/>
      <c r="AC6" s="131"/>
      <c r="AD6" s="131"/>
      <c r="AE6" s="131"/>
    </row>
    <row r="7" spans="1:31" x14ac:dyDescent="0.25">
      <c r="A7" s="18" t="s">
        <v>14</v>
      </c>
      <c r="B7" s="16">
        <v>2</v>
      </c>
      <c r="C7" s="16" t="s">
        <v>53</v>
      </c>
      <c r="D7" s="16">
        <v>0</v>
      </c>
      <c r="E7" s="19" t="s">
        <v>28</v>
      </c>
      <c r="H7" s="16">
        <v>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27" t="s">
        <v>65</v>
      </c>
      <c r="B8" s="127"/>
      <c r="C8" s="127"/>
      <c r="D8" s="127"/>
      <c r="E8" s="127"/>
      <c r="J8" s="17" t="str">
        <f>IF(Tabela!F9="","",Tabela!F9)</f>
        <v/>
      </c>
      <c r="K8" s="128" t="s">
        <v>65</v>
      </c>
      <c r="L8" s="128"/>
      <c r="M8" s="128"/>
      <c r="N8" s="128"/>
      <c r="O8" s="128"/>
    </row>
    <row r="9" spans="1:31" x14ac:dyDescent="0.25">
      <c r="A9" s="18" t="s">
        <v>20</v>
      </c>
      <c r="B9" s="16">
        <v>2</v>
      </c>
      <c r="C9" s="16" t="s">
        <v>53</v>
      </c>
      <c r="D9" s="16">
        <v>0</v>
      </c>
      <c r="E9" s="19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29" t="s">
        <v>66</v>
      </c>
      <c r="R9" s="129"/>
      <c r="S9" s="129"/>
      <c r="T9" s="129"/>
      <c r="U9" s="129"/>
      <c r="W9" s="68" t="s">
        <v>124</v>
      </c>
      <c r="X9" s="68"/>
      <c r="Y9" s="68"/>
      <c r="Z9" s="68"/>
      <c r="AA9" s="68"/>
      <c r="AB9" s="68"/>
      <c r="AC9" s="68"/>
      <c r="AD9" s="68"/>
      <c r="AE9" s="68"/>
    </row>
    <row r="10" spans="1:31" x14ac:dyDescent="0.25">
      <c r="A10" s="18" t="s">
        <v>54</v>
      </c>
      <c r="B10" s="16">
        <v>0</v>
      </c>
      <c r="C10" s="16" t="s">
        <v>53</v>
      </c>
      <c r="D10" s="16">
        <v>0</v>
      </c>
      <c r="E10" s="19" t="s">
        <v>34</v>
      </c>
      <c r="H10" s="16">
        <v>10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29"/>
      <c r="R10" s="129"/>
      <c r="S10" s="129"/>
      <c r="T10" s="129"/>
      <c r="U10" s="129"/>
      <c r="W10" s="68" t="s">
        <v>28</v>
      </c>
      <c r="X10" s="68"/>
      <c r="Y10" s="68"/>
      <c r="Z10" s="54">
        <v>0</v>
      </c>
      <c r="AB10" s="54">
        <v>2</v>
      </c>
      <c r="AC10" s="68" t="s">
        <v>19</v>
      </c>
      <c r="AD10" s="68"/>
      <c r="AE10" s="68"/>
    </row>
    <row r="11" spans="1:31" x14ac:dyDescent="0.25">
      <c r="A11" s="18" t="s">
        <v>34</v>
      </c>
      <c r="B11" s="16">
        <v>0</v>
      </c>
      <c r="C11" s="16" t="s">
        <v>53</v>
      </c>
      <c r="D11" s="16">
        <v>0</v>
      </c>
      <c r="E11" s="19" t="s">
        <v>21</v>
      </c>
      <c r="H11" s="16">
        <v>5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30">
        <f>SUM(H2:H66)</f>
        <v>405</v>
      </c>
      <c r="R11" s="130"/>
      <c r="S11" s="130"/>
      <c r="T11" s="130"/>
      <c r="U11" s="130"/>
      <c r="W11" s="68" t="s">
        <v>19</v>
      </c>
      <c r="X11" s="68"/>
      <c r="Y11" s="68"/>
      <c r="Z11" s="54">
        <v>1</v>
      </c>
      <c r="AB11" s="54">
        <v>1</v>
      </c>
      <c r="AC11" s="68" t="s">
        <v>14</v>
      </c>
      <c r="AD11" s="68"/>
      <c r="AE11" s="68"/>
    </row>
    <row r="12" spans="1:31" x14ac:dyDescent="0.25">
      <c r="A12" s="18" t="s">
        <v>20</v>
      </c>
      <c r="B12" s="16">
        <v>2</v>
      </c>
      <c r="C12" s="16" t="s">
        <v>53</v>
      </c>
      <c r="D12" s="16">
        <v>1</v>
      </c>
      <c r="E12" s="19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30"/>
      <c r="R12" s="130"/>
      <c r="S12" s="130"/>
      <c r="T12" s="130"/>
      <c r="U12" s="130"/>
      <c r="W12" s="68" t="s">
        <v>26</v>
      </c>
      <c r="X12" s="68"/>
      <c r="Y12" s="68"/>
      <c r="Z12" s="54">
        <v>0</v>
      </c>
      <c r="AB12" s="54">
        <v>2</v>
      </c>
      <c r="AC12" s="68" t="s">
        <v>5</v>
      </c>
      <c r="AD12" s="68"/>
      <c r="AE12" s="68"/>
    </row>
    <row r="13" spans="1:31" x14ac:dyDescent="0.25">
      <c r="A13" s="18" t="s">
        <v>21</v>
      </c>
      <c r="B13" s="16">
        <v>1</v>
      </c>
      <c r="C13" s="16" t="s">
        <v>53</v>
      </c>
      <c r="D13" s="16">
        <v>1</v>
      </c>
      <c r="E13" s="19" t="s">
        <v>54</v>
      </c>
      <c r="H13" s="16">
        <v>5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30"/>
      <c r="R13" s="130"/>
      <c r="S13" s="130"/>
      <c r="T13" s="130"/>
      <c r="U13" s="130"/>
      <c r="W13" s="68" t="s">
        <v>15</v>
      </c>
      <c r="X13" s="68"/>
      <c r="Y13" s="68"/>
      <c r="Z13" s="54">
        <v>1</v>
      </c>
      <c r="AB13" s="54">
        <v>1</v>
      </c>
      <c r="AC13" s="68" t="s">
        <v>4</v>
      </c>
      <c r="AD13" s="68"/>
      <c r="AE13" s="68"/>
    </row>
    <row r="14" spans="1:31" x14ac:dyDescent="0.25">
      <c r="A14" s="18" t="s">
        <v>34</v>
      </c>
      <c r="B14" s="16">
        <v>0</v>
      </c>
      <c r="C14" s="16" t="s">
        <v>53</v>
      </c>
      <c r="D14" s="16">
        <v>2</v>
      </c>
      <c r="E14" s="19" t="s">
        <v>20</v>
      </c>
      <c r="H14" s="16">
        <v>15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30"/>
      <c r="R14" s="130"/>
      <c r="S14" s="130"/>
      <c r="T14" s="130"/>
      <c r="U14" s="130"/>
      <c r="W14" s="68" t="s">
        <v>18</v>
      </c>
      <c r="X14" s="68"/>
      <c r="Y14" s="68"/>
      <c r="Z14" s="54">
        <v>0</v>
      </c>
      <c r="AB14" s="54">
        <v>2</v>
      </c>
      <c r="AC14" s="68" t="s">
        <v>32</v>
      </c>
      <c r="AD14" s="68"/>
      <c r="AE14" s="68"/>
    </row>
    <row r="15" spans="1:31" x14ac:dyDescent="0.25">
      <c r="A15" s="127" t="s">
        <v>64</v>
      </c>
      <c r="B15" s="127"/>
      <c r="C15" s="127"/>
      <c r="D15" s="127"/>
      <c r="E15" s="127"/>
      <c r="J15" s="17" t="str">
        <f>IF(Tabela!F16="","",Tabela!F16)</f>
        <v/>
      </c>
      <c r="K15" s="128" t="s">
        <v>64</v>
      </c>
      <c r="L15" s="128"/>
      <c r="M15" s="128"/>
      <c r="N15" s="128"/>
      <c r="O15" s="128"/>
      <c r="Q15" s="130"/>
      <c r="R15" s="130"/>
      <c r="S15" s="130"/>
      <c r="T15" s="130"/>
      <c r="U15" s="130"/>
      <c r="W15" s="68"/>
      <c r="X15" s="68"/>
      <c r="Y15" s="68"/>
      <c r="AC15" s="68"/>
      <c r="AD15" s="68"/>
      <c r="AE15" s="68"/>
    </row>
    <row r="16" spans="1:31" x14ac:dyDescent="0.25">
      <c r="A16" s="18" t="s">
        <v>5</v>
      </c>
      <c r="B16" s="16">
        <v>3</v>
      </c>
      <c r="C16" s="16" t="s">
        <v>53</v>
      </c>
      <c r="D16" s="16">
        <v>0</v>
      </c>
      <c r="E16" s="19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68"/>
      <c r="X16" s="68"/>
      <c r="Y16" s="68"/>
      <c r="AC16" s="68"/>
      <c r="AD16" s="68"/>
      <c r="AE16" s="68"/>
    </row>
    <row r="17" spans="1:31" x14ac:dyDescent="0.25">
      <c r="A17" s="18" t="s">
        <v>24</v>
      </c>
      <c r="B17" s="16">
        <v>2</v>
      </c>
      <c r="C17" s="16" t="s">
        <v>53</v>
      </c>
      <c r="D17" s="16">
        <v>1</v>
      </c>
      <c r="E17" s="19" t="s">
        <v>26</v>
      </c>
      <c r="H17" s="16">
        <v>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68"/>
      <c r="X17" s="68"/>
      <c r="Y17" s="68"/>
      <c r="AC17" s="68"/>
      <c r="AD17" s="68"/>
      <c r="AE17" s="68"/>
    </row>
    <row r="18" spans="1:31" x14ac:dyDescent="0.25">
      <c r="A18" s="18" t="s">
        <v>26</v>
      </c>
      <c r="B18" s="16">
        <v>1</v>
      </c>
      <c r="C18" s="16" t="s">
        <v>53</v>
      </c>
      <c r="D18" s="16">
        <v>0</v>
      </c>
      <c r="E18" s="19" t="s">
        <v>55</v>
      </c>
      <c r="H18" s="16">
        <v>15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W18" s="68"/>
      <c r="X18" s="68"/>
      <c r="Y18" s="68"/>
      <c r="AC18" s="68"/>
      <c r="AD18" s="68"/>
      <c r="AE18" s="68"/>
    </row>
    <row r="19" spans="1:31" x14ac:dyDescent="0.25">
      <c r="A19" s="18" t="s">
        <v>5</v>
      </c>
      <c r="B19" s="16">
        <v>1</v>
      </c>
      <c r="C19" s="16" t="s">
        <v>53</v>
      </c>
      <c r="D19" s="16">
        <v>1</v>
      </c>
      <c r="E19" s="19" t="s">
        <v>24</v>
      </c>
      <c r="H19" s="16">
        <v>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W19" s="68"/>
      <c r="X19" s="68"/>
      <c r="Y19" s="68"/>
      <c r="AC19" s="68"/>
      <c r="AD19" s="68"/>
      <c r="AE19" s="68"/>
    </row>
    <row r="20" spans="1:31" x14ac:dyDescent="0.25">
      <c r="A20" s="18" t="s">
        <v>26</v>
      </c>
      <c r="B20" s="16">
        <v>0</v>
      </c>
      <c r="C20" s="16" t="s">
        <v>53</v>
      </c>
      <c r="D20" s="16">
        <v>2</v>
      </c>
      <c r="E20" s="19" t="s">
        <v>5</v>
      </c>
      <c r="H20" s="16">
        <v>25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68"/>
      <c r="X20" s="68"/>
      <c r="Y20" s="68"/>
      <c r="AC20" s="68"/>
      <c r="AD20" s="68"/>
      <c r="AE20" s="68"/>
    </row>
    <row r="21" spans="1:31" x14ac:dyDescent="0.25">
      <c r="A21" s="18" t="s">
        <v>55</v>
      </c>
      <c r="B21" s="16">
        <v>0</v>
      </c>
      <c r="C21" s="16" t="s">
        <v>53</v>
      </c>
      <c r="D21" s="16">
        <v>2</v>
      </c>
      <c r="E21" s="19" t="s">
        <v>24</v>
      </c>
      <c r="H21" s="16">
        <v>15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W21" s="68"/>
      <c r="X21" s="68"/>
      <c r="Y21" s="68"/>
      <c r="AC21" s="68"/>
      <c r="AD21" s="68"/>
      <c r="AE21" s="68"/>
    </row>
    <row r="22" spans="1:31" x14ac:dyDescent="0.25">
      <c r="A22" s="127" t="s">
        <v>63</v>
      </c>
      <c r="B22" s="127"/>
      <c r="C22" s="127"/>
      <c r="D22" s="127"/>
      <c r="E22" s="127"/>
      <c r="J22" s="17" t="str">
        <f>IF(Tabela!F23="","",Tabela!F23)</f>
        <v/>
      </c>
      <c r="K22" s="128" t="s">
        <v>63</v>
      </c>
      <c r="L22" s="128"/>
      <c r="M22" s="128"/>
      <c r="N22" s="128"/>
      <c r="O22" s="128"/>
      <c r="W22" s="68"/>
      <c r="X22" s="68"/>
      <c r="Y22" s="68"/>
      <c r="AC22" s="68"/>
      <c r="AD22" s="68"/>
      <c r="AE22" s="68"/>
    </row>
    <row r="23" spans="1:31" x14ac:dyDescent="0.25">
      <c r="A23" s="18" t="s">
        <v>13</v>
      </c>
      <c r="B23" s="16">
        <v>2</v>
      </c>
      <c r="C23" s="16" t="s">
        <v>53</v>
      </c>
      <c r="D23" s="16">
        <v>0</v>
      </c>
      <c r="E23" s="19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68"/>
      <c r="X23" s="68"/>
      <c r="Y23" s="68"/>
      <c r="AC23" s="68"/>
      <c r="AD23" s="68"/>
      <c r="AE23" s="68"/>
    </row>
    <row r="24" spans="1:31" x14ac:dyDescent="0.25">
      <c r="A24" s="18" t="s">
        <v>17</v>
      </c>
      <c r="B24" s="16">
        <v>2</v>
      </c>
      <c r="C24" s="16" t="s">
        <v>53</v>
      </c>
      <c r="D24" s="16">
        <v>0</v>
      </c>
      <c r="E24" s="19" t="s">
        <v>6</v>
      </c>
      <c r="H24" s="16">
        <v>10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Q24" s="17">
        <v>25</v>
      </c>
      <c r="R24" s="17">
        <v>15</v>
      </c>
      <c r="S24" s="17">
        <v>10</v>
      </c>
      <c r="T24" s="17">
        <v>5</v>
      </c>
      <c r="U24" s="17">
        <v>0</v>
      </c>
      <c r="W24" s="68"/>
      <c r="X24" s="68"/>
      <c r="Y24" s="68"/>
      <c r="AC24" s="68"/>
      <c r="AD24" s="68"/>
      <c r="AE24" s="68"/>
    </row>
    <row r="25" spans="1:31" x14ac:dyDescent="0.25">
      <c r="A25" s="18" t="s">
        <v>31</v>
      </c>
      <c r="B25" s="16">
        <v>0</v>
      </c>
      <c r="C25" s="16" t="s">
        <v>53</v>
      </c>
      <c r="D25" s="16">
        <v>0</v>
      </c>
      <c r="E25" s="19" t="s">
        <v>6</v>
      </c>
      <c r="H25" s="16">
        <v>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Q25" s="22">
        <v>5</v>
      </c>
      <c r="R25" s="22">
        <v>8</v>
      </c>
      <c r="S25" s="22">
        <v>9</v>
      </c>
      <c r="T25" s="22">
        <v>14</v>
      </c>
      <c r="U25" s="22">
        <v>12</v>
      </c>
      <c r="W25" s="68"/>
      <c r="X25" s="68"/>
      <c r="Y25" s="68"/>
      <c r="AC25" s="68"/>
      <c r="AD25" s="68"/>
      <c r="AE25" s="68"/>
    </row>
    <row r="26" spans="1:31" x14ac:dyDescent="0.25">
      <c r="A26" s="18" t="s">
        <v>17</v>
      </c>
      <c r="B26" s="16">
        <v>2</v>
      </c>
      <c r="C26" s="16" t="s">
        <v>53</v>
      </c>
      <c r="D26" s="16">
        <v>2</v>
      </c>
      <c r="E26" s="19" t="s">
        <v>13</v>
      </c>
      <c r="H26" s="16">
        <v>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68"/>
      <c r="X26" s="68"/>
      <c r="Y26" s="68"/>
      <c r="AC26" s="68"/>
      <c r="AD26" s="68"/>
      <c r="AE26" s="68"/>
    </row>
    <row r="27" spans="1:31" x14ac:dyDescent="0.25">
      <c r="A27" s="18" t="s">
        <v>31</v>
      </c>
      <c r="B27" s="16">
        <v>1</v>
      </c>
      <c r="C27" s="16" t="s">
        <v>53</v>
      </c>
      <c r="D27" s="16">
        <v>2</v>
      </c>
      <c r="E27" s="19" t="s">
        <v>17</v>
      </c>
      <c r="H27" s="16">
        <v>5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Q27" s="124" t="s">
        <v>42</v>
      </c>
      <c r="R27" s="124"/>
      <c r="S27" s="125" t="s">
        <v>8</v>
      </c>
      <c r="T27" s="125"/>
      <c r="U27" s="125" t="s">
        <v>27</v>
      </c>
      <c r="V27" s="125"/>
      <c r="W27" s="68"/>
      <c r="X27" s="68"/>
      <c r="Y27" s="68"/>
      <c r="AC27" s="68"/>
      <c r="AD27" s="68"/>
      <c r="AE27" s="68"/>
    </row>
    <row r="28" spans="1:31" x14ac:dyDescent="0.25">
      <c r="A28" s="18" t="s">
        <v>6</v>
      </c>
      <c r="B28" s="16">
        <v>0</v>
      </c>
      <c r="C28" s="16" t="s">
        <v>53</v>
      </c>
      <c r="D28" s="16">
        <v>2</v>
      </c>
      <c r="E28" s="19" t="s">
        <v>13</v>
      </c>
      <c r="H28" s="16">
        <v>0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Q28" s="124" t="s">
        <v>41</v>
      </c>
      <c r="R28" s="124"/>
      <c r="S28" s="126" t="s">
        <v>131</v>
      </c>
      <c r="T28" s="126"/>
      <c r="U28" s="126" t="s">
        <v>128</v>
      </c>
      <c r="V28" s="126"/>
      <c r="W28" s="68"/>
      <c r="X28" s="68"/>
      <c r="Y28" s="68"/>
      <c r="AC28" s="68"/>
      <c r="AD28" s="68"/>
      <c r="AE28" s="68"/>
    </row>
    <row r="29" spans="1:31" x14ac:dyDescent="0.25">
      <c r="A29" s="127" t="s">
        <v>62</v>
      </c>
      <c r="B29" s="127"/>
      <c r="C29" s="127"/>
      <c r="D29" s="127"/>
      <c r="E29" s="127"/>
      <c r="K29" s="128" t="s">
        <v>62</v>
      </c>
      <c r="L29" s="128"/>
      <c r="M29" s="128"/>
      <c r="N29" s="128"/>
      <c r="O29" s="128"/>
      <c r="W29" s="68"/>
      <c r="X29" s="68"/>
      <c r="Y29" s="68"/>
      <c r="AC29" s="68"/>
      <c r="AD29" s="68"/>
      <c r="AE29" s="68"/>
    </row>
    <row r="30" spans="1:31" x14ac:dyDescent="0.25">
      <c r="A30" s="18" t="s">
        <v>4</v>
      </c>
      <c r="B30" s="16">
        <v>3</v>
      </c>
      <c r="C30" s="16" t="s">
        <v>53</v>
      </c>
      <c r="D30" s="16">
        <v>0</v>
      </c>
      <c r="E30" s="19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68"/>
      <c r="X30" s="68"/>
      <c r="Y30" s="68"/>
      <c r="AC30" s="68"/>
      <c r="AD30" s="68"/>
      <c r="AE30" s="68"/>
    </row>
    <row r="31" spans="1:31" x14ac:dyDescent="0.25">
      <c r="A31" s="18" t="s">
        <v>15</v>
      </c>
      <c r="B31" s="16">
        <v>2</v>
      </c>
      <c r="C31" s="16" t="s">
        <v>53</v>
      </c>
      <c r="D31" s="16">
        <v>1</v>
      </c>
      <c r="E31" s="19" t="s">
        <v>56</v>
      </c>
      <c r="H31" s="16">
        <v>10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0</v>
      </c>
      <c r="C32" s="16" t="s">
        <v>53</v>
      </c>
      <c r="D32" s="16">
        <v>0</v>
      </c>
      <c r="E32" s="19" t="s">
        <v>56</v>
      </c>
      <c r="H32" s="16">
        <v>5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1</v>
      </c>
      <c r="C33" s="16" t="s">
        <v>53</v>
      </c>
      <c r="D33" s="16">
        <v>1</v>
      </c>
      <c r="E33" s="19" t="s">
        <v>4</v>
      </c>
      <c r="H33" s="16">
        <v>25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1</v>
      </c>
      <c r="C34" s="16" t="s">
        <v>53</v>
      </c>
      <c r="D34" s="16">
        <v>3</v>
      </c>
      <c r="E34" s="19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0</v>
      </c>
      <c r="C35" s="16" t="s">
        <v>53</v>
      </c>
      <c r="D35" s="16">
        <v>3</v>
      </c>
      <c r="E35" s="19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27" t="s">
        <v>61</v>
      </c>
      <c r="B36" s="127"/>
      <c r="C36" s="127"/>
      <c r="D36" s="127"/>
      <c r="E36" s="127"/>
      <c r="J36" s="17" t="str">
        <f>IF(Tabela!L9="","",Tabela!L9)</f>
        <v/>
      </c>
      <c r="K36" s="128" t="s">
        <v>61</v>
      </c>
      <c r="L36" s="128"/>
      <c r="M36" s="128"/>
      <c r="N36" s="128"/>
      <c r="O36" s="128"/>
    </row>
    <row r="37" spans="1:15" x14ac:dyDescent="0.25">
      <c r="A37" s="18" t="s">
        <v>23</v>
      </c>
      <c r="B37" s="16">
        <v>0</v>
      </c>
      <c r="C37" s="16" t="s">
        <v>53</v>
      </c>
      <c r="D37" s="16">
        <v>3</v>
      </c>
      <c r="E37" s="19" t="s">
        <v>12</v>
      </c>
      <c r="H37" s="16">
        <v>5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0</v>
      </c>
      <c r="C38" s="16" t="s">
        <v>53</v>
      </c>
      <c r="D38" s="16">
        <v>0</v>
      </c>
      <c r="E38" s="19" t="s">
        <v>10</v>
      </c>
      <c r="H38" s="16">
        <v>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1</v>
      </c>
      <c r="C39" s="16" t="s">
        <v>53</v>
      </c>
      <c r="D39" s="16">
        <v>0</v>
      </c>
      <c r="E39" s="19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2</v>
      </c>
      <c r="C40" s="16" t="s">
        <v>53</v>
      </c>
      <c r="D40" s="16">
        <v>1</v>
      </c>
      <c r="E40" s="19" t="s">
        <v>10</v>
      </c>
      <c r="H40" s="16">
        <v>15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1</v>
      </c>
      <c r="C41" s="16" t="s">
        <v>53</v>
      </c>
      <c r="D41" s="16">
        <v>1</v>
      </c>
      <c r="E41" s="19" t="s">
        <v>7</v>
      </c>
      <c r="H41" s="16">
        <v>10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0</v>
      </c>
      <c r="E42" s="19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27" t="s">
        <v>60</v>
      </c>
      <c r="B43" s="127"/>
      <c r="C43" s="127"/>
      <c r="D43" s="127"/>
      <c r="E43" s="127"/>
      <c r="J43" s="17" t="str">
        <f>IF(Tabela!L16="","",Tabela!L16)</f>
        <v/>
      </c>
      <c r="K43" s="128" t="s">
        <v>60</v>
      </c>
      <c r="L43" s="128"/>
      <c r="M43" s="128"/>
      <c r="N43" s="128"/>
      <c r="O43" s="128"/>
    </row>
    <row r="44" spans="1:15" x14ac:dyDescent="0.25">
      <c r="A44" s="18" t="s">
        <v>30</v>
      </c>
      <c r="B44" s="16">
        <v>1</v>
      </c>
      <c r="C44" s="16" t="s">
        <v>53</v>
      </c>
      <c r="D44" s="16">
        <v>1</v>
      </c>
      <c r="E44" s="19" t="s">
        <v>9</v>
      </c>
      <c r="H44" s="16">
        <v>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3</v>
      </c>
      <c r="C45" s="16" t="s">
        <v>53</v>
      </c>
      <c r="D45" s="16">
        <v>0</v>
      </c>
      <c r="E45" s="19" t="s">
        <v>29</v>
      </c>
      <c r="H45" s="16">
        <v>15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1</v>
      </c>
      <c r="E46" s="19" t="s">
        <v>29</v>
      </c>
      <c r="H46" s="16">
        <v>10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0</v>
      </c>
      <c r="E47" s="19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3</v>
      </c>
      <c r="E48" s="19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2</v>
      </c>
      <c r="C49" s="16" t="s">
        <v>53</v>
      </c>
      <c r="D49" s="16">
        <v>1</v>
      </c>
      <c r="E49" s="19" t="s">
        <v>30</v>
      </c>
      <c r="H49" s="16">
        <v>5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27" t="s">
        <v>59</v>
      </c>
      <c r="B50" s="127"/>
      <c r="C50" s="127"/>
      <c r="D50" s="127"/>
      <c r="E50" s="127"/>
      <c r="J50" s="17" t="str">
        <f>IF(Tabela!L23="","",Tabela!L23)</f>
        <v/>
      </c>
      <c r="K50" s="128" t="s">
        <v>59</v>
      </c>
      <c r="L50" s="128"/>
      <c r="M50" s="128"/>
      <c r="N50" s="128"/>
      <c r="O50" s="128"/>
    </row>
    <row r="51" spans="1:15" x14ac:dyDescent="0.25">
      <c r="A51" s="18" t="s">
        <v>32</v>
      </c>
      <c r="B51" s="16">
        <v>1</v>
      </c>
      <c r="C51" s="16" t="s">
        <v>53</v>
      </c>
      <c r="D51" s="16">
        <v>0</v>
      </c>
      <c r="E51" s="19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3</v>
      </c>
      <c r="C52" s="16" t="s">
        <v>53</v>
      </c>
      <c r="D52" s="16">
        <v>1</v>
      </c>
      <c r="E52" s="19" t="s">
        <v>18</v>
      </c>
      <c r="H52" s="16">
        <v>15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0</v>
      </c>
      <c r="C53" s="16" t="s">
        <v>53</v>
      </c>
      <c r="D53" s="16">
        <v>0</v>
      </c>
      <c r="E53" s="19" t="s">
        <v>18</v>
      </c>
      <c r="H53" s="16">
        <v>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2</v>
      </c>
      <c r="C54" s="16" t="s">
        <v>53</v>
      </c>
      <c r="D54" s="16">
        <v>2</v>
      </c>
      <c r="E54" s="19" t="s">
        <v>32</v>
      </c>
      <c r="H54" s="16">
        <v>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0</v>
      </c>
      <c r="C55" s="16" t="s">
        <v>53</v>
      </c>
      <c r="D55" s="16">
        <v>2</v>
      </c>
      <c r="E55" s="19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0</v>
      </c>
      <c r="C56" s="16" t="s">
        <v>53</v>
      </c>
      <c r="D56" s="16">
        <v>2</v>
      </c>
      <c r="E56" s="19" t="s">
        <v>32</v>
      </c>
      <c r="H56" s="16">
        <v>25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145" t="s">
        <v>173</v>
      </c>
    </row>
    <row r="58" spans="1:15" x14ac:dyDescent="0.25">
      <c r="A58" s="135" t="str">
        <f>_xlfn.CONCAT(W2,A57)</f>
        <v>Talita - Oitavas de Final</v>
      </c>
      <c r="B58" s="135"/>
      <c r="C58" s="135"/>
      <c r="D58" s="135"/>
      <c r="E58" s="135"/>
      <c r="K58" s="136" t="s">
        <v>171</v>
      </c>
      <c r="L58" s="136"/>
      <c r="M58" s="136"/>
      <c r="N58" s="136"/>
      <c r="O58" s="136"/>
    </row>
    <row r="59" spans="1:15" x14ac:dyDescent="0.25">
      <c r="A59" s="66" t="s">
        <v>19</v>
      </c>
      <c r="B59" s="2">
        <v>1</v>
      </c>
      <c r="C59" s="2" t="s">
        <v>53</v>
      </c>
      <c r="D59" s="2">
        <v>0</v>
      </c>
      <c r="E59" s="65" t="s">
        <v>166</v>
      </c>
      <c r="H59" s="16">
        <v>10</v>
      </c>
      <c r="J59" s="17" t="str">
        <f>IF(Tabela!F32="","",Tabela!F32)</f>
        <v/>
      </c>
      <c r="K59" s="67" t="str">
        <f>Tabela!A32</f>
        <v>Holanda</v>
      </c>
      <c r="L59" s="67">
        <f>Tabela!B32</f>
        <v>3</v>
      </c>
      <c r="M59" s="67" t="str">
        <f>Tabela!C32</f>
        <v>X</v>
      </c>
      <c r="N59" s="67">
        <f>Tabela!D32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1</v>
      </c>
      <c r="E60" s="65" t="s">
        <v>6</v>
      </c>
      <c r="J60" s="17" t="str">
        <f>IF(Tabela!F33="","",Tabela!F33)</f>
        <v>N</v>
      </c>
      <c r="K60" s="67" t="str">
        <f>Tabela!A33</f>
        <v>Argentina</v>
      </c>
      <c r="L60" s="67">
        <f>Tabela!B33</f>
        <v>0</v>
      </c>
      <c r="M60" s="67" t="str">
        <f>Tabela!C33</f>
        <v>X</v>
      </c>
      <c r="N60" s="67">
        <f>Tabela!D33</f>
        <v>0</v>
      </c>
      <c r="O60" s="67" t="str">
        <f>Tabela!E33</f>
        <v>Austrália</v>
      </c>
    </row>
    <row r="61" spans="1:15" x14ac:dyDescent="0.25">
      <c r="A61" s="66" t="s">
        <v>22</v>
      </c>
      <c r="B61" s="2">
        <v>2</v>
      </c>
      <c r="C61" s="2" t="s">
        <v>53</v>
      </c>
      <c r="D61" s="2">
        <v>1</v>
      </c>
      <c r="E61" s="65" t="s">
        <v>12</v>
      </c>
      <c r="J61" s="17" t="str">
        <f>IF(Tabela!F34="","",Tabela!F34)</f>
        <v>N</v>
      </c>
      <c r="K61" s="67" t="str">
        <f>Tabela!A34</f>
        <v>Japão</v>
      </c>
      <c r="L61" s="67">
        <f>Tabela!B34</f>
        <v>0</v>
      </c>
      <c r="M61" s="67" t="str">
        <f>Tabela!C34</f>
        <v>X</v>
      </c>
      <c r="N61" s="67">
        <f>Tabela!D34</f>
        <v>0</v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1</v>
      </c>
      <c r="E62" s="65" t="s">
        <v>167</v>
      </c>
      <c r="J62" s="17" t="str">
        <f>IF(Tabela!F35="","",Tabela!F35)</f>
        <v>N</v>
      </c>
      <c r="K62" s="67" t="str">
        <f>Tabela!A35</f>
        <v>Brasil</v>
      </c>
      <c r="L62" s="67">
        <f>Tabela!B35</f>
        <v>0</v>
      </c>
      <c r="M62" s="67" t="str">
        <f>Tabela!C35</f>
        <v>X</v>
      </c>
      <c r="N62" s="67">
        <f>Tabela!D35</f>
        <v>0</v>
      </c>
      <c r="O62" s="67" t="str">
        <f>Tabela!E35</f>
        <v>Coréia</v>
      </c>
    </row>
    <row r="63" spans="1:15" x14ac:dyDescent="0.25">
      <c r="A63" s="66" t="s">
        <v>20</v>
      </c>
      <c r="B63" s="2">
        <v>1</v>
      </c>
      <c r="C63" s="2" t="s">
        <v>53</v>
      </c>
      <c r="D63" s="2">
        <v>1</v>
      </c>
      <c r="E63" s="65" t="s">
        <v>28</v>
      </c>
      <c r="J63" s="17" t="str">
        <f>IF(Tabela!F36="","",Tabela!F36)</f>
        <v>N</v>
      </c>
      <c r="K63" s="67" t="str">
        <f>Tabela!A36</f>
        <v>Inglaterra</v>
      </c>
      <c r="L63" s="67">
        <f>Tabela!B36</f>
        <v>0</v>
      </c>
      <c r="M63" s="67" t="str">
        <f>Tabela!C36</f>
        <v>X</v>
      </c>
      <c r="N63" s="67">
        <f>Tabela!D36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1</v>
      </c>
      <c r="C64" s="2" t="s">
        <v>53</v>
      </c>
      <c r="D64" s="2">
        <v>1</v>
      </c>
      <c r="E64" s="65" t="s">
        <v>26</v>
      </c>
      <c r="J64" s="17" t="str">
        <f>IF(Tabela!F37="","",Tabela!F37)</f>
        <v>N</v>
      </c>
      <c r="K64" s="67" t="str">
        <f>Tabela!A37</f>
        <v>França</v>
      </c>
      <c r="L64" s="67">
        <f>Tabela!B37</f>
        <v>0</v>
      </c>
      <c r="M64" s="67" t="str">
        <f>Tabela!C37</f>
        <v>X</v>
      </c>
      <c r="N64" s="67">
        <f>Tabela!D37</f>
        <v>0</v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1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7">
        <f>Tabela!B38</f>
        <v>0</v>
      </c>
      <c r="M65" s="67" t="str">
        <f>Tabela!C38</f>
        <v>X</v>
      </c>
      <c r="N65" s="67">
        <f>Tabela!D38</f>
        <v>0</v>
      </c>
      <c r="O65" s="67" t="str">
        <f>Tabela!E38</f>
        <v>Espanha</v>
      </c>
    </row>
    <row r="66" spans="1:15" x14ac:dyDescent="0.25">
      <c r="A66" s="66" t="s">
        <v>27</v>
      </c>
      <c r="B66" s="2">
        <v>2</v>
      </c>
      <c r="C66" s="2" t="s">
        <v>53</v>
      </c>
      <c r="D66" s="2">
        <v>1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7">
        <f>Tabela!B39</f>
        <v>0</v>
      </c>
      <c r="M66" s="67" t="str">
        <f>Tabela!C39</f>
        <v>X</v>
      </c>
      <c r="N66" s="67">
        <f>Tabela!D39</f>
        <v>0</v>
      </c>
      <c r="O66" s="67" t="str">
        <f>Tabela!E39</f>
        <v>Suíça</v>
      </c>
    </row>
  </sheetData>
  <mergeCells count="71">
    <mergeCell ref="A58:E58"/>
    <mergeCell ref="K58:O58"/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A1:E1"/>
    <mergeCell ref="A8:E8"/>
    <mergeCell ref="A15:E15"/>
    <mergeCell ref="A22:E22"/>
    <mergeCell ref="K1:O1"/>
    <mergeCell ref="K8:O8"/>
    <mergeCell ref="A2:E2"/>
    <mergeCell ref="K36:O36"/>
    <mergeCell ref="K43:O43"/>
    <mergeCell ref="K50:O50"/>
    <mergeCell ref="K29:O29"/>
    <mergeCell ref="A29:E29"/>
    <mergeCell ref="A36:E36"/>
    <mergeCell ref="A43:E43"/>
    <mergeCell ref="A50:E50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27:R27"/>
    <mergeCell ref="S27:T27"/>
    <mergeCell ref="U27:V27"/>
    <mergeCell ref="Q28:R28"/>
    <mergeCell ref="S28:T28"/>
    <mergeCell ref="U28:V2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A8C732-4BF5-4D5C-979F-4361EDCEC600}">
  <sheetPr codeName="Planilha24">
    <tabColor rgb="FF0070C0"/>
    <pageSetUpPr autoPageBreaks="0"/>
  </sheetPr>
  <dimension ref="A1:AE66"/>
  <sheetViews>
    <sheetView zoomScale="85" zoomScaleNormal="85" workbookViewId="0">
      <pane xSplit="15" ySplit="16" topLeftCell="P18" activePane="bottomRight" state="frozen"/>
      <selection pane="topRight" activeCell="P1" sqref="P1"/>
      <selection pane="bottomLeft" activeCell="A17" sqref="A17"/>
      <selection pane="bottomRight" activeCell="Q25" sqref="Q25:U25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46" width="5.7109375" style="17" customWidth="1"/>
    <col min="47" max="16384" width="9.140625" style="17"/>
  </cols>
  <sheetData>
    <row r="1" spans="1:31" x14ac:dyDescent="0.25">
      <c r="A1" s="127" t="s">
        <v>58</v>
      </c>
      <c r="B1" s="127"/>
      <c r="C1" s="127"/>
      <c r="D1" s="127"/>
      <c r="E1" s="127"/>
      <c r="K1" s="128" t="s">
        <v>58</v>
      </c>
      <c r="L1" s="128"/>
      <c r="M1" s="128"/>
      <c r="N1" s="128"/>
      <c r="O1" s="128"/>
    </row>
    <row r="2" spans="1:31" x14ac:dyDescent="0.25">
      <c r="A2" s="133" t="s">
        <v>43</v>
      </c>
      <c r="B2" s="133"/>
      <c r="C2" s="133"/>
      <c r="D2" s="133"/>
      <c r="E2" s="133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31" t="s">
        <v>88</v>
      </c>
      <c r="X2" s="131"/>
      <c r="Y2" s="131"/>
      <c r="Z2" s="131"/>
      <c r="AA2" s="131"/>
      <c r="AB2" s="131"/>
      <c r="AC2" s="131"/>
      <c r="AD2" s="131"/>
      <c r="AE2" s="131"/>
    </row>
    <row r="3" spans="1:31" x14ac:dyDescent="0.25">
      <c r="A3" s="18" t="s">
        <v>28</v>
      </c>
      <c r="B3" s="16">
        <v>0</v>
      </c>
      <c r="C3" s="16" t="s">
        <v>53</v>
      </c>
      <c r="D3" s="16">
        <v>2</v>
      </c>
      <c r="E3" s="19" t="s">
        <v>19</v>
      </c>
      <c r="H3" s="16">
        <v>25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31"/>
      <c r="X3" s="131"/>
      <c r="Y3" s="131"/>
      <c r="Z3" s="131"/>
      <c r="AA3" s="131"/>
      <c r="AB3" s="131"/>
      <c r="AC3" s="131"/>
      <c r="AD3" s="131"/>
      <c r="AE3" s="131"/>
    </row>
    <row r="4" spans="1:31" x14ac:dyDescent="0.25">
      <c r="A4" s="18" t="s">
        <v>11</v>
      </c>
      <c r="B4" s="16">
        <v>1</v>
      </c>
      <c r="C4" s="16" t="s">
        <v>53</v>
      </c>
      <c r="D4" s="16">
        <v>2</v>
      </c>
      <c r="E4" s="19" t="s">
        <v>28</v>
      </c>
      <c r="H4" s="16">
        <v>15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31"/>
      <c r="X4" s="131"/>
      <c r="Y4" s="131"/>
      <c r="Z4" s="131"/>
      <c r="AA4" s="131"/>
      <c r="AB4" s="131"/>
      <c r="AC4" s="131"/>
      <c r="AD4" s="131"/>
      <c r="AE4" s="131"/>
    </row>
    <row r="5" spans="1:31" x14ac:dyDescent="0.25">
      <c r="A5" s="18" t="s">
        <v>19</v>
      </c>
      <c r="B5" s="16">
        <v>2</v>
      </c>
      <c r="C5" s="16" t="s">
        <v>53</v>
      </c>
      <c r="D5" s="16">
        <v>0</v>
      </c>
      <c r="E5" s="19" t="s">
        <v>14</v>
      </c>
      <c r="H5" s="16">
        <v>0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31"/>
      <c r="X5" s="131"/>
      <c r="Y5" s="131"/>
      <c r="Z5" s="131"/>
      <c r="AA5" s="131"/>
      <c r="AB5" s="131"/>
      <c r="AC5" s="131"/>
      <c r="AD5" s="131"/>
      <c r="AE5" s="131"/>
    </row>
    <row r="6" spans="1:31" x14ac:dyDescent="0.25">
      <c r="A6" s="18" t="s">
        <v>19</v>
      </c>
      <c r="B6" s="16">
        <v>3</v>
      </c>
      <c r="C6" s="16" t="s">
        <v>53</v>
      </c>
      <c r="D6" s="16">
        <v>0</v>
      </c>
      <c r="E6" s="19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31"/>
      <c r="X6" s="131"/>
      <c r="Y6" s="131"/>
      <c r="Z6" s="131"/>
      <c r="AA6" s="131"/>
      <c r="AB6" s="131"/>
      <c r="AC6" s="131"/>
      <c r="AD6" s="131"/>
      <c r="AE6" s="131"/>
    </row>
    <row r="7" spans="1:31" x14ac:dyDescent="0.25">
      <c r="A7" s="18" t="s">
        <v>14</v>
      </c>
      <c r="B7" s="16">
        <v>1</v>
      </c>
      <c r="C7" s="16" t="s">
        <v>53</v>
      </c>
      <c r="D7" s="16">
        <v>1</v>
      </c>
      <c r="E7" s="19" t="s">
        <v>28</v>
      </c>
      <c r="H7" s="16">
        <v>5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27" t="s">
        <v>65</v>
      </c>
      <c r="B8" s="127"/>
      <c r="C8" s="127"/>
      <c r="D8" s="127"/>
      <c r="E8" s="127"/>
      <c r="J8" s="17" t="str">
        <f>IF(Tabela!F9="","",Tabela!F9)</f>
        <v/>
      </c>
      <c r="K8" s="128" t="s">
        <v>65</v>
      </c>
      <c r="L8" s="128"/>
      <c r="M8" s="128"/>
      <c r="N8" s="128"/>
      <c r="O8" s="128"/>
    </row>
    <row r="9" spans="1:31" x14ac:dyDescent="0.25">
      <c r="A9" s="18" t="s">
        <v>20</v>
      </c>
      <c r="B9" s="16">
        <v>2</v>
      </c>
      <c r="C9" s="16" t="s">
        <v>53</v>
      </c>
      <c r="D9" s="16">
        <v>0</v>
      </c>
      <c r="E9" s="19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29" t="s">
        <v>66</v>
      </c>
      <c r="R9" s="129"/>
      <c r="S9" s="129"/>
      <c r="T9" s="129"/>
      <c r="U9" s="129"/>
      <c r="W9" s="68" t="s">
        <v>124</v>
      </c>
      <c r="X9" s="68"/>
      <c r="Y9" s="68"/>
      <c r="Z9" s="68"/>
      <c r="AA9" s="68"/>
      <c r="AB9" s="68"/>
      <c r="AC9" s="68"/>
      <c r="AD9" s="68"/>
      <c r="AE9" s="68"/>
    </row>
    <row r="10" spans="1:31" x14ac:dyDescent="0.25">
      <c r="A10" s="18" t="s">
        <v>54</v>
      </c>
      <c r="B10" s="16">
        <v>1</v>
      </c>
      <c r="C10" s="16" t="s">
        <v>53</v>
      </c>
      <c r="D10" s="16">
        <v>2</v>
      </c>
      <c r="E10" s="19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29"/>
      <c r="R10" s="129"/>
      <c r="S10" s="129"/>
      <c r="T10" s="129"/>
      <c r="U10" s="129"/>
      <c r="W10" s="68" t="s">
        <v>28</v>
      </c>
      <c r="X10" s="68"/>
      <c r="Y10" s="68"/>
      <c r="Z10" s="54">
        <v>0</v>
      </c>
      <c r="AB10" s="54">
        <v>2</v>
      </c>
      <c r="AC10" s="68" t="s">
        <v>19</v>
      </c>
      <c r="AD10" s="68"/>
      <c r="AE10" s="68"/>
    </row>
    <row r="11" spans="1:31" x14ac:dyDescent="0.25">
      <c r="A11" s="18" t="s">
        <v>34</v>
      </c>
      <c r="B11" s="16">
        <v>2</v>
      </c>
      <c r="C11" s="16" t="s">
        <v>53</v>
      </c>
      <c r="D11" s="16">
        <v>0</v>
      </c>
      <c r="E11" s="19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30">
        <f>SUM(H2:H66)</f>
        <v>380</v>
      </c>
      <c r="R11" s="130"/>
      <c r="S11" s="130"/>
      <c r="T11" s="130"/>
      <c r="U11" s="130"/>
      <c r="W11" s="68" t="s">
        <v>26</v>
      </c>
      <c r="X11" s="68"/>
      <c r="Y11" s="68"/>
      <c r="Z11" s="54">
        <v>2</v>
      </c>
      <c r="AB11" s="54">
        <v>0</v>
      </c>
      <c r="AC11" s="68" t="s">
        <v>55</v>
      </c>
      <c r="AD11" s="68"/>
      <c r="AE11" s="68"/>
    </row>
    <row r="12" spans="1:31" x14ac:dyDescent="0.25">
      <c r="A12" s="18" t="s">
        <v>20</v>
      </c>
      <c r="B12" s="16">
        <v>3</v>
      </c>
      <c r="C12" s="16" t="s">
        <v>53</v>
      </c>
      <c r="D12" s="16">
        <v>2</v>
      </c>
      <c r="E12" s="19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30"/>
      <c r="R12" s="130"/>
      <c r="S12" s="130"/>
      <c r="T12" s="130"/>
      <c r="U12" s="130"/>
      <c r="W12" s="68" t="s">
        <v>18</v>
      </c>
      <c r="X12" s="68"/>
      <c r="Y12" s="68"/>
      <c r="Z12" s="54">
        <v>0</v>
      </c>
      <c r="AB12" s="54">
        <v>2</v>
      </c>
      <c r="AC12" s="68" t="s">
        <v>32</v>
      </c>
      <c r="AD12" s="68"/>
      <c r="AE12" s="68"/>
    </row>
    <row r="13" spans="1:31" x14ac:dyDescent="0.25">
      <c r="A13" s="18" t="s">
        <v>21</v>
      </c>
      <c r="B13" s="16">
        <v>1</v>
      </c>
      <c r="C13" s="16" t="s">
        <v>53</v>
      </c>
      <c r="D13" s="16">
        <v>2</v>
      </c>
      <c r="E13" s="19" t="s">
        <v>54</v>
      </c>
      <c r="H13" s="16">
        <v>10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30"/>
      <c r="R13" s="130"/>
      <c r="S13" s="130"/>
      <c r="T13" s="130"/>
      <c r="U13" s="130"/>
      <c r="W13" s="68"/>
      <c r="X13" s="68"/>
      <c r="Y13" s="68"/>
      <c r="AC13" s="68"/>
      <c r="AD13" s="68"/>
      <c r="AE13" s="68"/>
    </row>
    <row r="14" spans="1:31" x14ac:dyDescent="0.25">
      <c r="A14" s="18" t="s">
        <v>34</v>
      </c>
      <c r="B14" s="16">
        <v>1</v>
      </c>
      <c r="C14" s="16" t="s">
        <v>53</v>
      </c>
      <c r="D14" s="16">
        <v>1</v>
      </c>
      <c r="E14" s="19" t="s">
        <v>20</v>
      </c>
      <c r="H14" s="16">
        <v>0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30"/>
      <c r="R14" s="130"/>
      <c r="S14" s="130"/>
      <c r="T14" s="130"/>
      <c r="U14" s="130"/>
      <c r="W14" s="68"/>
      <c r="X14" s="68"/>
      <c r="Y14" s="68"/>
      <c r="AC14" s="68"/>
      <c r="AD14" s="68"/>
      <c r="AE14" s="68"/>
    </row>
    <row r="15" spans="1:31" x14ac:dyDescent="0.25">
      <c r="A15" s="127" t="s">
        <v>64</v>
      </c>
      <c r="B15" s="127"/>
      <c r="C15" s="127"/>
      <c r="D15" s="127"/>
      <c r="E15" s="127"/>
      <c r="J15" s="17" t="str">
        <f>IF(Tabela!F16="","",Tabela!F16)</f>
        <v/>
      </c>
      <c r="K15" s="128" t="s">
        <v>64</v>
      </c>
      <c r="L15" s="128"/>
      <c r="M15" s="128"/>
      <c r="N15" s="128"/>
      <c r="O15" s="128"/>
      <c r="Q15" s="130"/>
      <c r="R15" s="130"/>
      <c r="S15" s="130"/>
      <c r="T15" s="130"/>
      <c r="U15" s="130"/>
      <c r="W15" s="68"/>
      <c r="X15" s="68"/>
      <c r="Y15" s="68"/>
      <c r="AC15" s="68"/>
      <c r="AD15" s="68"/>
      <c r="AE15" s="68"/>
    </row>
    <row r="16" spans="1:31" x14ac:dyDescent="0.25">
      <c r="A16" s="18" t="s">
        <v>5</v>
      </c>
      <c r="B16" s="16">
        <v>2</v>
      </c>
      <c r="C16" s="16" t="s">
        <v>53</v>
      </c>
      <c r="D16" s="16">
        <v>0</v>
      </c>
      <c r="E16" s="19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68"/>
      <c r="X16" s="68"/>
      <c r="Y16" s="68"/>
      <c r="AC16" s="68"/>
      <c r="AD16" s="68"/>
      <c r="AE16" s="68"/>
    </row>
    <row r="17" spans="1:31" x14ac:dyDescent="0.25">
      <c r="A17" s="18" t="s">
        <v>24</v>
      </c>
      <c r="B17" s="16">
        <v>1</v>
      </c>
      <c r="C17" s="16" t="s">
        <v>53</v>
      </c>
      <c r="D17" s="16">
        <v>2</v>
      </c>
      <c r="E17" s="19" t="s">
        <v>26</v>
      </c>
      <c r="H17" s="16">
        <v>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68"/>
      <c r="X17" s="68"/>
      <c r="Y17" s="68"/>
      <c r="AC17" s="68"/>
      <c r="AD17" s="68"/>
      <c r="AE17" s="68"/>
    </row>
    <row r="18" spans="1:31" x14ac:dyDescent="0.25">
      <c r="A18" s="18" t="s">
        <v>26</v>
      </c>
      <c r="B18" s="16">
        <v>2</v>
      </c>
      <c r="C18" s="16" t="s">
        <v>53</v>
      </c>
      <c r="D18" s="16">
        <v>0</v>
      </c>
      <c r="E18" s="19" t="s">
        <v>55</v>
      </c>
      <c r="H18" s="16">
        <v>25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W18" s="68"/>
      <c r="X18" s="68"/>
      <c r="Y18" s="68"/>
      <c r="AC18" s="68"/>
      <c r="AD18" s="68"/>
      <c r="AE18" s="68"/>
    </row>
    <row r="19" spans="1:31" x14ac:dyDescent="0.25">
      <c r="A19" s="18" t="s">
        <v>5</v>
      </c>
      <c r="B19" s="16">
        <v>3</v>
      </c>
      <c r="C19" s="16" t="s">
        <v>53</v>
      </c>
      <c r="D19" s="16">
        <v>1</v>
      </c>
      <c r="E19" s="19" t="s">
        <v>24</v>
      </c>
      <c r="H19" s="16">
        <v>10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W19" s="68"/>
      <c r="X19" s="68"/>
      <c r="Y19" s="68"/>
      <c r="AC19" s="68"/>
      <c r="AD19" s="68"/>
      <c r="AE19" s="68"/>
    </row>
    <row r="20" spans="1:31" x14ac:dyDescent="0.25">
      <c r="A20" s="18" t="s">
        <v>26</v>
      </c>
      <c r="B20" s="16">
        <v>1</v>
      </c>
      <c r="C20" s="16" t="s">
        <v>53</v>
      </c>
      <c r="D20" s="16">
        <v>2</v>
      </c>
      <c r="E20" s="19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68"/>
      <c r="X20" s="68"/>
      <c r="Y20" s="68"/>
      <c r="AC20" s="68"/>
      <c r="AD20" s="68"/>
      <c r="AE20" s="68"/>
    </row>
    <row r="21" spans="1:31" x14ac:dyDescent="0.25">
      <c r="A21" s="18" t="s">
        <v>55</v>
      </c>
      <c r="B21" s="16">
        <v>1</v>
      </c>
      <c r="C21" s="16" t="s">
        <v>53</v>
      </c>
      <c r="D21" s="16">
        <v>1</v>
      </c>
      <c r="E21" s="19" t="s">
        <v>24</v>
      </c>
      <c r="H21" s="16">
        <v>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W21" s="68"/>
      <c r="X21" s="68"/>
      <c r="Y21" s="68"/>
      <c r="AC21" s="68"/>
      <c r="AD21" s="68"/>
      <c r="AE21" s="68"/>
    </row>
    <row r="22" spans="1:31" x14ac:dyDescent="0.25">
      <c r="A22" s="127" t="s">
        <v>63</v>
      </c>
      <c r="B22" s="127"/>
      <c r="C22" s="127"/>
      <c r="D22" s="127"/>
      <c r="E22" s="127"/>
      <c r="J22" s="17" t="str">
        <f>IF(Tabela!F23="","",Tabela!F23)</f>
        <v/>
      </c>
      <c r="K22" s="128" t="s">
        <v>63</v>
      </c>
      <c r="L22" s="128"/>
      <c r="M22" s="128"/>
      <c r="N22" s="128"/>
      <c r="O22" s="128"/>
      <c r="W22" s="68"/>
      <c r="X22" s="68"/>
      <c r="Y22" s="68"/>
      <c r="AC22" s="68"/>
      <c r="AD22" s="68"/>
      <c r="AE22" s="68"/>
    </row>
    <row r="23" spans="1:31" x14ac:dyDescent="0.25">
      <c r="A23" s="18" t="s">
        <v>13</v>
      </c>
      <c r="B23" s="16">
        <v>2</v>
      </c>
      <c r="C23" s="16" t="s">
        <v>53</v>
      </c>
      <c r="D23" s="16">
        <v>0</v>
      </c>
      <c r="E23" s="19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68"/>
      <c r="X23" s="68"/>
      <c r="Y23" s="68"/>
      <c r="AC23" s="68"/>
      <c r="AD23" s="68"/>
      <c r="AE23" s="68"/>
    </row>
    <row r="24" spans="1:31" x14ac:dyDescent="0.25">
      <c r="A24" s="18" t="s">
        <v>17</v>
      </c>
      <c r="B24" s="16">
        <v>3</v>
      </c>
      <c r="C24" s="16" t="s">
        <v>53</v>
      </c>
      <c r="D24" s="16">
        <v>0</v>
      </c>
      <c r="E24" s="19" t="s">
        <v>6</v>
      </c>
      <c r="H24" s="16">
        <v>10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Q24" s="17">
        <v>25</v>
      </c>
      <c r="R24" s="17">
        <v>15</v>
      </c>
      <c r="S24" s="17">
        <v>10</v>
      </c>
      <c r="T24" s="17">
        <v>5</v>
      </c>
      <c r="U24" s="17">
        <v>0</v>
      </c>
      <c r="W24" s="68"/>
      <c r="X24" s="68"/>
      <c r="Y24" s="68"/>
      <c r="AC24" s="68"/>
      <c r="AD24" s="68"/>
      <c r="AE24" s="68"/>
    </row>
    <row r="25" spans="1:31" x14ac:dyDescent="0.25">
      <c r="A25" s="18" t="s">
        <v>31</v>
      </c>
      <c r="B25" s="16">
        <v>1</v>
      </c>
      <c r="C25" s="16" t="s">
        <v>53</v>
      </c>
      <c r="D25" s="16">
        <v>2</v>
      </c>
      <c r="E25" s="19" t="s">
        <v>6</v>
      </c>
      <c r="H25" s="16">
        <v>10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Q25" s="22">
        <v>3</v>
      </c>
      <c r="R25" s="22">
        <v>10</v>
      </c>
      <c r="S25" s="22">
        <v>11</v>
      </c>
      <c r="T25" s="22">
        <v>9</v>
      </c>
      <c r="U25" s="22">
        <v>15</v>
      </c>
      <c r="W25" s="68"/>
      <c r="X25" s="68"/>
      <c r="Y25" s="68"/>
      <c r="AC25" s="68"/>
      <c r="AD25" s="68"/>
      <c r="AE25" s="68"/>
    </row>
    <row r="26" spans="1:31" x14ac:dyDescent="0.25">
      <c r="A26" s="18" t="s">
        <v>17</v>
      </c>
      <c r="B26" s="16">
        <v>2</v>
      </c>
      <c r="C26" s="16" t="s">
        <v>53</v>
      </c>
      <c r="D26" s="16">
        <v>0</v>
      </c>
      <c r="E26" s="19" t="s">
        <v>13</v>
      </c>
      <c r="H26" s="16">
        <v>15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68"/>
      <c r="X26" s="68"/>
      <c r="Y26" s="68"/>
      <c r="AC26" s="68"/>
      <c r="AD26" s="68"/>
      <c r="AE26" s="68"/>
    </row>
    <row r="27" spans="1:31" x14ac:dyDescent="0.25">
      <c r="A27" s="18" t="s">
        <v>31</v>
      </c>
      <c r="B27" s="16">
        <v>1</v>
      </c>
      <c r="C27" s="16" t="s">
        <v>53</v>
      </c>
      <c r="D27" s="16">
        <v>3</v>
      </c>
      <c r="E27" s="19" t="s">
        <v>17</v>
      </c>
      <c r="H27" s="16">
        <v>5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Q27" s="124" t="s">
        <v>42</v>
      </c>
      <c r="R27" s="124"/>
      <c r="S27" s="125" t="s">
        <v>8</v>
      </c>
      <c r="T27" s="125"/>
      <c r="U27" s="125" t="s">
        <v>17</v>
      </c>
      <c r="V27" s="125"/>
      <c r="W27" s="68"/>
      <c r="X27" s="68"/>
      <c r="Y27" s="68"/>
      <c r="AC27" s="68"/>
      <c r="AD27" s="68"/>
      <c r="AE27" s="68"/>
    </row>
    <row r="28" spans="1:31" x14ac:dyDescent="0.25">
      <c r="A28" s="18" t="s">
        <v>6</v>
      </c>
      <c r="B28" s="16">
        <v>1</v>
      </c>
      <c r="C28" s="16" t="s">
        <v>53</v>
      </c>
      <c r="D28" s="16">
        <v>1</v>
      </c>
      <c r="E28" s="19" t="s">
        <v>13</v>
      </c>
      <c r="H28" s="16">
        <v>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Q28" s="124" t="s">
        <v>41</v>
      </c>
      <c r="R28" s="124"/>
      <c r="S28" s="126" t="s">
        <v>128</v>
      </c>
      <c r="T28" s="126"/>
      <c r="U28" s="126" t="s">
        <v>130</v>
      </c>
      <c r="V28" s="126"/>
      <c r="W28" s="68"/>
      <c r="X28" s="68"/>
      <c r="Y28" s="68"/>
      <c r="AC28" s="68"/>
      <c r="AD28" s="68"/>
      <c r="AE28" s="68"/>
    </row>
    <row r="29" spans="1:31" x14ac:dyDescent="0.25">
      <c r="A29" s="127" t="s">
        <v>62</v>
      </c>
      <c r="B29" s="127"/>
      <c r="C29" s="127"/>
      <c r="D29" s="127"/>
      <c r="E29" s="127"/>
      <c r="K29" s="128" t="s">
        <v>62</v>
      </c>
      <c r="L29" s="128"/>
      <c r="M29" s="128"/>
      <c r="N29" s="128"/>
      <c r="O29" s="128"/>
      <c r="W29" s="68"/>
      <c r="X29" s="68"/>
      <c r="Y29" s="68"/>
      <c r="AC29" s="68"/>
      <c r="AD29" s="68"/>
      <c r="AE29" s="68"/>
    </row>
    <row r="30" spans="1:31" x14ac:dyDescent="0.25">
      <c r="A30" s="18" t="s">
        <v>4</v>
      </c>
      <c r="B30" s="16">
        <v>3</v>
      </c>
      <c r="C30" s="16" t="s">
        <v>53</v>
      </c>
      <c r="D30" s="16">
        <v>0</v>
      </c>
      <c r="E30" s="19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68"/>
      <c r="X30" s="68"/>
      <c r="Y30" s="68"/>
      <c r="AC30" s="68"/>
      <c r="AD30" s="68"/>
      <c r="AE30" s="68"/>
    </row>
    <row r="31" spans="1:31" x14ac:dyDescent="0.25">
      <c r="A31" s="18" t="s">
        <v>15</v>
      </c>
      <c r="B31" s="16">
        <v>2</v>
      </c>
      <c r="C31" s="16" t="s">
        <v>53</v>
      </c>
      <c r="D31" s="16">
        <v>0</v>
      </c>
      <c r="E31" s="19" t="s">
        <v>56</v>
      </c>
      <c r="H31" s="16">
        <v>15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2</v>
      </c>
      <c r="C32" s="16" t="s">
        <v>53</v>
      </c>
      <c r="D32" s="16">
        <v>0</v>
      </c>
      <c r="E32" s="19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2</v>
      </c>
      <c r="C33" s="16" t="s">
        <v>53</v>
      </c>
      <c r="D33" s="16">
        <v>2</v>
      </c>
      <c r="E33" s="19" t="s">
        <v>4</v>
      </c>
      <c r="H33" s="16">
        <v>10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1</v>
      </c>
      <c r="C34" s="16" t="s">
        <v>53</v>
      </c>
      <c r="D34" s="16">
        <v>2</v>
      </c>
      <c r="E34" s="19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0</v>
      </c>
      <c r="C35" s="16" t="s">
        <v>53</v>
      </c>
      <c r="D35" s="16">
        <v>3</v>
      </c>
      <c r="E35" s="19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27" t="s">
        <v>61</v>
      </c>
      <c r="B36" s="127"/>
      <c r="C36" s="127"/>
      <c r="D36" s="127"/>
      <c r="E36" s="127"/>
      <c r="J36" s="17" t="str">
        <f>IF(Tabela!L9="","",Tabela!L9)</f>
        <v/>
      </c>
      <c r="K36" s="128" t="s">
        <v>61</v>
      </c>
      <c r="L36" s="128"/>
      <c r="M36" s="128"/>
      <c r="N36" s="128"/>
      <c r="O36" s="128"/>
    </row>
    <row r="37" spans="1:15" x14ac:dyDescent="0.25">
      <c r="A37" s="18" t="s">
        <v>23</v>
      </c>
      <c r="B37" s="16">
        <v>0</v>
      </c>
      <c r="C37" s="16" t="s">
        <v>53</v>
      </c>
      <c r="D37" s="16">
        <v>2</v>
      </c>
      <c r="E37" s="19" t="s">
        <v>12</v>
      </c>
      <c r="H37" s="16">
        <v>5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2</v>
      </c>
      <c r="C38" s="16" t="s">
        <v>53</v>
      </c>
      <c r="D38" s="16">
        <v>0</v>
      </c>
      <c r="E38" s="19" t="s">
        <v>10</v>
      </c>
      <c r="H38" s="16">
        <v>15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3</v>
      </c>
      <c r="C39" s="16" t="s">
        <v>53</v>
      </c>
      <c r="D39" s="16">
        <v>0</v>
      </c>
      <c r="E39" s="19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1</v>
      </c>
      <c r="C40" s="16" t="s">
        <v>53</v>
      </c>
      <c r="D40" s="16">
        <v>0</v>
      </c>
      <c r="E40" s="19" t="s">
        <v>10</v>
      </c>
      <c r="H40" s="16">
        <v>10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1</v>
      </c>
      <c r="C41" s="16" t="s">
        <v>53</v>
      </c>
      <c r="D41" s="16">
        <v>1</v>
      </c>
      <c r="E41" s="19" t="s">
        <v>7</v>
      </c>
      <c r="H41" s="16">
        <v>10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1</v>
      </c>
      <c r="E42" s="19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27" t="s">
        <v>60</v>
      </c>
      <c r="B43" s="127"/>
      <c r="C43" s="127"/>
      <c r="D43" s="127"/>
      <c r="E43" s="127"/>
      <c r="J43" s="17" t="str">
        <f>IF(Tabela!L16="","",Tabela!L16)</f>
        <v/>
      </c>
      <c r="K43" s="128" t="s">
        <v>60</v>
      </c>
      <c r="L43" s="128"/>
      <c r="M43" s="128"/>
      <c r="N43" s="128"/>
      <c r="O43" s="128"/>
    </row>
    <row r="44" spans="1:15" x14ac:dyDescent="0.25">
      <c r="A44" s="18" t="s">
        <v>30</v>
      </c>
      <c r="B44" s="16">
        <v>2</v>
      </c>
      <c r="C44" s="16" t="s">
        <v>53</v>
      </c>
      <c r="D44" s="16">
        <v>0</v>
      </c>
      <c r="E44" s="19" t="s">
        <v>9</v>
      </c>
      <c r="H44" s="16">
        <v>15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2</v>
      </c>
      <c r="C45" s="16" t="s">
        <v>53</v>
      </c>
      <c r="D45" s="16">
        <v>1</v>
      </c>
      <c r="E45" s="19" t="s">
        <v>29</v>
      </c>
      <c r="H45" s="16">
        <v>15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1</v>
      </c>
      <c r="E46" s="19" t="s">
        <v>29</v>
      </c>
      <c r="H46" s="16">
        <v>10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0</v>
      </c>
      <c r="E47" s="19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3</v>
      </c>
      <c r="E48" s="19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1</v>
      </c>
      <c r="E49" s="19" t="s">
        <v>30</v>
      </c>
      <c r="H49" s="16">
        <v>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27" t="s">
        <v>59</v>
      </c>
      <c r="B50" s="127"/>
      <c r="C50" s="127"/>
      <c r="D50" s="127"/>
      <c r="E50" s="127"/>
      <c r="J50" s="17" t="str">
        <f>IF(Tabela!L23="","",Tabela!L23)</f>
        <v/>
      </c>
      <c r="K50" s="128" t="s">
        <v>59</v>
      </c>
      <c r="L50" s="128"/>
      <c r="M50" s="128"/>
      <c r="N50" s="128"/>
      <c r="O50" s="128"/>
    </row>
    <row r="51" spans="1:15" x14ac:dyDescent="0.25">
      <c r="A51" s="18" t="s">
        <v>32</v>
      </c>
      <c r="B51" s="16">
        <v>2</v>
      </c>
      <c r="C51" s="16" t="s">
        <v>53</v>
      </c>
      <c r="D51" s="16">
        <v>0</v>
      </c>
      <c r="E51" s="19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2</v>
      </c>
      <c r="C52" s="16" t="s">
        <v>53</v>
      </c>
      <c r="D52" s="16">
        <v>0</v>
      </c>
      <c r="E52" s="19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0</v>
      </c>
      <c r="C53" s="16" t="s">
        <v>53</v>
      </c>
      <c r="D53" s="16">
        <v>0</v>
      </c>
      <c r="E53" s="19" t="s">
        <v>18</v>
      </c>
      <c r="H53" s="16">
        <v>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2</v>
      </c>
      <c r="C54" s="16" t="s">
        <v>53</v>
      </c>
      <c r="D54" s="16">
        <v>1</v>
      </c>
      <c r="E54" s="19" t="s">
        <v>32</v>
      </c>
      <c r="H54" s="16">
        <v>15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0</v>
      </c>
      <c r="C55" s="16" t="s">
        <v>53</v>
      </c>
      <c r="D55" s="16">
        <v>3</v>
      </c>
      <c r="E55" s="19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0</v>
      </c>
      <c r="C56" s="16" t="s">
        <v>53</v>
      </c>
      <c r="D56" s="16">
        <v>2</v>
      </c>
      <c r="E56" s="19" t="s">
        <v>32</v>
      </c>
      <c r="H56" s="16">
        <v>25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145" t="s">
        <v>173</v>
      </c>
    </row>
    <row r="58" spans="1:15" x14ac:dyDescent="0.25">
      <c r="A58" s="135" t="str">
        <f>_xlfn.CONCAT(W2,A57)</f>
        <v>Anderson - Oitavas de Final</v>
      </c>
      <c r="B58" s="135"/>
      <c r="C58" s="135"/>
      <c r="D58" s="135"/>
      <c r="E58" s="135"/>
      <c r="K58" s="136" t="s">
        <v>171</v>
      </c>
      <c r="L58" s="136"/>
      <c r="M58" s="136"/>
      <c r="N58" s="136"/>
      <c r="O58" s="136"/>
    </row>
    <row r="59" spans="1:15" x14ac:dyDescent="0.25">
      <c r="A59" s="66" t="s">
        <v>19</v>
      </c>
      <c r="B59" s="2">
        <v>1</v>
      </c>
      <c r="C59" s="2" t="s">
        <v>53</v>
      </c>
      <c r="D59" s="2">
        <v>2</v>
      </c>
      <c r="E59" s="65" t="s">
        <v>166</v>
      </c>
      <c r="H59" s="16">
        <v>0</v>
      </c>
      <c r="J59" s="17" t="str">
        <f>IF(Tabela!F32="","",Tabela!F32)</f>
        <v/>
      </c>
      <c r="K59" s="67" t="str">
        <f>Tabela!A32</f>
        <v>Holanda</v>
      </c>
      <c r="L59" s="67">
        <f>Tabela!B32</f>
        <v>3</v>
      </c>
      <c r="M59" s="67" t="str">
        <f>Tabela!C32</f>
        <v>X</v>
      </c>
      <c r="N59" s="67">
        <f>Tabela!D32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1</v>
      </c>
      <c r="E60" s="65" t="s">
        <v>6</v>
      </c>
      <c r="J60" s="17" t="str">
        <f>IF(Tabela!F33="","",Tabela!F33)</f>
        <v>N</v>
      </c>
      <c r="K60" s="67" t="str">
        <f>Tabela!A33</f>
        <v>Argentina</v>
      </c>
      <c r="L60" s="67">
        <f>Tabela!B33</f>
        <v>0</v>
      </c>
      <c r="M60" s="67" t="str">
        <f>Tabela!C33</f>
        <v>X</v>
      </c>
      <c r="N60" s="67">
        <f>Tabela!D33</f>
        <v>0</v>
      </c>
      <c r="O60" s="67" t="str">
        <f>Tabela!E33</f>
        <v>Austrália</v>
      </c>
    </row>
    <row r="61" spans="1:15" x14ac:dyDescent="0.25">
      <c r="A61" s="66" t="s">
        <v>22</v>
      </c>
      <c r="B61" s="2">
        <v>1</v>
      </c>
      <c r="C61" s="2" t="s">
        <v>53</v>
      </c>
      <c r="D61" s="2">
        <v>0</v>
      </c>
      <c r="E61" s="65" t="s">
        <v>12</v>
      </c>
      <c r="J61" s="17" t="str">
        <f>IF(Tabela!F34="","",Tabela!F34)</f>
        <v>N</v>
      </c>
      <c r="K61" s="67" t="str">
        <f>Tabela!A34</f>
        <v>Japão</v>
      </c>
      <c r="L61" s="67">
        <f>Tabela!B34</f>
        <v>0</v>
      </c>
      <c r="M61" s="67" t="str">
        <f>Tabela!C34</f>
        <v>X</v>
      </c>
      <c r="N61" s="67">
        <f>Tabela!D34</f>
        <v>0</v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1</v>
      </c>
      <c r="E62" s="65" t="s">
        <v>167</v>
      </c>
      <c r="J62" s="17" t="str">
        <f>IF(Tabela!F35="","",Tabela!F35)</f>
        <v>N</v>
      </c>
      <c r="K62" s="67" t="str">
        <f>Tabela!A35</f>
        <v>Brasil</v>
      </c>
      <c r="L62" s="67">
        <f>Tabela!B35</f>
        <v>0</v>
      </c>
      <c r="M62" s="67" t="str">
        <f>Tabela!C35</f>
        <v>X</v>
      </c>
      <c r="N62" s="67">
        <f>Tabela!D35</f>
        <v>0</v>
      </c>
      <c r="O62" s="67" t="str">
        <f>Tabela!E35</f>
        <v>Coréia</v>
      </c>
    </row>
    <row r="63" spans="1:15" x14ac:dyDescent="0.25">
      <c r="A63" s="66" t="s">
        <v>20</v>
      </c>
      <c r="B63" s="2">
        <v>0</v>
      </c>
      <c r="C63" s="2" t="s">
        <v>53</v>
      </c>
      <c r="D63" s="2">
        <v>1</v>
      </c>
      <c r="E63" s="65" t="s">
        <v>28</v>
      </c>
      <c r="J63" s="17" t="str">
        <f>IF(Tabela!F36="","",Tabela!F36)</f>
        <v>N</v>
      </c>
      <c r="K63" s="67" t="str">
        <f>Tabela!A36</f>
        <v>Inglaterra</v>
      </c>
      <c r="L63" s="67">
        <f>Tabela!B36</f>
        <v>0</v>
      </c>
      <c r="M63" s="67" t="str">
        <f>Tabela!C36</f>
        <v>X</v>
      </c>
      <c r="N63" s="67">
        <f>Tabela!D36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2</v>
      </c>
      <c r="C64" s="2" t="s">
        <v>53</v>
      </c>
      <c r="D64" s="2">
        <v>0</v>
      </c>
      <c r="E64" s="65" t="s">
        <v>26</v>
      </c>
      <c r="J64" s="17" t="str">
        <f>IF(Tabela!F37="","",Tabela!F37)</f>
        <v>N</v>
      </c>
      <c r="K64" s="67" t="str">
        <f>Tabela!A37</f>
        <v>França</v>
      </c>
      <c r="L64" s="67">
        <f>Tabela!B37</f>
        <v>0</v>
      </c>
      <c r="M64" s="67" t="str">
        <f>Tabela!C37</f>
        <v>X</v>
      </c>
      <c r="N64" s="67">
        <f>Tabela!D37</f>
        <v>0</v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0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7">
        <f>Tabela!B38</f>
        <v>0</v>
      </c>
      <c r="M65" s="67" t="str">
        <f>Tabela!C38</f>
        <v>X</v>
      </c>
      <c r="N65" s="67">
        <f>Tabela!D38</f>
        <v>0</v>
      </c>
      <c r="O65" s="67" t="str">
        <f>Tabela!E38</f>
        <v>Espanha</v>
      </c>
    </row>
    <row r="66" spans="1:15" x14ac:dyDescent="0.25">
      <c r="A66" s="66" t="s">
        <v>27</v>
      </c>
      <c r="B66" s="2">
        <v>1</v>
      </c>
      <c r="C66" s="2" t="s">
        <v>53</v>
      </c>
      <c r="D66" s="2">
        <v>0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7">
        <f>Tabela!B39</f>
        <v>0</v>
      </c>
      <c r="M66" s="67" t="str">
        <f>Tabela!C39</f>
        <v>X</v>
      </c>
      <c r="N66" s="67">
        <f>Tabela!D39</f>
        <v>0</v>
      </c>
      <c r="O66" s="67" t="str">
        <f>Tabela!E39</f>
        <v>Suíça</v>
      </c>
    </row>
  </sheetData>
  <mergeCells count="71">
    <mergeCell ref="A58:E58"/>
    <mergeCell ref="K58:O58"/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A1:E1"/>
    <mergeCell ref="A8:E8"/>
    <mergeCell ref="A15:E15"/>
    <mergeCell ref="A22:E22"/>
    <mergeCell ref="K1:O1"/>
    <mergeCell ref="K8:O8"/>
    <mergeCell ref="A2:E2"/>
    <mergeCell ref="K36:O36"/>
    <mergeCell ref="K43:O43"/>
    <mergeCell ref="K50:O50"/>
    <mergeCell ref="K29:O29"/>
    <mergeCell ref="A29:E29"/>
    <mergeCell ref="A36:E36"/>
    <mergeCell ref="A43:E43"/>
    <mergeCell ref="A50:E50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27:R27"/>
    <mergeCell ref="S27:T27"/>
    <mergeCell ref="U27:V27"/>
    <mergeCell ref="Q28:R28"/>
    <mergeCell ref="S28:T28"/>
    <mergeCell ref="U28:V2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A4E645-B7DC-4A70-A682-FDA9132CDC67}">
  <sheetPr codeName="Planilha26">
    <tabColor rgb="FF0070C0"/>
  </sheetPr>
  <dimension ref="A1:AE66"/>
  <sheetViews>
    <sheetView zoomScale="85" zoomScaleNormal="85" workbookViewId="0">
      <pane xSplit="15" ySplit="16" topLeftCell="P18" activePane="bottomRight" state="frozen"/>
      <selection pane="topRight" activeCell="P1" sqref="P1"/>
      <selection pane="bottomLeft" activeCell="A17" sqref="A17"/>
      <selection pane="bottomRight" activeCell="Q25" sqref="Q25:U25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43" width="5.7109375" style="17" customWidth="1"/>
    <col min="44" max="16384" width="9.140625" style="17"/>
  </cols>
  <sheetData>
    <row r="1" spans="1:31" x14ac:dyDescent="0.25">
      <c r="A1" s="127" t="s">
        <v>58</v>
      </c>
      <c r="B1" s="127"/>
      <c r="C1" s="127"/>
      <c r="D1" s="127"/>
      <c r="E1" s="127"/>
      <c r="K1" s="128" t="s">
        <v>58</v>
      </c>
      <c r="L1" s="128"/>
      <c r="M1" s="128"/>
      <c r="N1" s="128"/>
      <c r="O1" s="128"/>
    </row>
    <row r="2" spans="1:31" x14ac:dyDescent="0.25">
      <c r="A2" s="133" t="s">
        <v>43</v>
      </c>
      <c r="B2" s="133"/>
      <c r="C2" s="133"/>
      <c r="D2" s="133"/>
      <c r="E2" s="133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31" t="s">
        <v>89</v>
      </c>
      <c r="X2" s="131"/>
      <c r="Y2" s="131"/>
      <c r="Z2" s="131"/>
      <c r="AA2" s="131"/>
      <c r="AB2" s="131"/>
      <c r="AC2" s="131"/>
      <c r="AD2" s="131"/>
      <c r="AE2" s="131"/>
    </row>
    <row r="3" spans="1:31" x14ac:dyDescent="0.25">
      <c r="A3" s="18" t="s">
        <v>28</v>
      </c>
      <c r="B3" s="16">
        <v>1</v>
      </c>
      <c r="C3" s="16" t="s">
        <v>53</v>
      </c>
      <c r="D3" s="16">
        <v>2</v>
      </c>
      <c r="E3" s="19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31"/>
      <c r="X3" s="131"/>
      <c r="Y3" s="131"/>
      <c r="Z3" s="131"/>
      <c r="AA3" s="131"/>
      <c r="AB3" s="131"/>
      <c r="AC3" s="131"/>
      <c r="AD3" s="131"/>
      <c r="AE3" s="131"/>
    </row>
    <row r="4" spans="1:31" x14ac:dyDescent="0.25">
      <c r="A4" s="18" t="s">
        <v>11</v>
      </c>
      <c r="B4" s="16">
        <v>1</v>
      </c>
      <c r="C4" s="16" t="s">
        <v>53</v>
      </c>
      <c r="D4" s="16">
        <v>2</v>
      </c>
      <c r="E4" s="19" t="s">
        <v>28</v>
      </c>
      <c r="H4" s="16">
        <v>15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31"/>
      <c r="X4" s="131"/>
      <c r="Y4" s="131"/>
      <c r="Z4" s="131"/>
      <c r="AA4" s="131"/>
      <c r="AB4" s="131"/>
      <c r="AC4" s="131"/>
      <c r="AD4" s="131"/>
      <c r="AE4" s="131"/>
    </row>
    <row r="5" spans="1:31" x14ac:dyDescent="0.25">
      <c r="A5" s="18" t="s">
        <v>19</v>
      </c>
      <c r="B5" s="16">
        <v>2</v>
      </c>
      <c r="C5" s="16" t="s">
        <v>53</v>
      </c>
      <c r="D5" s="16">
        <v>2</v>
      </c>
      <c r="E5" s="19" t="s">
        <v>14</v>
      </c>
      <c r="H5" s="16">
        <v>10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31"/>
      <c r="X5" s="131"/>
      <c r="Y5" s="131"/>
      <c r="Z5" s="131"/>
      <c r="AA5" s="131"/>
      <c r="AB5" s="131"/>
      <c r="AC5" s="131"/>
      <c r="AD5" s="131"/>
      <c r="AE5" s="131"/>
    </row>
    <row r="6" spans="1:31" x14ac:dyDescent="0.25">
      <c r="A6" s="18" t="s">
        <v>19</v>
      </c>
      <c r="B6" s="16">
        <v>3</v>
      </c>
      <c r="C6" s="16" t="s">
        <v>53</v>
      </c>
      <c r="D6" s="16">
        <v>1</v>
      </c>
      <c r="E6" s="19" t="s">
        <v>11</v>
      </c>
      <c r="H6" s="16">
        <v>10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31"/>
      <c r="X6" s="131"/>
      <c r="Y6" s="131"/>
      <c r="Z6" s="131"/>
      <c r="AA6" s="131"/>
      <c r="AB6" s="131"/>
      <c r="AC6" s="131"/>
      <c r="AD6" s="131"/>
      <c r="AE6" s="131"/>
    </row>
    <row r="7" spans="1:31" x14ac:dyDescent="0.25">
      <c r="A7" s="18" t="s">
        <v>14</v>
      </c>
      <c r="B7" s="16">
        <v>2</v>
      </c>
      <c r="C7" s="16" t="s">
        <v>53</v>
      </c>
      <c r="D7" s="16">
        <v>1</v>
      </c>
      <c r="E7" s="19" t="s">
        <v>28</v>
      </c>
      <c r="H7" s="16">
        <v>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27" t="s">
        <v>65</v>
      </c>
      <c r="B8" s="127"/>
      <c r="C8" s="127"/>
      <c r="D8" s="127"/>
      <c r="E8" s="127"/>
      <c r="J8" s="17" t="str">
        <f>IF(Tabela!F9="","",Tabela!F9)</f>
        <v/>
      </c>
      <c r="K8" s="128" t="s">
        <v>65</v>
      </c>
      <c r="L8" s="128"/>
      <c r="M8" s="128"/>
      <c r="N8" s="128"/>
      <c r="O8" s="128"/>
    </row>
    <row r="9" spans="1:31" x14ac:dyDescent="0.25">
      <c r="A9" s="133" t="s">
        <v>43</v>
      </c>
      <c r="B9" s="133"/>
      <c r="C9" s="133"/>
      <c r="D9" s="133"/>
      <c r="E9" s="133"/>
      <c r="J9" s="17" t="s">
        <v>68</v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29" t="s">
        <v>66</v>
      </c>
      <c r="R9" s="129"/>
      <c r="S9" s="129"/>
      <c r="T9" s="129"/>
      <c r="U9" s="129"/>
      <c r="W9" s="68" t="s">
        <v>124</v>
      </c>
      <c r="X9" s="68"/>
      <c r="Y9" s="68"/>
      <c r="Z9" s="68"/>
      <c r="AA9" s="68"/>
      <c r="AB9" s="68"/>
      <c r="AC9" s="68"/>
      <c r="AD9" s="68"/>
      <c r="AE9" s="68"/>
    </row>
    <row r="10" spans="1:31" x14ac:dyDescent="0.25">
      <c r="A10" s="18" t="s">
        <v>54</v>
      </c>
      <c r="B10" s="16">
        <v>1</v>
      </c>
      <c r="C10" s="16" t="s">
        <v>53</v>
      </c>
      <c r="D10" s="16">
        <v>1</v>
      </c>
      <c r="E10" s="19" t="s">
        <v>34</v>
      </c>
      <c r="H10" s="16">
        <v>25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29"/>
      <c r="R10" s="129"/>
      <c r="S10" s="129"/>
      <c r="T10" s="129"/>
      <c r="U10" s="129"/>
      <c r="W10" s="68" t="s">
        <v>16</v>
      </c>
      <c r="X10" s="68"/>
      <c r="Y10" s="68"/>
      <c r="Z10" s="54">
        <v>1</v>
      </c>
      <c r="AB10" s="54">
        <v>1</v>
      </c>
      <c r="AC10" s="68" t="s">
        <v>34</v>
      </c>
      <c r="AD10" s="68"/>
      <c r="AE10" s="68"/>
    </row>
    <row r="11" spans="1:31" x14ac:dyDescent="0.25">
      <c r="A11" s="18" t="s">
        <v>34</v>
      </c>
      <c r="B11" s="16">
        <v>1</v>
      </c>
      <c r="C11" s="16" t="s">
        <v>53</v>
      </c>
      <c r="D11" s="16">
        <v>2</v>
      </c>
      <c r="E11" s="19" t="s">
        <v>21</v>
      </c>
      <c r="H11" s="16">
        <v>15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30">
        <f>SUM(H2:H66)</f>
        <v>400</v>
      </c>
      <c r="R11" s="130"/>
      <c r="S11" s="130"/>
      <c r="T11" s="130"/>
      <c r="U11" s="130"/>
      <c r="W11" s="68" t="s">
        <v>55</v>
      </c>
      <c r="X11" s="68"/>
      <c r="Y11" s="68"/>
      <c r="Z11" s="54">
        <v>1</v>
      </c>
      <c r="AB11" s="54">
        <v>2</v>
      </c>
      <c r="AC11" s="68" t="s">
        <v>24</v>
      </c>
      <c r="AD11" s="68"/>
      <c r="AE11" s="68"/>
    </row>
    <row r="12" spans="1:31" x14ac:dyDescent="0.25">
      <c r="A12" s="18" t="s">
        <v>20</v>
      </c>
      <c r="B12" s="16">
        <v>3</v>
      </c>
      <c r="C12" s="16" t="s">
        <v>53</v>
      </c>
      <c r="D12" s="16">
        <v>1</v>
      </c>
      <c r="E12" s="19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30"/>
      <c r="R12" s="130"/>
      <c r="S12" s="130"/>
      <c r="T12" s="130"/>
      <c r="U12" s="130"/>
      <c r="W12" s="68" t="s">
        <v>10</v>
      </c>
      <c r="X12" s="68"/>
      <c r="Y12" s="68"/>
      <c r="Z12" s="54">
        <v>1</v>
      </c>
      <c r="AB12" s="54">
        <v>2</v>
      </c>
      <c r="AC12" s="68" t="s">
        <v>23</v>
      </c>
      <c r="AD12" s="68"/>
      <c r="AE12" s="68"/>
    </row>
    <row r="13" spans="1:31" x14ac:dyDescent="0.25">
      <c r="A13" s="18" t="s">
        <v>21</v>
      </c>
      <c r="B13" s="16">
        <v>1</v>
      </c>
      <c r="C13" s="16" t="s">
        <v>53</v>
      </c>
      <c r="D13" s="16">
        <v>0</v>
      </c>
      <c r="E13" s="19" t="s">
        <v>54</v>
      </c>
      <c r="H13" s="16">
        <v>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30"/>
      <c r="R13" s="130"/>
      <c r="S13" s="130"/>
      <c r="T13" s="130"/>
      <c r="U13" s="130"/>
      <c r="W13" s="68"/>
      <c r="X13" s="68"/>
      <c r="Y13" s="68"/>
      <c r="AC13" s="68"/>
      <c r="AD13" s="68"/>
      <c r="AE13" s="68"/>
    </row>
    <row r="14" spans="1:31" x14ac:dyDescent="0.25">
      <c r="A14" s="18" t="s">
        <v>34</v>
      </c>
      <c r="B14" s="16">
        <v>1</v>
      </c>
      <c r="C14" s="16" t="s">
        <v>53</v>
      </c>
      <c r="D14" s="16">
        <v>4</v>
      </c>
      <c r="E14" s="19" t="s">
        <v>20</v>
      </c>
      <c r="H14" s="16">
        <v>10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30"/>
      <c r="R14" s="130"/>
      <c r="S14" s="130"/>
      <c r="T14" s="130"/>
      <c r="U14" s="130"/>
      <c r="W14" s="68"/>
      <c r="X14" s="68"/>
      <c r="Y14" s="68"/>
      <c r="AC14" s="68"/>
      <c r="AD14" s="68"/>
      <c r="AE14" s="68"/>
    </row>
    <row r="15" spans="1:31" x14ac:dyDescent="0.25">
      <c r="A15" s="127" t="s">
        <v>64</v>
      </c>
      <c r="B15" s="127"/>
      <c r="C15" s="127"/>
      <c r="D15" s="127"/>
      <c r="E15" s="127"/>
      <c r="J15" s="17" t="str">
        <f>IF(Tabela!F16="","",Tabela!F16)</f>
        <v/>
      </c>
      <c r="K15" s="128" t="s">
        <v>64</v>
      </c>
      <c r="L15" s="128"/>
      <c r="M15" s="128"/>
      <c r="N15" s="128"/>
      <c r="O15" s="128"/>
      <c r="Q15" s="130"/>
      <c r="R15" s="130"/>
      <c r="S15" s="130"/>
      <c r="T15" s="130"/>
      <c r="U15" s="130"/>
      <c r="W15" s="68"/>
      <c r="X15" s="68"/>
      <c r="Y15" s="68"/>
      <c r="AC15" s="68"/>
      <c r="AD15" s="68"/>
      <c r="AE15" s="68"/>
    </row>
    <row r="16" spans="1:31" x14ac:dyDescent="0.25">
      <c r="A16" s="18" t="s">
        <v>5</v>
      </c>
      <c r="B16" s="16">
        <v>3</v>
      </c>
      <c r="C16" s="16" t="s">
        <v>53</v>
      </c>
      <c r="D16" s="16">
        <v>1</v>
      </c>
      <c r="E16" s="19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68"/>
      <c r="X16" s="68"/>
      <c r="Y16" s="68"/>
      <c r="AC16" s="68"/>
      <c r="AD16" s="68"/>
      <c r="AE16" s="68"/>
    </row>
    <row r="17" spans="1:31" x14ac:dyDescent="0.25">
      <c r="A17" s="18" t="s">
        <v>24</v>
      </c>
      <c r="B17" s="16">
        <v>2</v>
      </c>
      <c r="C17" s="16" t="s">
        <v>53</v>
      </c>
      <c r="D17" s="16">
        <v>2</v>
      </c>
      <c r="E17" s="19" t="s">
        <v>26</v>
      </c>
      <c r="H17" s="16">
        <v>10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68"/>
      <c r="X17" s="68"/>
      <c r="Y17" s="68"/>
      <c r="AC17" s="68"/>
      <c r="AD17" s="68"/>
      <c r="AE17" s="68"/>
    </row>
    <row r="18" spans="1:31" x14ac:dyDescent="0.25">
      <c r="A18" s="18" t="s">
        <v>26</v>
      </c>
      <c r="B18" s="16">
        <v>2</v>
      </c>
      <c r="C18" s="16" t="s">
        <v>53</v>
      </c>
      <c r="D18" s="16">
        <v>1</v>
      </c>
      <c r="E18" s="19" t="s">
        <v>55</v>
      </c>
      <c r="H18" s="16">
        <v>15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W18" s="68"/>
      <c r="X18" s="68"/>
      <c r="Y18" s="68"/>
      <c r="AC18" s="68"/>
      <c r="AD18" s="68"/>
      <c r="AE18" s="68"/>
    </row>
    <row r="19" spans="1:31" x14ac:dyDescent="0.25">
      <c r="A19" s="18" t="s">
        <v>5</v>
      </c>
      <c r="B19" s="16">
        <v>3</v>
      </c>
      <c r="C19" s="16" t="s">
        <v>53</v>
      </c>
      <c r="D19" s="16">
        <v>1</v>
      </c>
      <c r="E19" s="19" t="s">
        <v>24</v>
      </c>
      <c r="H19" s="16">
        <v>10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W19" s="68"/>
      <c r="X19" s="68"/>
      <c r="Y19" s="68"/>
      <c r="AC19" s="68"/>
      <c r="AD19" s="68"/>
      <c r="AE19" s="68"/>
    </row>
    <row r="20" spans="1:31" x14ac:dyDescent="0.25">
      <c r="A20" s="18" t="s">
        <v>26</v>
      </c>
      <c r="B20" s="16">
        <v>1</v>
      </c>
      <c r="C20" s="16" t="s">
        <v>53</v>
      </c>
      <c r="D20" s="16">
        <v>2</v>
      </c>
      <c r="E20" s="19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68"/>
      <c r="X20" s="68"/>
      <c r="Y20" s="68"/>
      <c r="AC20" s="68"/>
      <c r="AD20" s="68"/>
      <c r="AE20" s="68"/>
    </row>
    <row r="21" spans="1:31" x14ac:dyDescent="0.25">
      <c r="A21" s="18" t="s">
        <v>55</v>
      </c>
      <c r="B21" s="16">
        <v>1</v>
      </c>
      <c r="C21" s="16" t="s">
        <v>53</v>
      </c>
      <c r="D21" s="16">
        <v>2</v>
      </c>
      <c r="E21" s="19" t="s">
        <v>24</v>
      </c>
      <c r="H21" s="16">
        <v>25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W21" s="68"/>
      <c r="X21" s="68"/>
      <c r="Y21" s="68"/>
      <c r="AC21" s="68"/>
      <c r="AD21" s="68"/>
      <c r="AE21" s="68"/>
    </row>
    <row r="22" spans="1:31" x14ac:dyDescent="0.25">
      <c r="A22" s="127" t="s">
        <v>63</v>
      </c>
      <c r="B22" s="127"/>
      <c r="C22" s="127"/>
      <c r="D22" s="127"/>
      <c r="E22" s="127"/>
      <c r="J22" s="17" t="str">
        <f>IF(Tabela!F23="","",Tabela!F23)</f>
        <v/>
      </c>
      <c r="K22" s="128" t="s">
        <v>63</v>
      </c>
      <c r="L22" s="128"/>
      <c r="M22" s="128"/>
      <c r="N22" s="128"/>
      <c r="O22" s="128"/>
      <c r="W22" s="68"/>
      <c r="X22" s="68"/>
      <c r="Y22" s="68"/>
      <c r="AC22" s="68"/>
      <c r="AD22" s="68"/>
      <c r="AE22" s="68"/>
    </row>
    <row r="23" spans="1:31" x14ac:dyDescent="0.25">
      <c r="A23" s="18" t="s">
        <v>13</v>
      </c>
      <c r="B23" s="16">
        <v>1</v>
      </c>
      <c r="C23" s="16" t="s">
        <v>53</v>
      </c>
      <c r="D23" s="16">
        <v>0</v>
      </c>
      <c r="E23" s="19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68"/>
      <c r="X23" s="68"/>
      <c r="Y23" s="68"/>
      <c r="AC23" s="68"/>
      <c r="AD23" s="68"/>
      <c r="AE23" s="68"/>
    </row>
    <row r="24" spans="1:31" x14ac:dyDescent="0.25">
      <c r="A24" s="18" t="s">
        <v>17</v>
      </c>
      <c r="B24" s="16">
        <v>2</v>
      </c>
      <c r="C24" s="16" t="s">
        <v>53</v>
      </c>
      <c r="D24" s="16">
        <v>0</v>
      </c>
      <c r="E24" s="19" t="s">
        <v>6</v>
      </c>
      <c r="H24" s="16">
        <v>10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Q24" s="17">
        <v>25</v>
      </c>
      <c r="R24" s="17">
        <v>15</v>
      </c>
      <c r="S24" s="17">
        <v>10</v>
      </c>
      <c r="T24" s="17">
        <v>5</v>
      </c>
      <c r="U24" s="17">
        <v>0</v>
      </c>
      <c r="W24" s="68"/>
      <c r="X24" s="68"/>
      <c r="Y24" s="68"/>
      <c r="AC24" s="68"/>
      <c r="AD24" s="68"/>
      <c r="AE24" s="68"/>
    </row>
    <row r="25" spans="1:31" x14ac:dyDescent="0.25">
      <c r="A25" s="18" t="s">
        <v>31</v>
      </c>
      <c r="B25" s="16">
        <v>2</v>
      </c>
      <c r="C25" s="16" t="s">
        <v>53</v>
      </c>
      <c r="D25" s="16">
        <v>0</v>
      </c>
      <c r="E25" s="19" t="s">
        <v>6</v>
      </c>
      <c r="H25" s="16">
        <v>0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Q25" s="22">
        <v>3</v>
      </c>
      <c r="R25" s="22">
        <v>8</v>
      </c>
      <c r="S25" s="22">
        <v>18</v>
      </c>
      <c r="T25" s="22">
        <v>5</v>
      </c>
      <c r="U25" s="22">
        <v>13</v>
      </c>
      <c r="W25" s="68"/>
      <c r="X25" s="68"/>
      <c r="Y25" s="68"/>
      <c r="AC25" s="68"/>
      <c r="AD25" s="68"/>
      <c r="AE25" s="68"/>
    </row>
    <row r="26" spans="1:31" x14ac:dyDescent="0.25">
      <c r="A26" s="18" t="s">
        <v>17</v>
      </c>
      <c r="B26" s="16">
        <v>3</v>
      </c>
      <c r="C26" s="16" t="s">
        <v>53</v>
      </c>
      <c r="D26" s="16">
        <v>0</v>
      </c>
      <c r="E26" s="19" t="s">
        <v>13</v>
      </c>
      <c r="H26" s="16">
        <v>10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68"/>
      <c r="X26" s="68"/>
      <c r="Y26" s="68"/>
      <c r="AC26" s="68"/>
      <c r="AD26" s="68"/>
      <c r="AE26" s="68"/>
    </row>
    <row r="27" spans="1:31" x14ac:dyDescent="0.25">
      <c r="A27" s="18" t="s">
        <v>31</v>
      </c>
      <c r="B27" s="16">
        <v>1</v>
      </c>
      <c r="C27" s="16" t="s">
        <v>53</v>
      </c>
      <c r="D27" s="16">
        <v>3</v>
      </c>
      <c r="E27" s="19" t="s">
        <v>17</v>
      </c>
      <c r="H27" s="16">
        <v>5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Q27" s="124" t="s">
        <v>42</v>
      </c>
      <c r="R27" s="124"/>
      <c r="S27" s="125" t="s">
        <v>8</v>
      </c>
      <c r="T27" s="125"/>
      <c r="U27" s="125" t="s">
        <v>15</v>
      </c>
      <c r="V27" s="125"/>
      <c r="W27" s="68"/>
      <c r="X27" s="68"/>
      <c r="Y27" s="68"/>
      <c r="AC27" s="68"/>
      <c r="AD27" s="68"/>
      <c r="AE27" s="68"/>
    </row>
    <row r="28" spans="1:31" x14ac:dyDescent="0.25">
      <c r="A28" s="18" t="s">
        <v>6</v>
      </c>
      <c r="B28" s="16">
        <v>2</v>
      </c>
      <c r="C28" s="16" t="s">
        <v>53</v>
      </c>
      <c r="D28" s="16">
        <v>1</v>
      </c>
      <c r="E28" s="19" t="s">
        <v>13</v>
      </c>
      <c r="H28" s="16">
        <v>10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Q28" s="124" t="s">
        <v>41</v>
      </c>
      <c r="R28" s="124"/>
      <c r="S28" s="126" t="s">
        <v>129</v>
      </c>
      <c r="T28" s="126"/>
      <c r="U28" s="126" t="s">
        <v>130</v>
      </c>
      <c r="V28" s="126"/>
      <c r="W28" s="68"/>
      <c r="X28" s="68"/>
      <c r="Y28" s="68"/>
      <c r="AC28" s="68"/>
      <c r="AD28" s="68"/>
      <c r="AE28" s="68"/>
    </row>
    <row r="29" spans="1:31" x14ac:dyDescent="0.25">
      <c r="A29" s="127" t="s">
        <v>62</v>
      </c>
      <c r="B29" s="127"/>
      <c r="C29" s="127"/>
      <c r="D29" s="127"/>
      <c r="E29" s="127"/>
      <c r="K29" s="128" t="s">
        <v>62</v>
      </c>
      <c r="L29" s="128"/>
      <c r="M29" s="128"/>
      <c r="N29" s="128"/>
      <c r="O29" s="128"/>
      <c r="W29" s="68"/>
      <c r="X29" s="68"/>
      <c r="Y29" s="68"/>
      <c r="AC29" s="68"/>
      <c r="AD29" s="68"/>
      <c r="AE29" s="68"/>
    </row>
    <row r="30" spans="1:31" x14ac:dyDescent="0.25">
      <c r="A30" s="18" t="s">
        <v>4</v>
      </c>
      <c r="B30" s="16">
        <v>3</v>
      </c>
      <c r="C30" s="16" t="s">
        <v>53</v>
      </c>
      <c r="D30" s="16">
        <v>1</v>
      </c>
      <c r="E30" s="19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68"/>
      <c r="X30" s="68"/>
      <c r="Y30" s="68"/>
      <c r="AC30" s="68"/>
      <c r="AD30" s="68"/>
      <c r="AE30" s="68"/>
    </row>
    <row r="31" spans="1:31" x14ac:dyDescent="0.25">
      <c r="A31" s="18" t="s">
        <v>15</v>
      </c>
      <c r="B31" s="16">
        <v>3</v>
      </c>
      <c r="C31" s="16" t="s">
        <v>53</v>
      </c>
      <c r="D31" s="16">
        <v>2</v>
      </c>
      <c r="E31" s="19" t="s">
        <v>56</v>
      </c>
      <c r="H31" s="16">
        <v>10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3</v>
      </c>
      <c r="C32" s="16" t="s">
        <v>53</v>
      </c>
      <c r="D32" s="16">
        <v>1</v>
      </c>
      <c r="E32" s="19" t="s">
        <v>56</v>
      </c>
      <c r="H32" s="16">
        <v>5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3</v>
      </c>
      <c r="C33" s="16" t="s">
        <v>53</v>
      </c>
      <c r="D33" s="16">
        <v>2</v>
      </c>
      <c r="E33" s="19" t="s">
        <v>4</v>
      </c>
      <c r="H33" s="16">
        <v>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1</v>
      </c>
      <c r="C34" s="16" t="s">
        <v>53</v>
      </c>
      <c r="D34" s="16">
        <v>2</v>
      </c>
      <c r="E34" s="19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1</v>
      </c>
      <c r="C35" s="16" t="s">
        <v>53</v>
      </c>
      <c r="D35" s="16">
        <v>3</v>
      </c>
      <c r="E35" s="19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27" t="s">
        <v>61</v>
      </c>
      <c r="B36" s="127"/>
      <c r="C36" s="127"/>
      <c r="D36" s="127"/>
      <c r="E36" s="127"/>
      <c r="J36" s="17" t="str">
        <f>IF(Tabela!L9="","",Tabela!L9)</f>
        <v/>
      </c>
      <c r="K36" s="128" t="s">
        <v>61</v>
      </c>
      <c r="L36" s="128"/>
      <c r="M36" s="128"/>
      <c r="N36" s="128"/>
      <c r="O36" s="128"/>
    </row>
    <row r="37" spans="1:15" x14ac:dyDescent="0.25">
      <c r="A37" s="18" t="s">
        <v>23</v>
      </c>
      <c r="B37" s="16">
        <v>1</v>
      </c>
      <c r="C37" s="16" t="s">
        <v>53</v>
      </c>
      <c r="D37" s="16">
        <v>2</v>
      </c>
      <c r="E37" s="19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3</v>
      </c>
      <c r="C38" s="16" t="s">
        <v>53</v>
      </c>
      <c r="D38" s="16">
        <v>1</v>
      </c>
      <c r="E38" s="19" t="s">
        <v>10</v>
      </c>
      <c r="H38" s="16">
        <v>10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2</v>
      </c>
      <c r="C39" s="16" t="s">
        <v>53</v>
      </c>
      <c r="D39" s="16">
        <v>1</v>
      </c>
      <c r="E39" s="19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2</v>
      </c>
      <c r="C40" s="16" t="s">
        <v>53</v>
      </c>
      <c r="D40" s="16">
        <v>1</v>
      </c>
      <c r="E40" s="19" t="s">
        <v>10</v>
      </c>
      <c r="H40" s="16">
        <v>15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2</v>
      </c>
      <c r="C41" s="16" t="s">
        <v>53</v>
      </c>
      <c r="D41" s="16">
        <v>2</v>
      </c>
      <c r="E41" s="19" t="s">
        <v>7</v>
      </c>
      <c r="H41" s="16">
        <v>10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2</v>
      </c>
      <c r="E42" s="19" t="s">
        <v>23</v>
      </c>
      <c r="H42" s="16">
        <v>25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27" t="s">
        <v>60</v>
      </c>
      <c r="B43" s="127"/>
      <c r="C43" s="127"/>
      <c r="D43" s="127"/>
      <c r="E43" s="127"/>
      <c r="J43" s="17" t="str">
        <f>IF(Tabela!L16="","",Tabela!L16)</f>
        <v/>
      </c>
      <c r="K43" s="128" t="s">
        <v>60</v>
      </c>
      <c r="L43" s="128"/>
      <c r="M43" s="128"/>
      <c r="N43" s="128"/>
      <c r="O43" s="128"/>
    </row>
    <row r="44" spans="1:15" x14ac:dyDescent="0.25">
      <c r="A44" s="18" t="s">
        <v>30</v>
      </c>
      <c r="B44" s="16">
        <v>2</v>
      </c>
      <c r="C44" s="16" t="s">
        <v>53</v>
      </c>
      <c r="D44" s="16">
        <v>1</v>
      </c>
      <c r="E44" s="19" t="s">
        <v>9</v>
      </c>
      <c r="H44" s="16">
        <v>10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3</v>
      </c>
      <c r="C45" s="16" t="s">
        <v>53</v>
      </c>
      <c r="D45" s="16">
        <v>1</v>
      </c>
      <c r="E45" s="19" t="s">
        <v>29</v>
      </c>
      <c r="H45" s="16">
        <v>10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3</v>
      </c>
      <c r="E46" s="19" t="s">
        <v>29</v>
      </c>
      <c r="H46" s="16">
        <v>5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1</v>
      </c>
      <c r="E47" s="19" t="s">
        <v>30</v>
      </c>
      <c r="H47" s="16">
        <v>10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1</v>
      </c>
      <c r="C48" s="16" t="s">
        <v>53</v>
      </c>
      <c r="D48" s="16">
        <v>3</v>
      </c>
      <c r="E48" s="19" t="s">
        <v>8</v>
      </c>
      <c r="H48" s="16">
        <v>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0</v>
      </c>
      <c r="C49" s="16" t="s">
        <v>53</v>
      </c>
      <c r="D49" s="16">
        <v>1</v>
      </c>
      <c r="E49" s="19" t="s">
        <v>30</v>
      </c>
      <c r="H49" s="16">
        <v>10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27" t="s">
        <v>59</v>
      </c>
      <c r="B50" s="127"/>
      <c r="C50" s="127"/>
      <c r="D50" s="127"/>
      <c r="E50" s="127"/>
      <c r="J50" s="17" t="str">
        <f>IF(Tabela!L23="","",Tabela!L23)</f>
        <v/>
      </c>
      <c r="K50" s="128" t="s">
        <v>59</v>
      </c>
      <c r="L50" s="128"/>
      <c r="M50" s="128"/>
      <c r="N50" s="128"/>
      <c r="O50" s="128"/>
    </row>
    <row r="51" spans="1:15" x14ac:dyDescent="0.25">
      <c r="A51" s="18" t="s">
        <v>32</v>
      </c>
      <c r="B51" s="16">
        <v>2</v>
      </c>
      <c r="C51" s="16" t="s">
        <v>53</v>
      </c>
      <c r="D51" s="16">
        <v>1</v>
      </c>
      <c r="E51" s="19" t="s">
        <v>67</v>
      </c>
      <c r="H51" s="16">
        <v>0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3</v>
      </c>
      <c r="C52" s="16" t="s">
        <v>53</v>
      </c>
      <c r="D52" s="16">
        <v>0</v>
      </c>
      <c r="E52" s="19" t="s">
        <v>18</v>
      </c>
      <c r="H52" s="16">
        <v>15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1</v>
      </c>
      <c r="C53" s="16" t="s">
        <v>53</v>
      </c>
      <c r="D53" s="16">
        <v>0</v>
      </c>
      <c r="E53" s="19" t="s">
        <v>18</v>
      </c>
      <c r="H53" s="16">
        <v>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3</v>
      </c>
      <c r="C54" s="16" t="s">
        <v>53</v>
      </c>
      <c r="D54" s="16">
        <v>2</v>
      </c>
      <c r="E54" s="19" t="s">
        <v>32</v>
      </c>
      <c r="H54" s="16">
        <v>10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3</v>
      </c>
      <c r="E55" s="19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2</v>
      </c>
      <c r="E56" s="19" t="s">
        <v>32</v>
      </c>
      <c r="H56" s="16">
        <v>15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145" t="s">
        <v>173</v>
      </c>
    </row>
    <row r="58" spans="1:15" x14ac:dyDescent="0.25">
      <c r="A58" s="135" t="str">
        <f>_xlfn.CONCAT(W2,A57)</f>
        <v>Cléofaz - Oitavas de Final</v>
      </c>
      <c r="B58" s="135"/>
      <c r="C58" s="135"/>
      <c r="D58" s="135"/>
      <c r="E58" s="135"/>
      <c r="K58" s="136" t="s">
        <v>171</v>
      </c>
      <c r="L58" s="136"/>
      <c r="M58" s="136"/>
      <c r="N58" s="136"/>
      <c r="O58" s="136"/>
    </row>
    <row r="59" spans="1:15" x14ac:dyDescent="0.25">
      <c r="A59" s="66" t="s">
        <v>19</v>
      </c>
      <c r="B59" s="2">
        <v>1</v>
      </c>
      <c r="C59" s="2" t="s">
        <v>53</v>
      </c>
      <c r="D59" s="2">
        <v>0</v>
      </c>
      <c r="E59" s="65" t="s">
        <v>166</v>
      </c>
      <c r="H59" s="16">
        <v>10</v>
      </c>
      <c r="J59" s="17" t="str">
        <f>IF(Tabela!F32="","",Tabela!F32)</f>
        <v/>
      </c>
      <c r="K59" s="67" t="str">
        <f>Tabela!A32</f>
        <v>Holanda</v>
      </c>
      <c r="L59" s="67">
        <f>Tabela!B32</f>
        <v>3</v>
      </c>
      <c r="M59" s="67" t="str">
        <f>Tabela!C32</f>
        <v>X</v>
      </c>
      <c r="N59" s="67">
        <f>Tabela!D32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1</v>
      </c>
      <c r="E60" s="65" t="s">
        <v>6</v>
      </c>
      <c r="J60" s="17" t="str">
        <f>IF(Tabela!F33="","",Tabela!F33)</f>
        <v>N</v>
      </c>
      <c r="K60" s="67" t="str">
        <f>Tabela!A33</f>
        <v>Argentina</v>
      </c>
      <c r="L60" s="67">
        <f>Tabela!B33</f>
        <v>0</v>
      </c>
      <c r="M60" s="67" t="str">
        <f>Tabela!C33</f>
        <v>X</v>
      </c>
      <c r="N60" s="67">
        <f>Tabela!D33</f>
        <v>0</v>
      </c>
      <c r="O60" s="67" t="str">
        <f>Tabela!E33</f>
        <v>Austrália</v>
      </c>
    </row>
    <row r="61" spans="1:15" x14ac:dyDescent="0.25">
      <c r="A61" s="66" t="s">
        <v>22</v>
      </c>
      <c r="B61" s="2">
        <v>1</v>
      </c>
      <c r="C61" s="2" t="s">
        <v>53</v>
      </c>
      <c r="D61" s="2">
        <v>2</v>
      </c>
      <c r="E61" s="65" t="s">
        <v>12</v>
      </c>
      <c r="J61" s="17" t="str">
        <f>IF(Tabela!F34="","",Tabela!F34)</f>
        <v>N</v>
      </c>
      <c r="K61" s="67" t="str">
        <f>Tabela!A34</f>
        <v>Japão</v>
      </c>
      <c r="L61" s="67">
        <f>Tabela!B34</f>
        <v>0</v>
      </c>
      <c r="M61" s="67" t="str">
        <f>Tabela!C34</f>
        <v>X</v>
      </c>
      <c r="N61" s="67">
        <f>Tabela!D34</f>
        <v>0</v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1</v>
      </c>
      <c r="E62" s="65" t="s">
        <v>167</v>
      </c>
      <c r="J62" s="17" t="str">
        <f>IF(Tabela!F35="","",Tabela!F35)</f>
        <v>N</v>
      </c>
      <c r="K62" s="67" t="str">
        <f>Tabela!A35</f>
        <v>Brasil</v>
      </c>
      <c r="L62" s="67">
        <f>Tabela!B35</f>
        <v>0</v>
      </c>
      <c r="M62" s="67" t="str">
        <f>Tabela!C35</f>
        <v>X</v>
      </c>
      <c r="N62" s="67">
        <f>Tabela!D35</f>
        <v>0</v>
      </c>
      <c r="O62" s="67" t="str">
        <f>Tabela!E35</f>
        <v>Coréia</v>
      </c>
    </row>
    <row r="63" spans="1:15" x14ac:dyDescent="0.25">
      <c r="A63" s="66" t="s">
        <v>20</v>
      </c>
      <c r="B63" s="2">
        <v>1</v>
      </c>
      <c r="C63" s="2" t="s">
        <v>53</v>
      </c>
      <c r="D63" s="2">
        <v>1</v>
      </c>
      <c r="E63" s="65" t="s">
        <v>28</v>
      </c>
      <c r="J63" s="17" t="str">
        <f>IF(Tabela!F36="","",Tabela!F36)</f>
        <v>N</v>
      </c>
      <c r="K63" s="67" t="str">
        <f>Tabela!A36</f>
        <v>Inglaterra</v>
      </c>
      <c r="L63" s="67">
        <f>Tabela!B36</f>
        <v>0</v>
      </c>
      <c r="M63" s="67" t="str">
        <f>Tabela!C36</f>
        <v>X</v>
      </c>
      <c r="N63" s="67">
        <f>Tabela!D36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2</v>
      </c>
      <c r="C64" s="2" t="s">
        <v>53</v>
      </c>
      <c r="D64" s="2">
        <v>0</v>
      </c>
      <c r="E64" s="65" t="s">
        <v>26</v>
      </c>
      <c r="J64" s="17" t="str">
        <f>IF(Tabela!F37="","",Tabela!F37)</f>
        <v>N</v>
      </c>
      <c r="K64" s="67" t="str">
        <f>Tabela!A37</f>
        <v>França</v>
      </c>
      <c r="L64" s="67">
        <f>Tabela!B37</f>
        <v>0</v>
      </c>
      <c r="M64" s="67" t="str">
        <f>Tabela!C37</f>
        <v>X</v>
      </c>
      <c r="N64" s="67">
        <f>Tabela!D37</f>
        <v>0</v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2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7">
        <f>Tabela!B38</f>
        <v>0</v>
      </c>
      <c r="M65" s="67" t="str">
        <f>Tabela!C38</f>
        <v>X</v>
      </c>
      <c r="N65" s="67">
        <f>Tabela!D38</f>
        <v>0</v>
      </c>
      <c r="O65" s="67" t="str">
        <f>Tabela!E38</f>
        <v>Espanha</v>
      </c>
    </row>
    <row r="66" spans="1:15" x14ac:dyDescent="0.25">
      <c r="A66" s="66" t="s">
        <v>27</v>
      </c>
      <c r="B66" s="2">
        <v>0</v>
      </c>
      <c r="C66" s="2" t="s">
        <v>53</v>
      </c>
      <c r="D66" s="2">
        <v>1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7">
        <f>Tabela!B39</f>
        <v>0</v>
      </c>
      <c r="M66" s="67" t="str">
        <f>Tabela!C39</f>
        <v>X</v>
      </c>
      <c r="N66" s="67">
        <f>Tabela!D39</f>
        <v>0</v>
      </c>
      <c r="O66" s="67" t="str">
        <f>Tabela!E39</f>
        <v>Suíça</v>
      </c>
    </row>
  </sheetData>
  <mergeCells count="72">
    <mergeCell ref="A58:E58"/>
    <mergeCell ref="K58:O58"/>
    <mergeCell ref="AC12:AE12"/>
    <mergeCell ref="AC11:AE11"/>
    <mergeCell ref="AC17:AE17"/>
    <mergeCell ref="AC16:AE16"/>
    <mergeCell ref="AC15:AE15"/>
    <mergeCell ref="AC14:AE14"/>
    <mergeCell ref="AC13:AE13"/>
    <mergeCell ref="AC22:AE22"/>
    <mergeCell ref="AC21:AE21"/>
    <mergeCell ref="AC20:AE20"/>
    <mergeCell ref="AC19:AE19"/>
    <mergeCell ref="AC18:AE18"/>
    <mergeCell ref="AC27:AE27"/>
    <mergeCell ref="AC26:AE26"/>
    <mergeCell ref="AC25:AE25"/>
    <mergeCell ref="AC24:AE24"/>
    <mergeCell ref="AC23:AE23"/>
    <mergeCell ref="W29:Y29"/>
    <mergeCell ref="W30:Y30"/>
    <mergeCell ref="AC30:AE30"/>
    <mergeCell ref="AC29:AE29"/>
    <mergeCell ref="AC28:AE28"/>
    <mergeCell ref="W24:Y24"/>
    <mergeCell ref="W25:Y25"/>
    <mergeCell ref="W26:Y26"/>
    <mergeCell ref="W27:Y27"/>
    <mergeCell ref="W28:Y28"/>
    <mergeCell ref="W19:Y19"/>
    <mergeCell ref="W20:Y20"/>
    <mergeCell ref="W21:Y21"/>
    <mergeCell ref="W22:Y22"/>
    <mergeCell ref="W23:Y23"/>
    <mergeCell ref="A1:E1"/>
    <mergeCell ref="A43:E43"/>
    <mergeCell ref="A50:E50"/>
    <mergeCell ref="K1:O1"/>
    <mergeCell ref="K8:O8"/>
    <mergeCell ref="K15:O15"/>
    <mergeCell ref="K22:O22"/>
    <mergeCell ref="K29:O29"/>
    <mergeCell ref="K36:O36"/>
    <mergeCell ref="K43:O43"/>
    <mergeCell ref="K50:O50"/>
    <mergeCell ref="A2:E2"/>
    <mergeCell ref="A9:E9"/>
    <mergeCell ref="A8:E8"/>
    <mergeCell ref="A15:E15"/>
    <mergeCell ref="A22:E22"/>
    <mergeCell ref="A29:E29"/>
    <mergeCell ref="A36:E36"/>
    <mergeCell ref="W2:AE6"/>
    <mergeCell ref="Q11:U15"/>
    <mergeCell ref="Q9:U10"/>
    <mergeCell ref="W9:AE9"/>
    <mergeCell ref="W10:Y10"/>
    <mergeCell ref="AC10:AE10"/>
    <mergeCell ref="W11:Y11"/>
    <mergeCell ref="W12:Y12"/>
    <mergeCell ref="W13:Y13"/>
    <mergeCell ref="W14:Y14"/>
    <mergeCell ref="W15:Y15"/>
    <mergeCell ref="W16:Y16"/>
    <mergeCell ref="W17:Y17"/>
    <mergeCell ref="W18:Y18"/>
    <mergeCell ref="Q27:R27"/>
    <mergeCell ref="S27:T27"/>
    <mergeCell ref="U27:V27"/>
    <mergeCell ref="Q28:R28"/>
    <mergeCell ref="S28:T28"/>
    <mergeCell ref="U28:V2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27</vt:i4>
      </vt:variant>
    </vt:vector>
  </HeadingPairs>
  <TitlesOfParts>
    <vt:vector size="27" baseType="lpstr">
      <vt:lpstr>Placar Exato</vt:lpstr>
      <vt:lpstr>Classificação</vt:lpstr>
      <vt:lpstr>Oitavas</vt:lpstr>
      <vt:lpstr>Tabela</vt:lpstr>
      <vt:lpstr>Macélio</vt:lpstr>
      <vt:lpstr>Ivan Alex_1</vt:lpstr>
      <vt:lpstr>Bruno Flores</vt:lpstr>
      <vt:lpstr>Ivan Alex_2</vt:lpstr>
      <vt:lpstr>Gabriel</vt:lpstr>
      <vt:lpstr>Luis</vt:lpstr>
      <vt:lpstr>Juninho_1</vt:lpstr>
      <vt:lpstr>Juninho_2</vt:lpstr>
      <vt:lpstr>Luana</vt:lpstr>
      <vt:lpstr>Mácio</vt:lpstr>
      <vt:lpstr>Alex</vt:lpstr>
      <vt:lpstr>Jean</vt:lpstr>
      <vt:lpstr>Robert</vt:lpstr>
      <vt:lpstr>Roberto</vt:lpstr>
      <vt:lpstr>Andréia</vt:lpstr>
      <vt:lpstr>Joseir_1</vt:lpstr>
      <vt:lpstr>Joseir_2</vt:lpstr>
      <vt:lpstr>Ivani</vt:lpstr>
      <vt:lpstr>Josimar</vt:lpstr>
      <vt:lpstr>Julio</vt:lpstr>
      <vt:lpstr>Talita</vt:lpstr>
      <vt:lpstr>Anderson</vt:lpstr>
      <vt:lpstr>Cléofaz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Alex</dc:creator>
  <cp:lastModifiedBy>ivan.alex</cp:lastModifiedBy>
  <dcterms:created xsi:type="dcterms:W3CDTF">2022-11-20T13:50:46Z</dcterms:created>
  <dcterms:modified xsi:type="dcterms:W3CDTF">2022-12-03T19:06:57Z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06de4a7-0f08-40d9-aeea-6b6c28cbe58e_Enabled">
    <vt:lpwstr>true</vt:lpwstr>
  </property>
  <property fmtid="{D5CDD505-2E9C-101B-9397-08002B2CF9AE}" pid="3" name="MSIP_Label_c06de4a7-0f08-40d9-aeea-6b6c28cbe58e_SetDate">
    <vt:lpwstr>2022-12-03T19:06:57Z</vt:lpwstr>
  </property>
  <property fmtid="{D5CDD505-2E9C-101B-9397-08002B2CF9AE}" pid="4" name="MSIP_Label_c06de4a7-0f08-40d9-aeea-6b6c28cbe58e_Method">
    <vt:lpwstr>Privileged</vt:lpwstr>
  </property>
  <property fmtid="{D5CDD505-2E9C-101B-9397-08002B2CF9AE}" pid="5" name="MSIP_Label_c06de4a7-0f08-40d9-aeea-6b6c28cbe58e_Name">
    <vt:lpwstr>Publico - Public</vt:lpwstr>
  </property>
  <property fmtid="{D5CDD505-2E9C-101B-9397-08002B2CF9AE}" pid="6" name="MSIP_Label_c06de4a7-0f08-40d9-aeea-6b6c28cbe58e_SiteId">
    <vt:lpwstr>d17bc453-90ce-44bc-93e0-9f9dda1fc914</vt:lpwstr>
  </property>
  <property fmtid="{D5CDD505-2E9C-101B-9397-08002B2CF9AE}" pid="7" name="MSIP_Label_c06de4a7-0f08-40d9-aeea-6b6c28cbe58e_ActionId">
    <vt:lpwstr>ad421783-e2bf-4cc9-9d3f-8b5e53706c93</vt:lpwstr>
  </property>
  <property fmtid="{D5CDD505-2E9C-101B-9397-08002B2CF9AE}" pid="8" name="MSIP_Label_c06de4a7-0f08-40d9-aeea-6b6c28cbe58e_ContentBits">
    <vt:lpwstr>2</vt:lpwstr>
  </property>
</Properties>
</file>